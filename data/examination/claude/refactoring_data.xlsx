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8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Lists" sheetId="1" state="visible" r:id="rId1"/>
    <sheet name="Overview" sheetId="2" state="visible" r:id="rId2"/>
    <sheet name="Data_Dictionary" sheetId="3" state="visible" r:id="rId3"/>
    <sheet name="Module_M1" sheetId="4" state="visible" r:id="rId4"/>
    <sheet name="Module_M2" sheetId="5" state="visible" r:id="rId5"/>
    <sheet name="Module_M3" sheetId="6" state="visible" r:id="rId6"/>
    <sheet name="Module_M4" sheetId="7" state="visible" r:id="rId7"/>
    <sheet name="Module_M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%"/>
  </numFmts>
  <fonts count="10">
    <font>
      <name val="Calibri"/>
      <family val="2"/>
      <color theme="1"/>
      <sz val="11"/>
      <scheme val="minor"/>
    </font>
    <font>
      <name val="Calibri"/>
      <family val="2"/>
      <color rgb="FFffffff"/>
      <sz val="12"/>
    </font>
    <font>
      <name val="Calibri"/>
      <family val="2"/>
      <color rgb="FF808080"/>
      <sz val="10"/>
    </font>
    <font>
      <name val="Calibri"/>
      <family val="2"/>
      <color theme="1"/>
      <sz val="10"/>
    </font>
    <font>
      <name val="Calibri"/>
      <family val="2"/>
      <color rgb="FF0000ff"/>
      <sz val="10"/>
    </font>
    <font>
      <name val="Calibri"/>
      <family val="2"/>
      <color rgb="FF000000"/>
      <sz val="10"/>
    </font>
    <font>
      <name val="Calibri"/>
      <family val="2"/>
      <color rgb="FF0000ff"/>
      <sz val="11"/>
    </font>
    <font>
      <name val="Calibri"/>
      <family val="2"/>
      <color theme="1"/>
      <sz val="11"/>
    </font>
    <font>
      <name val="Calibri"/>
      <family val="2"/>
      <color rgb="FFffffff"/>
      <sz val="16"/>
    </font>
    <font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bfdff"/>
      </patternFill>
    </fill>
    <fill>
      <patternFill patternType="solid">
        <fgColor rgb="FFd9eaf7"/>
      </patternFill>
    </fill>
    <fill>
      <patternFill patternType="solid">
        <fgColor rgb="FFf8fbfe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1f4e78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5" fillId="4" borderId="3" applyAlignment="1" pivotButton="0" quotePrefix="0" xfId="0">
      <alignment horizontal="center" wrapText="1"/>
    </xf>
    <xf numFmtId="164" fontId="5" fillId="5" borderId="4" applyAlignment="1" pivotButton="0" quotePrefix="0" xfId="0">
      <alignment horizontal="right"/>
    </xf>
    <xf numFmtId="165" fontId="5" fillId="5" borderId="4" applyAlignment="1" pivotButton="0" quotePrefix="0" xfId="0">
      <alignment horizontal="right"/>
    </xf>
    <xf numFmtId="0" fontId="5" fillId="5" borderId="4" applyAlignment="1" pivotButton="0" quotePrefix="0" xfId="0">
      <alignment horizontal="left"/>
    </xf>
    <xf numFmtId="0" fontId="4" fillId="0" borderId="5" applyAlignment="1" pivotButton="0" quotePrefix="0" xfId="0">
      <alignment horizontal="left" wrapText="1"/>
    </xf>
    <xf numFmtId="0" fontId="4" fillId="3" borderId="4" applyAlignment="1" pivotButton="0" quotePrefix="0" xfId="0">
      <alignment horizontal="left" wrapText="1"/>
    </xf>
    <xf numFmtId="0" fontId="5" fillId="0" borderId="5" applyAlignment="1" pivotButton="0" quotePrefix="0" xfId="0">
      <alignment horizontal="left"/>
    </xf>
    <xf numFmtId="1" fontId="5" fillId="0" borderId="5" applyAlignment="1" pivotButton="0" quotePrefix="0" xfId="0">
      <alignment horizontal="left"/>
    </xf>
    <xf numFmtId="1" fontId="5" fillId="0" borderId="5" applyAlignment="1" pivotButton="0" quotePrefix="0" xfId="0">
      <alignment horizontal="center"/>
    </xf>
    <xf numFmtId="165" fontId="5" fillId="0" borderId="5" applyAlignment="1" pivotButton="0" quotePrefix="0" xfId="0">
      <alignment horizontal="right"/>
    </xf>
    <xf numFmtId="164" fontId="4" fillId="0" borderId="5" applyAlignment="1" pivotButton="0" quotePrefix="0" xfId="0">
      <alignment horizontal="right" wrapText="1"/>
    </xf>
    <xf numFmtId="164" fontId="5" fillId="0" borderId="5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3" fontId="6" fillId="3" borderId="1" applyAlignment="1" pivotButton="0" quotePrefix="0" xfId="0">
      <alignment horizontal="left"/>
    </xf>
    <xf numFmtId="3" fontId="6" fillId="3" borderId="1" applyAlignment="1" pivotButton="0" quotePrefix="0" xfId="0">
      <alignment horizontal="right"/>
    </xf>
    <xf numFmtId="3" fontId="5" fillId="4" borderId="3" applyAlignment="1" pivotButton="0" quotePrefix="0" xfId="0">
      <alignment horizontal="center" wrapText="1"/>
    </xf>
    <xf numFmtId="0" fontId="6" fillId="0" borderId="2" applyAlignment="1" pivotButton="0" quotePrefix="0" xfId="0">
      <alignment horizontal="left"/>
    </xf>
    <xf numFmtId="3" fontId="6" fillId="0" borderId="5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3" fontId="6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left" wrapText="1"/>
    </xf>
    <xf numFmtId="3" fontId="4" fillId="0" borderId="5" applyAlignment="1" pivotButton="0" quotePrefix="0" xfId="0">
      <alignment horizontal="right" wrapText="1"/>
    </xf>
    <xf numFmtId="3" fontId="6" fillId="3" borderId="4" applyAlignment="1" pivotButton="0" quotePrefix="0" xfId="0">
      <alignment horizontal="left" wrapText="1"/>
    </xf>
    <xf numFmtId="0" fontId="6" fillId="3" borderId="4" applyAlignment="1" pivotButton="0" quotePrefix="0" xfId="0">
      <alignment horizontal="left" wrapText="1"/>
    </xf>
    <xf numFmtId="3" fontId="4" fillId="3" borderId="4" applyAlignment="1" pivotButton="0" quotePrefix="0" xfId="0">
      <alignment horizontal="left" wrapText="1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5" fillId="4" borderId="3" applyAlignment="1" pivotButton="0" quotePrefix="0" xfId="0">
      <alignment horizontal="left"/>
    </xf>
    <xf numFmtId="0" fontId="7" fillId="0" borderId="2" applyAlignment="1" pivotButton="0" quotePrefix="0" xfId="0">
      <alignment horizontal="left" wrapText="1"/>
    </xf>
    <xf numFmtId="0" fontId="8" fillId="2" borderId="1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5" pivotButton="0" quotePrefix="0" xfId="0"/>
    <xf numFmtId="0" fontId="9" fillId="0" borderId="10" applyAlignment="1" pivotButton="0" quotePrefix="0" xfId="0">
      <alignment vertical="top" wrapText="1"/>
    </xf>
    <xf numFmtId="0" fontId="9" fillId="3" borderId="1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amples_M1" displayName="Examples_M1" ref="A223:H230" headerRowCount="1" totalsRowShown="0">
  <autoFilter ref="A223:H23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ehavQual_M1" displayName="BehavQual_M1" ref="A214:S218" headerRowCount="1" totalsRowShown="0">
  <autoFilter ref="A214:S218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ing_M1" displayName="Matching_M1" ref="A90:Q210" headerRowCount="1" totalsRowShown="0">
  <autoFilter ref="A90:Q21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GenActions_M1" displayName="GenActions_M1" ref="A58:K88" headerRowCount="1" totalsRowShown="0">
  <autoFilter ref="A58:K88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RefRegistry_M1" displayName="RefRegistry_M1" ref="A24:N54" headerRowCount="1" totalsRowShown="0">
  <autoFilter ref="A24:N54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RunLog_M1" displayName="RunLog_M1" ref="A15:J19" headerRowCount="1" totalsRowShown="0">
  <autoFilter ref="A15:J19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Examples_M2" displayName="Examples_M2" ref="A223:H230" headerRowCount="1" totalsRowShown="0">
  <autoFilter ref="A223:H23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BehavQual_M2" displayName="BehavQual_M2" ref="A214:S218" headerRowCount="1" totalsRowShown="0">
  <autoFilter ref="A214:S218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Matching_M2" displayName="Matching_M2" ref="A90:Q210" headerRowCount="1" totalsRowShown="0">
  <autoFilter ref="A90:Q21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GenActions_M2" displayName="GenActions_M2" ref="A58:K88" headerRowCount="1" totalsRowShown="0">
  <autoFilter ref="A58:K88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RefRegistry_M2" displayName="RefRegistry_M2" ref="A24:N54" headerRowCount="1" totalsRowShown="0">
  <autoFilter ref="A24:N54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RunLog_M2" displayName="RunLog_M2" ref="A15:J19" headerRowCount="1" totalsRowShown="0">
  <autoFilter ref="A15:J19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Examples_M3" displayName="Examples_M3" ref="A223:H230" headerRowCount="1" totalsRowShown="0">
  <autoFilter ref="A223:H23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BehavQual_M3" displayName="BehavQual_M3" ref="A214:S218" headerRowCount="1" totalsRowShown="0">
  <autoFilter ref="A214:S218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Matching_M3" displayName="Matching_M3" ref="A90:Q210" headerRowCount="1" totalsRowShown="0">
  <autoFilter ref="A90:Q21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6" name="GenActions_M3" displayName="GenActions_M3" ref="A58:K88" headerRowCount="1" totalsRowShown="0">
  <autoFilter ref="A58:K88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7" name="RefRegistry_M3" displayName="RefRegistry_M3" ref="A24:N54" headerRowCount="1" totalsRowShown="0">
  <autoFilter ref="A24:N54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8" name="RunLog_M3" displayName="RunLog_M3" ref="A15:J19" headerRowCount="1" totalsRowShown="0">
  <autoFilter ref="A15:J19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id="19" name="Examples_M4" displayName="Examples_M4" ref="A223:H230" headerRowCount="1" totalsRowShown="0">
  <autoFilter ref="A223:H23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id="20" name="BehavQual_M4" displayName="BehavQual_M4" ref="A214:S218" headerRowCount="1" totalsRowShown="0">
  <autoFilter ref="A214:S218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id="21" name="Matching_M4" displayName="Matching_M4" ref="A90:Q210" headerRowCount="1" totalsRowShown="0">
  <autoFilter ref="A90:Q21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id="22" name="GenActions_M4" displayName="GenActions_M4" ref="A58:K88" headerRowCount="1" totalsRowShown="0">
  <autoFilter ref="A58:K88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id="23" name="RefRegistry_M4" displayName="RefRegistry_M4" ref="A24:N54" headerRowCount="1" totalsRowShown="0">
  <autoFilter ref="A24:N54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id="24" name="RunLog_M4" displayName="RunLog_M4" ref="A15:J19" headerRowCount="1" totalsRowShown="0">
  <autoFilter ref="A15:J19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id="25" name="Examples_M5" displayName="Examples_M5" ref="A223:H230" headerRowCount="1" totalsRowShown="0">
  <autoFilter ref="A223:H23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id="26" name="BehavQual_M5" displayName="BehavQual_M5" ref="A214:S218" headerRowCount="1" totalsRowShown="0">
  <autoFilter ref="A214:S218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id="27" name="Matching_M5" displayName="Matching_M5" ref="A90:Q210" headerRowCount="1" totalsRowShown="0">
  <autoFilter ref="A90:Q21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id="28" name="GenActions_M5" displayName="GenActions_M5" ref="A58:K88" headerRowCount="1" totalsRowShown="0">
  <autoFilter ref="A58:K88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id="29" name="RefRegistry_M5" displayName="RefRegistry_M5" ref="A24:N54" headerRowCount="1" totalsRowShown="0">
  <autoFilter ref="A24:N54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id="30" name="RunLog_M5" displayName="RunLog_M5" ref="A15:J19" headerRowCount="1" totalsRowShown="0">
  <autoFilter ref="A15:J19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Relationship Type="http://schemas.openxmlformats.org/officeDocument/2006/relationships/table" Target="/xl/tables/table12.xml" Id="rId6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Relationship Type="http://schemas.openxmlformats.org/officeDocument/2006/relationships/table" Target="/xl/tables/table15.xml" Id="rId3" /><Relationship Type="http://schemas.openxmlformats.org/officeDocument/2006/relationships/table" Target="/xl/tables/table16.xml" Id="rId4" /><Relationship Type="http://schemas.openxmlformats.org/officeDocument/2006/relationships/table" Target="/xl/tables/table17.xml" Id="rId5" /><Relationship Type="http://schemas.openxmlformats.org/officeDocument/2006/relationships/table" Target="/xl/tables/table18.xml" Id="rId6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Relationship Type="http://schemas.openxmlformats.org/officeDocument/2006/relationships/table" Target="/xl/tables/table21.xml" Id="rId3" /><Relationship Type="http://schemas.openxmlformats.org/officeDocument/2006/relationships/table" Target="/xl/tables/table22.xml" Id="rId4" /><Relationship Type="http://schemas.openxmlformats.org/officeDocument/2006/relationships/table" Target="/xl/tables/table23.xml" Id="rId5" /><Relationship Type="http://schemas.openxmlformats.org/officeDocument/2006/relationships/table" Target="/xl/tables/table24.xml" Id="rId6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5.xml" Id="rId1" /><Relationship Type="http://schemas.openxmlformats.org/officeDocument/2006/relationships/table" Target="/xl/tables/table26.xml" Id="rId2" /><Relationship Type="http://schemas.openxmlformats.org/officeDocument/2006/relationships/table" Target="/xl/tables/table27.xml" Id="rId3" /><Relationship Type="http://schemas.openxmlformats.org/officeDocument/2006/relationships/table" Target="/xl/tables/table28.xml" Id="rId4" /><Relationship Type="http://schemas.openxmlformats.org/officeDocument/2006/relationships/table" Target="/xl/tables/table29.xml" Id="rId5" /><Relationship Type="http://schemas.openxmlformats.org/officeDocument/2006/relationships/table" Target="/xl/tables/table30.xml" Id="rId6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P12"/>
  <sheetViews>
    <sheetView workbookViewId="0">
      <selection activeCell="A1" sqref="A1"/>
    </sheetView>
  </sheetViews>
  <sheetFormatPr baseColWidth="8" defaultRowHeight="15"/>
  <cols>
    <col width="13.57642857142857" bestFit="1" customWidth="1" style="20" min="1" max="1"/>
    <col width="13.57642857142857" bestFit="1" customWidth="1" style="20" min="2" max="2"/>
    <col width="13.57642857142857" bestFit="1" customWidth="1" style="20" min="3" max="3"/>
    <col width="13.57642857142857" bestFit="1" customWidth="1" style="20" min="4" max="4"/>
    <col width="13.57642857142857" bestFit="1" customWidth="1" style="20" min="5" max="5"/>
    <col width="13.57642857142857" bestFit="1" customWidth="1" style="20" min="6" max="6"/>
    <col width="13.57642857142857" bestFit="1" customWidth="1" style="20" min="7" max="7"/>
    <col width="13.57642857142857" bestFit="1" customWidth="1" style="20" min="8" max="8"/>
    <col width="13.57642857142857" bestFit="1" customWidth="1" style="20" min="9" max="9"/>
    <col width="13.57642857142857" bestFit="1" customWidth="1" style="20" min="10" max="10"/>
    <col width="13.57642857142857" bestFit="1" customWidth="1" style="20" min="11" max="11"/>
    <col width="13.57642857142857" bestFit="1" customWidth="1" style="20" min="12" max="12"/>
    <col width="13.57642857142857" bestFit="1" customWidth="1" style="20" min="13" max="13"/>
    <col width="13.57642857142857" bestFit="1" customWidth="1" style="20" min="14" max="14"/>
    <col width="13.57642857142857" bestFit="1" customWidth="1" style="20" min="15" max="15"/>
    <col width="13.57642857142857" bestFit="1" customWidth="1" style="20" min="16" max="16"/>
  </cols>
  <sheetData>
    <row r="1" ht="18.75" customHeight="1">
      <c r="A1" s="20" t="inlineStr">
        <is>
          <t>AI-Assisted</t>
        </is>
      </c>
      <c r="B1" s="20" t="inlineStr">
        <is>
          <t>Minor</t>
        </is>
      </c>
      <c r="C1" s="20" t="inlineStr">
        <is>
          <t>Statement</t>
        </is>
      </c>
      <c r="D1" s="20" t="inlineStr">
        <is>
          <t>Local</t>
        </is>
      </c>
      <c r="E1" s="20" t="inlineStr">
        <is>
          <t>Low</t>
        </is>
      </c>
      <c r="F1" s="20" t="inlineStr">
        <is>
          <t>Local Code</t>
        </is>
      </c>
      <c r="G1" s="20" t="inlineStr">
        <is>
          <t>Yes</t>
        </is>
      </c>
      <c r="H1" s="20" t="inlineStr">
        <is>
          <t>Exact Match</t>
        </is>
      </c>
      <c r="I1" s="20" t="inlineStr">
        <is>
          <t>Exact TP</t>
        </is>
      </c>
      <c r="J1" s="20" t="inlineStr">
        <is>
          <t>Pass</t>
        </is>
      </c>
      <c r="K1" s="20" t="inlineStr">
        <is>
          <t>Merge Ready</t>
        </is>
      </c>
      <c r="L1" s="20" t="inlineStr">
        <is>
          <t>Strong</t>
        </is>
      </c>
      <c r="M1" s="20" t="inlineStr">
        <is>
          <t>Long Method</t>
        </is>
      </c>
      <c r="N1" s="20" t="inlineStr">
        <is>
          <t>Extract Method</t>
        </is>
      </c>
      <c r="O1" s="20" t="inlineStr">
        <is>
          <t>Readability</t>
        </is>
      </c>
      <c r="P1" s="20" t="inlineStr">
        <is>
          <t>Low</t>
        </is>
      </c>
    </row>
    <row r="2" ht="18.75" customHeight="1">
      <c r="A2" s="20" t="inlineStr">
        <is>
          <t>Auto Tool A</t>
        </is>
      </c>
      <c r="B2" s="20" t="inlineStr">
        <is>
          <t>Moderate</t>
        </is>
      </c>
      <c r="C2" s="20" t="inlineStr">
        <is>
          <t>Method</t>
        </is>
      </c>
      <c r="D2" s="20" t="inlineStr">
        <is>
          <t>Intra-file</t>
        </is>
      </c>
      <c r="E2" s="20" t="inlineStr">
        <is>
          <t>Medium</t>
        </is>
      </c>
      <c r="F2" s="20" t="inlineStr">
        <is>
          <t>Framework</t>
        </is>
      </c>
      <c r="G2" s="20" t="inlineStr">
        <is>
          <t>No</t>
        </is>
      </c>
      <c r="H2" s="20" t="inlineStr">
        <is>
          <t>Equivalent Match</t>
        </is>
      </c>
      <c r="I2" s="20" t="inlineStr">
        <is>
          <t>Equivalent TP</t>
        </is>
      </c>
      <c r="J2" s="20" t="inlineStr">
        <is>
          <t>Fail</t>
        </is>
      </c>
      <c r="K2" s="20" t="inlineStr">
        <is>
          <t>Minor Fixes</t>
        </is>
      </c>
      <c r="L2" s="20" t="inlineStr">
        <is>
          <t>Adequate</t>
        </is>
      </c>
      <c r="M2" s="20" t="inlineStr">
        <is>
          <t>God Class</t>
        </is>
      </c>
      <c r="N2" s="20" t="inlineStr">
        <is>
          <t>Move Method</t>
        </is>
      </c>
      <c r="O2" s="20" t="inlineStr">
        <is>
          <t>Maintainability</t>
        </is>
      </c>
      <c r="P2" s="20" t="inlineStr">
        <is>
          <t>Medium</t>
        </is>
      </c>
    </row>
    <row r="3" ht="18.75" customHeight="1">
      <c r="A3" s="20" t="inlineStr">
        <is>
          <t>Auto Tool B</t>
        </is>
      </c>
      <c r="B3" s="20" t="inlineStr">
        <is>
          <t>Major</t>
        </is>
      </c>
      <c r="C3" s="20" t="inlineStr">
        <is>
          <t>Class</t>
        </is>
      </c>
      <c r="D3" s="20" t="inlineStr">
        <is>
          <t>Inter-class</t>
        </is>
      </c>
      <c r="E3" s="20" t="inlineStr">
        <is>
          <t>High</t>
        </is>
      </c>
      <c r="F3" s="20" t="inlineStr">
        <is>
          <t>Workflow</t>
        </is>
      </c>
      <c r="G3" s="20" t="n"/>
      <c r="H3" s="20" t="inlineStr">
        <is>
          <t>Partial Match</t>
        </is>
      </c>
      <c r="I3" s="20" t="inlineStr">
        <is>
          <t>Partial</t>
        </is>
      </c>
      <c r="J3" s="20" t="inlineStr">
        <is>
          <t>Partial</t>
        </is>
      </c>
      <c r="K3" s="20" t="inlineStr">
        <is>
          <t>Major Rework</t>
        </is>
      </c>
      <c r="L3" s="20" t="inlineStr">
        <is>
          <t>Weak</t>
        </is>
      </c>
      <c r="M3" s="20" t="inlineStr">
        <is>
          <t>Duplicated Code</t>
        </is>
      </c>
      <c r="N3" s="20" t="inlineStr">
        <is>
          <t>Rename</t>
        </is>
      </c>
      <c r="O3" s="20" t="inlineStr">
        <is>
          <t>Modularity</t>
        </is>
      </c>
      <c r="P3" s="20" t="inlineStr">
        <is>
          <t>High</t>
        </is>
      </c>
    </row>
    <row r="4" ht="18.75" customHeight="1">
      <c r="A4" s="20" t="inlineStr">
        <is>
          <t>Auto Tool C</t>
        </is>
      </c>
      <c r="B4" s="20" t="inlineStr">
        <is>
          <t>Critical</t>
        </is>
      </c>
      <c r="C4" s="20" t="inlineStr">
        <is>
          <t>File</t>
        </is>
      </c>
      <c r="D4" s="20" t="inlineStr">
        <is>
          <t>Inter-layer</t>
        </is>
      </c>
      <c r="E4" s="20" t="n"/>
      <c r="F4" s="20" t="inlineStr">
        <is>
          <t>Business Rules</t>
        </is>
      </c>
      <c r="G4" s="20" t="n"/>
      <c r="H4" s="20" t="inlineStr">
        <is>
          <t>Missed</t>
        </is>
      </c>
      <c r="I4" s="20" t="inlineStr">
        <is>
          <t>FN</t>
        </is>
      </c>
      <c r="J4" s="20" t="n"/>
      <c r="K4" s="20" t="inlineStr">
        <is>
          <t>Reject</t>
        </is>
      </c>
      <c r="L4" s="20" t="inlineStr">
        <is>
          <t>Misleading</t>
        </is>
      </c>
      <c r="M4" s="20" t="inlineStr">
        <is>
          <t>Feature Envy</t>
        </is>
      </c>
      <c r="N4" s="20" t="inlineStr">
        <is>
          <t>Extract Class</t>
        </is>
      </c>
      <c r="O4" s="20" t="inlineStr">
        <is>
          <t>Reusability</t>
        </is>
      </c>
      <c r="P4" s="20" t="n"/>
    </row>
    <row r="5" ht="18.75" customHeight="1">
      <c r="A5" s="20" t="n"/>
      <c r="B5" s="20" t="n"/>
      <c r="C5" s="20" t="inlineStr">
        <is>
          <t>Cross-file</t>
        </is>
      </c>
      <c r="D5" s="20" t="inlineStr">
        <is>
          <t>Cross-module</t>
        </is>
      </c>
      <c r="E5" s="20" t="n"/>
      <c r="F5" s="20" t="inlineStr">
        <is>
          <t>Mixed</t>
        </is>
      </c>
      <c r="G5" s="20" t="n"/>
      <c r="H5" s="20" t="inlineStr">
        <is>
          <t>Extra Change</t>
        </is>
      </c>
      <c r="I5" s="20" t="inlineStr">
        <is>
          <t>FP Extra</t>
        </is>
      </c>
      <c r="J5" s="20" t="n"/>
      <c r="K5" s="20" t="n"/>
      <c r="L5" s="20" t="n"/>
      <c r="M5" s="20" t="inlineStr">
        <is>
          <t>Fat View</t>
        </is>
      </c>
      <c r="N5" s="20" t="inlineStr">
        <is>
          <t>Split Responsibility</t>
        </is>
      </c>
      <c r="O5" s="20" t="inlineStr">
        <is>
          <t>Testability</t>
        </is>
      </c>
      <c r="P5" s="20" t="n"/>
    </row>
    <row r="6" ht="18.75" customHeight="1">
      <c r="A6" s="20" t="n"/>
      <c r="B6" s="20" t="n"/>
      <c r="C6" s="20" t="inlineStr">
        <is>
          <t>Cross-layer</t>
        </is>
      </c>
      <c r="D6" s="20" t="n"/>
      <c r="E6" s="20" t="n"/>
      <c r="F6" s="20" t="n"/>
      <c r="G6" s="20" t="n"/>
      <c r="H6" s="20" t="inlineStr">
        <is>
          <t>Harmful Deviation</t>
        </is>
      </c>
      <c r="I6" s="20" t="inlineStr">
        <is>
          <t>Harmful FP</t>
        </is>
      </c>
      <c r="J6" s="20" t="n"/>
      <c r="K6" s="20" t="n"/>
      <c r="L6" s="20" t="n"/>
      <c r="M6" s="20" t="inlineStr">
        <is>
          <t>Fat Model</t>
        </is>
      </c>
      <c r="N6" s="20" t="inlineStr">
        <is>
          <t>Remove Duplication</t>
        </is>
      </c>
      <c r="O6" s="20" t="inlineStr">
        <is>
          <t>Architecture Conformance</t>
        </is>
      </c>
      <c r="P6" s="20" t="n"/>
    </row>
    <row r="7" ht="18.75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inlineStr">
        <is>
          <t>Scattered Validation</t>
        </is>
      </c>
      <c r="N7" s="20" t="inlineStr">
        <is>
          <t>Simplify Conditional</t>
        </is>
      </c>
      <c r="O7" s="20" t="inlineStr">
        <is>
          <t>Performance Safety</t>
        </is>
      </c>
      <c r="P7" s="20" t="n"/>
    </row>
    <row r="8" ht="18.75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inlineStr">
        <is>
          <t>Query Logic Duplication</t>
        </is>
      </c>
      <c r="N8" s="20" t="inlineStr">
        <is>
          <t>Extract Service</t>
        </is>
      </c>
      <c r="O8" s="20" t="n"/>
      <c r="P8" s="20" t="n"/>
    </row>
    <row r="9" ht="18.75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inlineStr">
        <is>
          <t>Layer Violation</t>
        </is>
      </c>
      <c r="N9" s="20" t="inlineStr">
        <is>
          <t>Move Query to Manager/QuerySet</t>
        </is>
      </c>
      <c r="O9" s="20" t="n"/>
      <c r="P9" s="20" t="n"/>
    </row>
    <row r="10" ht="18.75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inlineStr">
        <is>
          <t>Naming / Readability</t>
        </is>
      </c>
      <c r="N10" s="20" t="inlineStr">
        <is>
          <t>Consolidate Validation</t>
        </is>
      </c>
      <c r="O10" s="20" t="n"/>
      <c r="P10" s="20" t="n"/>
    </row>
    <row r="11" ht="18.75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inlineStr">
        <is>
          <t>Other</t>
        </is>
      </c>
      <c r="N11" s="20" t="inlineStr">
        <is>
          <t>Reorganize Module Boundary</t>
        </is>
      </c>
      <c r="O11" s="20" t="n"/>
      <c r="P11" s="20" t="n"/>
    </row>
    <row r="12" ht="18.75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inlineStr">
        <is>
          <t>Other</t>
        </is>
      </c>
      <c r="O12" s="20" t="n"/>
      <c r="P12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"/>
  <sheetViews>
    <sheetView workbookViewId="0">
      <selection activeCell="A1" sqref="A1"/>
    </sheetView>
  </sheetViews>
  <sheetFormatPr baseColWidth="8" defaultRowHeight="15"/>
  <cols>
    <col width="22.005" bestFit="1" customWidth="1" style="20" min="1" max="1"/>
    <col width="90.005" bestFit="1" customWidth="1" style="21" min="2" max="2"/>
    <col width="14.005" bestFit="1" customWidth="1" style="20" min="3" max="3"/>
    <col width="14.005" bestFit="1" customWidth="1" style="20" min="4" max="4"/>
    <col width="14.005" bestFit="1" customWidth="1" style="20" min="5" max="5"/>
    <col width="14.005" bestFit="1" customWidth="1" style="20" min="6" max="6"/>
    <col width="14.005" bestFit="1" customWidth="1" style="20" min="7" max="7"/>
    <col width="14.005" bestFit="1" customWidth="1" style="20" min="8" max="8"/>
    <col width="14.005" bestFit="1" customWidth="1" style="20" min="9" max="9"/>
    <col width="14.005" bestFit="1" customWidth="1" style="20" min="10" max="10"/>
  </cols>
  <sheetData>
    <row r="1" ht="18.75" customHeight="1">
      <c r="A1" s="40" t="inlineStr">
        <is>
          <t>Fusion ERP Refactoring Study — Data Collection Workbook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2" t="n"/>
    </row>
    <row r="2" ht="18.75" customHeight="1">
      <c r="A2" s="20" t="n"/>
      <c r="B2" s="21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18.75" customHeight="1">
      <c r="A3" s="6" t="inlineStr">
        <is>
          <t>Purpose</t>
        </is>
      </c>
      <c r="B3" s="39" t="inlineStr">
        <is>
          <t>Use this workbook to collect module-wise data for the paper "AI-Assisted vs Autonomous Django Refactoring: A Reference-Based Empirical Study on Enterprise ERP Modules."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</row>
    <row r="4" ht="18.75" customHeight="1">
      <c r="A4" s="20" t="n"/>
      <c r="B4" s="21" t="n"/>
      <c r="C4" s="20" t="n"/>
      <c r="D4" s="20" t="n"/>
      <c r="E4" s="20" t="n"/>
      <c r="F4" s="20" t="n"/>
      <c r="G4" s="20" t="n"/>
      <c r="H4" s="20" t="n"/>
      <c r="I4" s="20" t="n"/>
      <c r="J4" s="20" t="n"/>
    </row>
    <row r="5" ht="18.75" customHeight="1">
      <c r="A5" s="6" t="inlineStr">
        <is>
          <t>How to use</t>
        </is>
      </c>
      <c r="B5" s="21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18.75" customFormat="1" customHeight="1" s="4">
      <c r="A6" s="21" t="n"/>
      <c r="B6" s="39" t="inlineStr">
        <is>
          <t>1. Fill the blue-font cells in each module sheet.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18.75" customFormat="1" customHeight="1" s="4">
      <c r="A7" s="21" t="n"/>
      <c r="B7" s="39" t="inlineStr">
        <is>
          <t>2. Keep one row per reference refactoring obligation in the Reference Registry section.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</row>
    <row r="8" ht="18.75" customFormat="1" customHeight="1" s="4">
      <c r="A8" s="21" t="n"/>
      <c r="B8" s="39" t="inlineStr">
        <is>
          <t>3. Keep one row per generated action in the Generated Actions section.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</row>
    <row r="9" ht="18.75" customFormat="1" customHeight="1" s="4">
      <c r="A9" s="21" t="n"/>
      <c r="B9" s="39" t="inlineStr">
        <is>
          <t>4. In Matching &amp; Scoring, enter one row per treatment × reference item comparison (or accepted equivalent).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18.75" customFormat="1" customHeight="1" s="4">
      <c r="A10" s="21" t="n"/>
      <c r="B10" s="39" t="inlineStr">
        <is>
          <t>5. The summary box calculates strict TP / FP / FN, precision, recall, F1, and weighted F1 automatically.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18.75" customFormat="1" customHeight="1" s="4">
      <c r="A11" s="21" t="n"/>
      <c r="B11" s="39" t="inlineStr">
        <is>
          <t>6. By default, Partial is counted as FN for strict scoring. You can revise the policy later in analysis if needed.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 ht="18.75" customFormat="1" customHeight="1" s="4">
      <c r="A12" s="21" t="n"/>
      <c r="B12" s="39" t="inlineStr">
        <is>
          <t>7. Replace workbook notes and placeholders with measured values only; do not overwrite formulas.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 ht="18.75" customHeight="1">
      <c r="A13" s="20" t="n"/>
      <c r="B13" s="21" t="n"/>
      <c r="C13" s="20" t="n"/>
      <c r="D13" s="20" t="n"/>
      <c r="E13" s="20" t="n"/>
      <c r="F13" s="20" t="n"/>
      <c r="G13" s="20" t="n"/>
      <c r="H13" s="20" t="n"/>
      <c r="I13" s="20" t="n"/>
      <c r="J13" s="20" t="n"/>
    </row>
    <row r="14" ht="18.75" customHeight="1">
      <c r="A14" s="6" t="inlineStr">
        <is>
          <t>Sheet map</t>
        </is>
      </c>
      <c r="B14" s="21" t="n"/>
      <c r="C14" s="20" t="n"/>
      <c r="D14" s="20" t="n"/>
      <c r="E14" s="20" t="n"/>
      <c r="F14" s="20" t="n"/>
      <c r="G14" s="20" t="n"/>
      <c r="H14" s="20" t="n"/>
      <c r="I14" s="20" t="n"/>
      <c r="J14" s="20" t="n"/>
    </row>
    <row r="15" ht="18.75" customHeight="1">
      <c r="A15" s="20" t="inlineStr">
        <is>
          <t>Data_Dictionary</t>
        </is>
      </c>
      <c r="B15" s="21" t="inlineStr">
        <is>
          <t>Column definitions, coding guide, and scoring policy.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</row>
    <row r="16" ht="18.75" customHeight="1">
      <c r="A16" s="20" t="inlineStr">
        <is>
          <t>Module_M1 ... Module_M5</t>
        </is>
      </c>
      <c r="B16" s="21" t="inlineStr">
        <is>
          <t>Module-specific data entry sheets with integrated formulas.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 ht="18.75" customHeight="1">
      <c r="A17" s="20" t="n"/>
      <c r="B17" s="21" t="n"/>
      <c r="C17" s="20" t="n"/>
      <c r="D17" s="20" t="n"/>
      <c r="E17" s="20" t="n"/>
      <c r="F17" s="20" t="n"/>
      <c r="G17" s="20" t="n"/>
      <c r="H17" s="20" t="n"/>
      <c r="I17" s="20" t="n"/>
      <c r="J17" s="20" t="n"/>
    </row>
    <row r="18" ht="18.75" customHeight="1">
      <c r="A18" s="20" t="n"/>
      <c r="B18" s="21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 ht="18.75" customHeight="1">
      <c r="A19" s="6" t="inlineStr">
        <is>
          <t>Scoring policy</t>
        </is>
      </c>
      <c r="B19" s="21" t="inlineStr">
        <is>
          <t>Strict TP = Exact TP + Equivalent TP; Strict FP = FP Extra + Harmful FP; Strict FN = FN + Partial.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</row>
    <row r="20" ht="18.75" customHeight="1">
      <c r="A20" s="20" t="n"/>
      <c r="B20" s="21" t="inlineStr">
        <is>
          <t>Weighted F1 uses Severity weights: Minor=1, Moderate=2, Major=3, Critical=4.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</row>
    <row r="21" ht="18.75" customHeight="1">
      <c r="A21" s="20" t="n"/>
      <c r="B21" s="21" t="inlineStr">
        <is>
          <t>Behavior score is user-entered on a 0–3 scale in the Behavioral &amp; Quality section.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</row>
    <row r="22" ht="18.75" customHeight="1">
      <c r="A22" s="20" t="n"/>
      <c r="B22" s="21" t="n"/>
      <c r="C22" s="20" t="n"/>
      <c r="D22" s="20" t="n"/>
      <c r="E22" s="20" t="n"/>
      <c r="F22" s="20" t="n"/>
      <c r="G22" s="20" t="n"/>
      <c r="H22" s="20" t="n"/>
      <c r="I22" s="20" t="n"/>
      <c r="J22" s="20" t="n"/>
    </row>
    <row r="23" ht="18.75" customHeight="1">
      <c r="A23" s="20" t="inlineStr">
        <is>
          <t>Example workbook note</t>
        </is>
      </c>
      <c r="B23" s="21" t="inlineStr">
        <is>
          <t>Module_M1 is pre-filled with realistic fabricated example data to guide data entry. Replace only after duplicating patterns into real module sheets.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H18"/>
  <sheetViews>
    <sheetView workbookViewId="0">
      <selection activeCell="A1" sqref="A1"/>
    </sheetView>
  </sheetViews>
  <sheetFormatPr baseColWidth="8" defaultRowHeight="15"/>
  <cols>
    <col width="24.005" bestFit="1" customWidth="1" style="20" min="1" max="1"/>
    <col width="28.005" bestFit="1" customWidth="1" style="20" min="2" max="2"/>
    <col width="90.005" bestFit="1" customWidth="1" style="20" min="3" max="3"/>
    <col width="13.57642857142857" bestFit="1" customWidth="1" style="20" min="4" max="4"/>
    <col width="13.57642857142857" bestFit="1" customWidth="1" style="20" min="5" max="5"/>
    <col width="13.57642857142857" bestFit="1" customWidth="1" style="20" min="6" max="6"/>
    <col width="13.57642857142857" bestFit="1" customWidth="1" style="20" min="7" max="7"/>
    <col width="13.57642857142857" bestFit="1" customWidth="1" style="20" min="8" max="8"/>
  </cols>
  <sheetData>
    <row r="1" ht="18.75" customHeight="1">
      <c r="A1" s="1" t="inlineStr">
        <is>
          <t>Data Dictionary and Coding Guide</t>
        </is>
      </c>
      <c r="B1" s="41" t="n"/>
      <c r="C1" s="41" t="n"/>
      <c r="D1" s="41" t="n"/>
      <c r="E1" s="41" t="n"/>
      <c r="F1" s="41" t="n"/>
      <c r="G1" s="41" t="n"/>
      <c r="H1" s="42" t="n"/>
    </row>
    <row r="2" ht="18.75" customHeight="1">
      <c r="A2" s="20" t="n"/>
      <c r="B2" s="20" t="n"/>
      <c r="C2" s="20" t="n"/>
      <c r="D2" s="20" t="n"/>
      <c r="E2" s="20" t="n"/>
      <c r="F2" s="20" t="n"/>
      <c r="G2" s="20" t="n"/>
      <c r="H2" s="20" t="n"/>
    </row>
    <row r="3" ht="18.75" customHeight="1">
      <c r="A3" s="38" t="inlineStr">
        <is>
          <t>Section</t>
        </is>
      </c>
      <c r="B3" s="38" t="inlineStr">
        <is>
          <t>Field</t>
        </is>
      </c>
      <c r="C3" s="38" t="inlineStr">
        <is>
          <t>Meaning / how to use</t>
        </is>
      </c>
      <c r="D3" s="20" t="n"/>
      <c r="E3" s="20" t="n"/>
      <c r="F3" s="20" t="n"/>
      <c r="G3" s="20" t="n"/>
      <c r="H3" s="20" t="n"/>
    </row>
    <row r="4" ht="18.75" customFormat="1" customHeight="1" s="4">
      <c r="A4" s="21" t="inlineStr">
        <is>
          <t>Module Metadata</t>
        </is>
      </c>
      <c r="B4" s="21" t="inlineStr">
        <is>
          <t>Complexity Level</t>
        </is>
      </c>
      <c r="C4" s="39" t="inlineStr">
        <is>
          <t>Use Low / Medium / High or a finer research label consistent with the manuscript.</t>
        </is>
      </c>
      <c r="D4" s="21" t="n"/>
      <c r="E4" s="21" t="n"/>
      <c r="F4" s="21" t="n"/>
      <c r="G4" s="21" t="n"/>
      <c r="H4" s="21" t="n"/>
    </row>
    <row r="5" ht="18.75" customFormat="1" customHeight="1" s="4">
      <c r="A5" s="21" t="inlineStr">
        <is>
          <t>Treatment Run Log</t>
        </is>
      </c>
      <c r="B5" s="21" t="inlineStr">
        <is>
          <t>Human Iterations</t>
        </is>
      </c>
      <c r="C5" s="39" t="inlineStr">
        <is>
          <t>For AI-Assisted only: number of prompt/repair interaction rounds. Use 0 for autonomous runs.</t>
        </is>
      </c>
      <c r="D5" s="21" t="n"/>
      <c r="E5" s="21" t="n"/>
      <c r="F5" s="21" t="n"/>
      <c r="G5" s="21" t="n"/>
      <c r="H5" s="21" t="n"/>
    </row>
    <row r="6" ht="18.75" customFormat="1" customHeight="1" s="4">
      <c r="A6" s="21" t="inlineStr">
        <is>
          <t>Reference Registry</t>
        </is>
      </c>
      <c r="B6" s="21" t="inlineStr">
        <is>
          <t>RR_ID</t>
        </is>
      </c>
      <c r="C6" s="39" t="inlineStr">
        <is>
          <t>Unique reference refactoring ID, e.g., M1-RR-01.</t>
        </is>
      </c>
      <c r="D6" s="21" t="n"/>
      <c r="E6" s="21" t="n"/>
      <c r="F6" s="21" t="n"/>
      <c r="G6" s="21" t="n"/>
      <c r="H6" s="21" t="n"/>
    </row>
    <row r="7" ht="18.75" customFormat="1" customHeight="1" s="4">
      <c r="A7" s="21" t="inlineStr">
        <is>
          <t>Reference Registry</t>
        </is>
      </c>
      <c r="B7" s="21" t="inlineStr">
        <is>
          <t>Issue Type</t>
        </is>
      </c>
      <c r="C7" s="39" t="inlineStr">
        <is>
          <t>Use the dropdown or a manuscript-consistent extension.</t>
        </is>
      </c>
      <c r="D7" s="21" t="n"/>
      <c r="E7" s="21" t="n"/>
      <c r="F7" s="21" t="n"/>
      <c r="G7" s="21" t="n"/>
      <c r="H7" s="21" t="n"/>
    </row>
    <row r="8" ht="18.75" customFormat="1" customHeight="1" s="4">
      <c r="A8" s="21" t="inlineStr">
        <is>
          <t>Reference Registry</t>
        </is>
      </c>
      <c r="B8" s="21" t="inlineStr">
        <is>
          <t>Refactoring Type</t>
        </is>
      </c>
      <c r="C8" s="39" t="inlineStr">
        <is>
          <t>Use the expected transformation type.</t>
        </is>
      </c>
      <c r="D8" s="21" t="n"/>
      <c r="E8" s="21" t="n"/>
      <c r="F8" s="21" t="n"/>
      <c r="G8" s="21" t="n"/>
      <c r="H8" s="21" t="n"/>
    </row>
    <row r="9" ht="18.75" customFormat="1" customHeight="1" s="4">
      <c r="A9" s="21" t="inlineStr">
        <is>
          <t>Reference Registry</t>
        </is>
      </c>
      <c r="B9" s="21" t="inlineStr">
        <is>
          <t>Severity</t>
        </is>
      </c>
      <c r="C9" s="39" t="inlineStr">
        <is>
          <t>Minor / Moderate / Major / Critical.</t>
        </is>
      </c>
      <c r="D9" s="21" t="n"/>
      <c r="E9" s="21" t="n"/>
      <c r="F9" s="21" t="n"/>
      <c r="G9" s="21" t="n"/>
      <c r="H9" s="21" t="n"/>
    </row>
    <row r="10" ht="18.75" customFormat="1" customHeight="1" s="4">
      <c r="A10" s="21" t="inlineStr">
        <is>
          <t>Reference Registry</t>
        </is>
      </c>
      <c r="B10" s="21" t="inlineStr">
        <is>
          <t>Context Dependence</t>
        </is>
      </c>
      <c r="C10" s="39" t="inlineStr">
        <is>
          <t>Local Code / Framework / Workflow / Business Rules / Mixed.</t>
        </is>
      </c>
      <c r="D10" s="21" t="n"/>
      <c r="E10" s="21" t="n"/>
      <c r="F10" s="21" t="n"/>
      <c r="G10" s="21" t="n"/>
      <c r="H10" s="21" t="n"/>
    </row>
    <row r="11" ht="18.75" customFormat="1" customHeight="1" s="4">
      <c r="A11" s="21" t="inlineStr">
        <is>
          <t>Generated Actions</t>
        </is>
      </c>
      <c r="B11" s="21" t="inlineStr">
        <is>
          <t>GA_ID</t>
        </is>
      </c>
      <c r="C11" s="39" t="inlineStr">
        <is>
          <t>Unique generated action ID, e.g., M1-AIA-GA-01.</t>
        </is>
      </c>
      <c r="D11" s="21" t="n"/>
      <c r="E11" s="21" t="n"/>
      <c r="F11" s="21" t="n"/>
      <c r="G11" s="21" t="n"/>
      <c r="H11" s="21" t="n"/>
    </row>
    <row r="12" ht="18.75" customFormat="1" customHeight="1" s="4">
      <c r="A12" s="21" t="inlineStr">
        <is>
          <t>Generated Actions</t>
        </is>
      </c>
      <c r="B12" s="21" t="inlineStr">
        <is>
          <t>Rationale Quality</t>
        </is>
      </c>
      <c r="C12" s="39" t="inlineStr">
        <is>
          <t>Strong / Adequate / Weak / Misleading.</t>
        </is>
      </c>
      <c r="D12" s="21" t="n"/>
      <c r="E12" s="21" t="n"/>
      <c r="F12" s="21" t="n"/>
      <c r="G12" s="21" t="n"/>
      <c r="H12" s="21" t="n"/>
    </row>
    <row r="13" ht="18.75" customFormat="1" customHeight="1" s="4">
      <c r="A13" s="21" t="inlineStr">
        <is>
          <t>Matching &amp; Scoring</t>
        </is>
      </c>
      <c r="B13" s="21" t="inlineStr">
        <is>
          <t>Final Class</t>
        </is>
      </c>
      <c r="C13" s="39" t="inlineStr">
        <is>
          <t>Exact TP / Equivalent TP / Partial / FN / FP Extra / Harmful FP.</t>
        </is>
      </c>
      <c r="D13" s="21" t="n"/>
      <c r="E13" s="21" t="n"/>
      <c r="F13" s="21" t="n"/>
      <c r="G13" s="21" t="n"/>
      <c r="H13" s="21" t="n"/>
    </row>
    <row r="14" ht="18.75" customFormat="1" customHeight="1" s="4">
      <c r="A14" s="21" t="inlineStr">
        <is>
          <t>Matching &amp; Scoring</t>
        </is>
      </c>
      <c r="B14" s="21" t="inlineStr">
        <is>
          <t>Severity</t>
        </is>
      </c>
      <c r="C14" s="39" t="inlineStr">
        <is>
          <t>Auto-filled from RR_ID via lookup; do not overwrite unless the RR_ID is wrong.</t>
        </is>
      </c>
      <c r="D14" s="21" t="n"/>
      <c r="E14" s="21" t="n"/>
      <c r="F14" s="21" t="n"/>
      <c r="G14" s="21" t="n"/>
      <c r="H14" s="21" t="n"/>
    </row>
    <row r="15" ht="18.75" customFormat="1" customHeight="1" s="4">
      <c r="A15" s="21" t="inlineStr">
        <is>
          <t>Matching &amp; Scoring</t>
        </is>
      </c>
      <c r="B15" s="21" t="inlineStr">
        <is>
          <t>TP / FP / FN flags</t>
        </is>
      </c>
      <c r="C15" s="39" t="inlineStr">
        <is>
          <t>Auto-computed strict scoring flags.</t>
        </is>
      </c>
      <c r="D15" s="21" t="n"/>
      <c r="E15" s="21" t="n"/>
      <c r="F15" s="21" t="n"/>
      <c r="G15" s="21" t="n"/>
      <c r="H15" s="21" t="n"/>
    </row>
    <row r="16" ht="18.75" customFormat="1" customHeight="1" s="4">
      <c r="A16" s="21" t="inlineStr">
        <is>
          <t>Behavioral &amp; Quality</t>
        </is>
      </c>
      <c r="B16" s="21" t="inlineStr">
        <is>
          <t>Behavior Score</t>
        </is>
      </c>
      <c r="C16" s="39" t="inlineStr">
        <is>
          <t>0=broken, 1=major issues, 2=minor issues, 3=preserved.</t>
        </is>
      </c>
      <c r="D16" s="21" t="n"/>
      <c r="E16" s="21" t="n"/>
      <c r="F16" s="21" t="n"/>
      <c r="G16" s="21" t="n"/>
      <c r="H16" s="21" t="n"/>
    </row>
    <row r="17" ht="18.75" customFormat="1" customHeight="1" s="4">
      <c r="A17" s="21" t="inlineStr">
        <is>
          <t>Behavioral &amp; Quality</t>
        </is>
      </c>
      <c r="B17" s="21" t="inlineStr">
        <is>
          <t>Smell Reduction %</t>
        </is>
      </c>
      <c r="C17" s="39" t="inlineStr">
        <is>
          <t>Auto-computed from Smells Before and Smells After.</t>
        </is>
      </c>
      <c r="D17" s="21" t="n"/>
      <c r="E17" s="21" t="n"/>
      <c r="F17" s="21" t="n"/>
      <c r="G17" s="21" t="n"/>
      <c r="H17" s="21" t="n"/>
    </row>
    <row r="18" ht="18.75" customFormat="1" customHeight="1" s="4">
      <c r="A18" s="21" t="inlineStr">
        <is>
          <t>Behavioral &amp; Quality</t>
        </is>
      </c>
      <c r="B18" s="21" t="inlineStr">
        <is>
          <t>Integration Readiness</t>
        </is>
      </c>
      <c r="C18" s="39" t="inlineStr">
        <is>
          <t>Merge Ready / Minor Fixes / Major Rework / Reject.</t>
        </is>
      </c>
      <c r="D18" s="21" t="n"/>
      <c r="E18" s="21" t="n"/>
      <c r="F18" s="21" t="n"/>
      <c r="G18" s="21" t="n"/>
      <c r="H18" s="21" t="n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242"/>
  <sheetViews>
    <sheetView tabSelected="1" workbookViewId="0">
      <selection activeCell="A1" sqref="A1"/>
    </sheetView>
  </sheetViews>
  <sheetFormatPr baseColWidth="8" defaultRowHeight="15"/>
  <cols>
    <col width="18.005" bestFit="1" customWidth="1" style="20" min="1" max="1"/>
    <col width="18.005" bestFit="1" customWidth="1" style="36" min="2" max="2"/>
    <col width="87.57642857142856" bestFit="1" customWidth="1" style="21" min="3" max="3"/>
    <col width="24.005" bestFit="1" customWidth="1" style="21" min="4" max="4"/>
    <col width="18.005" bestFit="1" customWidth="1" style="20" min="5" max="5"/>
    <col width="18.005" bestFit="1" customWidth="1" style="37" min="6" max="6"/>
    <col width="14.005" bestFit="1" customWidth="1" style="21" min="7" max="7"/>
    <col width="14.005" bestFit="1" customWidth="1" style="20" min="8" max="8"/>
    <col width="14.005" bestFit="1" customWidth="1" style="20" min="9" max="9"/>
    <col width="18.005" bestFit="1" customWidth="1" style="20" min="10" max="10"/>
    <col width="18.005" bestFit="1" customWidth="1" style="20" min="11" max="11"/>
    <col width="14.005" bestFit="1" customWidth="1" style="20" min="12" max="12"/>
    <col width="14.005" bestFit="1" customWidth="1" style="20" min="13" max="13"/>
    <col width="18.005" bestFit="1" customWidth="1" style="20" min="14" max="14"/>
    <col width="14.005" bestFit="1" customWidth="1" style="20" min="15" max="15"/>
    <col width="14.005" bestFit="1" customWidth="1" style="20" min="16" max="16"/>
    <col width="14.005" bestFit="1" customWidth="1" style="20" min="17" max="17"/>
    <col width="14.005" bestFit="1" customWidth="1" style="20" min="18" max="18"/>
    <col width="14.005" bestFit="1" customWidth="1" style="20" min="19" max="19"/>
    <col width="14.005" bestFit="1" customWidth="1" style="20" min="20" max="20"/>
  </cols>
  <sheetData>
    <row r="1" ht="21.75" customHeight="1">
      <c r="A1" s="1" t="inlineStr">
        <is>
          <t>Module_M1 — Data Collection Sheet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82.5" customFormat="1" customHeight="1" s="4">
      <c r="A2" s="5" t="inlineStr">
        <is>
          <t>Blue-font cells are for input. Black-font cells contain formulas. Replace placeholders only where appropriate.</t>
        </is>
      </c>
      <c r="B2" s="37" t="n"/>
      <c r="C2" s="21" t="n"/>
      <c r="D2" s="21" t="n"/>
      <c r="E2" s="21" t="n"/>
      <c r="F2" s="37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ht="18.75" customHeight="1">
      <c r="A3" s="20" t="n"/>
      <c r="B3" s="36" t="n"/>
      <c r="C3" s="21" t="n"/>
      <c r="D3" s="21" t="n"/>
      <c r="E3" s="20" t="n"/>
      <c r="F3" s="37" t="n"/>
      <c r="G3" s="21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21.75" customHeight="1">
      <c r="A4" s="1" t="inlineStr">
        <is>
          <t>1. Module Metadata</t>
        </is>
      </c>
      <c r="B4" s="41" t="n"/>
      <c r="C4" s="41" t="n"/>
      <c r="D4" s="41" t="n"/>
      <c r="E4" s="41" t="n"/>
      <c r="F4" s="42" t="n"/>
      <c r="G4" s="21" t="n"/>
      <c r="H4" s="1" t="inlineStr">
        <is>
          <t>2. Auto-Calculated Summary by Treatment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2" t="n"/>
    </row>
    <row r="5" ht="20.25" customHeight="1">
      <c r="A5" s="6" t="inlineStr">
        <is>
          <t>Module ID</t>
        </is>
      </c>
      <c r="B5" s="24" t="inlineStr">
        <is>
          <t>M1</t>
        </is>
      </c>
      <c r="C5" s="21" t="n"/>
      <c r="D5" s="21" t="n"/>
      <c r="E5" s="20" t="n"/>
      <c r="F5" s="37" t="n"/>
      <c r="G5" s="21" t="n"/>
      <c r="H5" s="8" t="inlineStr">
        <is>
          <t>Treatment</t>
        </is>
      </c>
      <c r="I5" s="8" t="inlineStr">
        <is>
          <t>TP</t>
        </is>
      </c>
      <c r="J5" s="8" t="inlineStr">
        <is>
          <t>Partial</t>
        </is>
      </c>
      <c r="K5" s="8" t="inlineStr">
        <is>
          <t>FP</t>
        </is>
      </c>
      <c r="L5" s="8" t="inlineStr">
        <is>
          <t>FN</t>
        </is>
      </c>
      <c r="M5" s="8" t="inlineStr">
        <is>
          <t>Precision</t>
        </is>
      </c>
      <c r="N5" s="8" t="inlineStr">
        <is>
          <t>Recall</t>
        </is>
      </c>
      <c r="O5" s="8" t="inlineStr">
        <is>
          <t>F1</t>
        </is>
      </c>
      <c r="P5" s="8" t="inlineStr">
        <is>
          <t>Weighted F1</t>
        </is>
      </c>
      <c r="Q5" s="8" t="inlineStr">
        <is>
          <t>Behavior Score</t>
        </is>
      </c>
      <c r="R5" s="8" t="inlineStr">
        <is>
          <t>Smell Red.%</t>
        </is>
      </c>
      <c r="S5" s="8" t="inlineStr">
        <is>
          <t>Integration</t>
        </is>
      </c>
      <c r="T5" s="20" t="n"/>
    </row>
    <row r="6" ht="20.25" customHeight="1">
      <c r="A6" s="6" t="inlineStr">
        <is>
          <t>Module Name</t>
        </is>
      </c>
      <c r="B6" s="24" t="inlineStr">
        <is>
          <t>Complaint Management System</t>
        </is>
      </c>
      <c r="C6" s="21" t="n"/>
      <c r="D6" s="21" t="n"/>
      <c r="E6" s="20" t="n"/>
      <c r="F6" s="37" t="n"/>
      <c r="G6" s="21" t="n"/>
      <c r="H6" s="6" t="inlineStr">
        <is>
          <t>AI-Assisted</t>
        </is>
      </c>
      <c r="I6" s="9">
        <f>SUMIFS($L$89:$L$210,$A$89:$A$210,$H6)</f>
        <v/>
      </c>
      <c r="J6" s="9">
        <f>COUNTIFS($A$89:$A$210,$H6,$G$89:$G$210,"Partial")</f>
        <v/>
      </c>
      <c r="K6" s="9">
        <f>SUMIFS($M$89:$M$210,$A$89:$A$210,$H6)</f>
        <v/>
      </c>
      <c r="L6" s="9">
        <f>SUMIFS($N$89:$N$210,$A$89:$A$210,$H6)</f>
        <v/>
      </c>
      <c r="M6" s="10">
        <f>IFERROR(I6/(I6+K6),"")</f>
        <v/>
      </c>
      <c r="N6" s="10">
        <f>IFERROR(I6/(I6+L6),"")</f>
        <v/>
      </c>
      <c r="O6" s="10">
        <f>IFERROR(2*M6*N6/(M6+N6),"")</f>
        <v/>
      </c>
      <c r="P6" s="10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9">
        <f>IFERROR(INDEX($F$215:$F$218,MATCH($H6,$A$215:$A$218,0)),"")</f>
        <v/>
      </c>
      <c r="R6" s="10">
        <f>IFERROR(INDEX($J$215:$J$218,MATCH($H6,$A$215:$A$218,0)),"")</f>
        <v/>
      </c>
      <c r="S6" s="11">
        <f>IFERROR(INDEX($R$215:$R$218,MATCH($H6,$A$215:$A$218,0)),"")</f>
        <v/>
      </c>
      <c r="T6" s="20" t="n"/>
    </row>
    <row r="7" ht="20.25" customHeight="1">
      <c r="A7" s="6" t="inlineStr">
        <is>
          <t>Functional Area</t>
        </is>
      </c>
      <c r="B7" s="24" t="inlineStr">
        <is>
          <t>Campus complaint lifecycle: lodging, assignment, resolution, feedback</t>
        </is>
      </c>
      <c r="C7" s="21" t="n"/>
      <c r="D7" s="21" t="n"/>
      <c r="E7" s="20" t="n"/>
      <c r="F7" s="37" t="n"/>
      <c r="G7" s="21" t="n"/>
      <c r="H7" s="6" t="inlineStr">
        <is>
          <t>Auto Tool A</t>
        </is>
      </c>
      <c r="I7" s="9">
        <f>SUMIFS($L$89:$L$210,$A$89:$A$210,$H7)</f>
        <v/>
      </c>
      <c r="J7" s="9">
        <f>COUNTIFS($A$89:$A$210,$H7,$G$89:$G$210,"Partial")</f>
        <v/>
      </c>
      <c r="K7" s="9">
        <f>SUMIFS($M$89:$M$210,$A$89:$A$210,$H7)</f>
        <v/>
      </c>
      <c r="L7" s="9">
        <f>SUMIFS($N$89:$N$210,$A$89:$A$210,$H7)</f>
        <v/>
      </c>
      <c r="M7" s="10">
        <f>IFERROR(I7/(I7+K7),"")</f>
        <v/>
      </c>
      <c r="N7" s="10">
        <f>IFERROR(I7/(I7+L7),"")</f>
        <v/>
      </c>
      <c r="O7" s="10">
        <f>IFERROR(2*M7*N7/(M7+N7),"")</f>
        <v/>
      </c>
      <c r="P7" s="10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9">
        <f>IFERROR(INDEX($F$215:$F$218,MATCH($H7,$A$215:$A$218,0)),"")</f>
        <v/>
      </c>
      <c r="R7" s="10">
        <f>IFERROR(INDEX($J$215:$J$218,MATCH($H7,$A$215:$A$218,0)),"")</f>
        <v/>
      </c>
      <c r="S7" s="11">
        <f>IFERROR(INDEX($R$215:$R$218,MATCH($H7,$A$215:$A$218,0)),"")</f>
        <v/>
      </c>
      <c r="T7" s="20" t="n"/>
    </row>
    <row r="8" ht="20.25" customHeight="1">
      <c r="A8" s="6" t="inlineStr">
        <is>
          <t>Complexity Level</t>
        </is>
      </c>
      <c r="B8" s="24" t="inlineStr">
        <is>
          <t>Medium</t>
        </is>
      </c>
      <c r="C8" s="21" t="n"/>
      <c r="D8" s="21" t="n"/>
      <c r="E8" s="20" t="n"/>
      <c r="F8" s="37" t="n"/>
      <c r="G8" s="21" t="n"/>
      <c r="H8" s="6" t="inlineStr">
        <is>
          <t>Auto Tool B</t>
        </is>
      </c>
      <c r="I8" s="9">
        <f>SUMIFS($L$89:$L$210,$A$89:$A$210,$H8)</f>
        <v/>
      </c>
      <c r="J8" s="9">
        <f>COUNTIFS($A$89:$A$210,$H8,$G$89:$G$210,"Partial")</f>
        <v/>
      </c>
      <c r="K8" s="9">
        <f>SUMIFS($M$89:$M$210,$A$89:$A$210,$H8)</f>
        <v/>
      </c>
      <c r="L8" s="9">
        <f>SUMIFS($N$89:$N$210,$A$89:$A$210,$H8)</f>
        <v/>
      </c>
      <c r="M8" s="10">
        <f>IFERROR(I8/(I8+K8),"")</f>
        <v/>
      </c>
      <c r="N8" s="10">
        <f>IFERROR(I8/(I8+L8),"")</f>
        <v/>
      </c>
      <c r="O8" s="10">
        <f>IFERROR(2*M8*N8/(M8+N8),"")</f>
        <v/>
      </c>
      <c r="P8" s="10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9">
        <f>IFERROR(INDEX($F$215:$F$218,MATCH($H8,$A$215:$A$218,0)),"")</f>
        <v/>
      </c>
      <c r="R8" s="10">
        <f>IFERROR(INDEX($J$215:$J$218,MATCH($H8,$A$215:$A$218,0)),"")</f>
        <v/>
      </c>
      <c r="S8" s="11">
        <f>IFERROR(INDEX($R$215:$R$218,MATCH($H8,$A$215:$A$218,0)),"")</f>
        <v/>
      </c>
      <c r="T8" s="20" t="n"/>
    </row>
    <row r="9" ht="20.25" customHeight="1">
      <c r="A9" s="6" t="inlineStr">
        <is>
          <t>Approx. LOC</t>
        </is>
      </c>
      <c r="B9" s="25" t="n">
        <v>1739</v>
      </c>
      <c r="C9" s="21" t="n"/>
      <c r="D9" s="21" t="n"/>
      <c r="E9" s="20" t="n"/>
      <c r="F9" s="37" t="n"/>
      <c r="G9" s="21" t="n"/>
      <c r="H9" s="6" t="inlineStr">
        <is>
          <t>Auto Tool C</t>
        </is>
      </c>
      <c r="I9" s="9">
        <f>SUMIFS($L$89:$L$210,$A$89:$A$210,$H9)</f>
        <v/>
      </c>
      <c r="J9" s="9">
        <f>COUNTIFS($A$89:$A$210,$H9,$G$89:$G$210,"Partial")</f>
        <v/>
      </c>
      <c r="K9" s="9">
        <f>SUMIFS($M$89:$M$210,$A$89:$A$210,$H9)</f>
        <v/>
      </c>
      <c r="L9" s="9">
        <f>SUMIFS($N$89:$N$210,$A$89:$A$210,$H9)</f>
        <v/>
      </c>
      <c r="M9" s="10">
        <f>IFERROR(I9/(I9+K9),"")</f>
        <v/>
      </c>
      <c r="N9" s="10">
        <f>IFERROR(I9/(I9+L9),"")</f>
        <v/>
      </c>
      <c r="O9" s="10">
        <f>IFERROR(2*M9*N9/(M9+N9),"")</f>
        <v/>
      </c>
      <c r="P9" s="10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9">
        <f>IFERROR(INDEX($F$215:$F$218,MATCH($H9,$A$215:$A$218,0)),"")</f>
        <v/>
      </c>
      <c r="R9" s="10">
        <f>IFERROR(INDEX($J$215:$J$218,MATCH($H9,$A$215:$A$218,0)),"")</f>
        <v/>
      </c>
      <c r="S9" s="11">
        <f>IFERROR(INDEX($R$215:$R$218,MATCH($H9,$A$215:$A$218,0)),"")</f>
        <v/>
      </c>
      <c r="T9" s="20" t="n"/>
    </row>
    <row r="10" ht="20.25" customHeight="1">
      <c r="A10" s="6" t="inlineStr">
        <is>
          <t>Python Files</t>
        </is>
      </c>
      <c r="B10" s="25" t="n">
        <v>13</v>
      </c>
      <c r="C10" s="21" t="n"/>
      <c r="D10" s="21" t="n"/>
      <c r="E10" s="20" t="n"/>
      <c r="F10" s="37" t="n"/>
      <c r="G10" s="21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20.25" customHeight="1">
      <c r="A11" s="6" t="inlineStr">
        <is>
          <t>Initial Smell Count</t>
        </is>
      </c>
      <c r="B11" s="25" t="n">
        <v>24</v>
      </c>
      <c r="C11" s="21" t="n"/>
      <c r="D11" s="21" t="n"/>
      <c r="E11" s="20" t="n"/>
      <c r="F11" s="37" t="n"/>
      <c r="G11" s="21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20.25" customHeight="1">
      <c r="A12" s="6" t="inlineStr">
        <is>
          <t>Evaluator(s)</t>
        </is>
      </c>
      <c r="B12" s="24" t="inlineStr">
        <is>
          <t>Claude Opus 4 structural audit</t>
        </is>
      </c>
      <c r="C12" s="21" t="n"/>
      <c r="D12" s="21" t="n"/>
      <c r="E12" s="20" t="n"/>
      <c r="F12" s="37" t="n"/>
      <c r="G12" s="21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8.75" customHeight="1">
      <c r="A13" s="20" t="n"/>
      <c r="B13" s="36" t="n"/>
      <c r="C13" s="21" t="n"/>
      <c r="D13" s="21" t="n"/>
      <c r="E13" s="20" t="n"/>
      <c r="F13" s="37" t="n"/>
      <c r="G13" s="21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21.75" customHeight="1">
      <c r="A14" s="1" t="inlineStr">
        <is>
          <t>3. Treatment Run Log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8.75" customFormat="1" customHeight="1" s="4">
      <c r="A15" s="8" t="inlineStr">
        <is>
          <t>Treatment</t>
        </is>
      </c>
      <c r="B15" s="26" t="inlineStr">
        <is>
          <t>Tool / Workflow</t>
        </is>
      </c>
      <c r="C15" s="8" t="inlineStr">
        <is>
          <t>Model Version</t>
        </is>
      </c>
      <c r="D15" s="8" t="inlineStr">
        <is>
          <t>Prompt Template</t>
        </is>
      </c>
      <c r="E15" s="8" t="inlineStr">
        <is>
          <t>Run Date</t>
        </is>
      </c>
      <c r="F15" s="26" t="inlineStr">
        <is>
          <t>Human Iterations</t>
        </is>
      </c>
      <c r="G15" s="8" t="inlineStr">
        <is>
          <t>Output ID</t>
        </is>
      </c>
      <c r="H15" s="8" t="inlineStr">
        <is>
          <t>Files Changed</t>
        </is>
      </c>
      <c r="I15" s="8" t="inlineStr">
        <is>
          <t>LOC Changed</t>
        </is>
      </c>
      <c r="J15" s="8" t="inlineStr">
        <is>
          <t>Build Status</t>
        </is>
      </c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49.5" customHeight="1">
      <c r="A16" s="27" t="inlineStr">
        <is>
          <t>AI-Assisted</t>
        </is>
      </c>
      <c r="B16" s="28" t="inlineStr">
        <is>
          <t>Human-guided Claude Code workflow</t>
        </is>
      </c>
      <c r="C16" s="29" t="inlineStr">
        <is>
          <t>Claude Opus 4.6</t>
        </is>
      </c>
      <c r="D16" s="29" t="inlineStr">
        <is>
          <t>RefactorPrompt_v1.0</t>
        </is>
      </c>
      <c r="E16" s="29" t="inlineStr">
        <is>
          <t>2026-03-26</t>
        </is>
      </c>
      <c r="F16" s="30" t="n">
        <v>1</v>
      </c>
      <c r="G16" s="29" t="inlineStr">
        <is>
          <t>M1_AIA_v1</t>
        </is>
      </c>
      <c r="H16" s="12" t="n"/>
      <c r="I16" s="12" t="n"/>
      <c r="J16" s="12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20.25" customHeight="1">
      <c r="A17" s="27" t="inlineStr">
        <is>
          <t>Auto Tool A</t>
        </is>
      </c>
      <c r="B17" s="31" t="inlineStr">
        <is>
          <t>Autonomous tool A</t>
        </is>
      </c>
      <c r="C17" s="12" t="inlineStr">
        <is>
          <t>Tool-A-2026.1</t>
        </is>
      </c>
      <c r="D17" s="12" t="inlineStr">
        <is>
          <t>RefactorPrompt_v1.0</t>
        </is>
      </c>
      <c r="E17" s="12" t="inlineStr">
        <is>
          <t>2026-03-24</t>
        </is>
      </c>
      <c r="F17" s="32" t="n">
        <v>0</v>
      </c>
      <c r="G17" s="12" t="inlineStr">
        <is>
          <t>M1_ATA_v1</t>
        </is>
      </c>
      <c r="H17" s="12" t="n"/>
      <c r="I17" s="12" t="n"/>
      <c r="J17" s="12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20.25" customHeight="1">
      <c r="A18" s="27" t="inlineStr">
        <is>
          <t>Auto Tool B</t>
        </is>
      </c>
      <c r="B18" s="31" t="inlineStr">
        <is>
          <t>Autonomous tool B</t>
        </is>
      </c>
      <c r="C18" s="12" t="inlineStr">
        <is>
          <t>Tool-B-2026.1</t>
        </is>
      </c>
      <c r="D18" s="12" t="inlineStr">
        <is>
          <t>RefactorPrompt_v1.0</t>
        </is>
      </c>
      <c r="E18" s="12" t="inlineStr">
        <is>
          <t>2026-03-24</t>
        </is>
      </c>
      <c r="F18" s="32" t="n">
        <v>0</v>
      </c>
      <c r="G18" s="12" t="inlineStr">
        <is>
          <t>M1_ATB_v1</t>
        </is>
      </c>
      <c r="H18" s="12" t="n"/>
      <c r="I18" s="12" t="n"/>
      <c r="J18" s="12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20.25" customHeight="1">
      <c r="A19" s="27" t="inlineStr">
        <is>
          <t>Auto Tool C</t>
        </is>
      </c>
      <c r="B19" s="31" t="inlineStr">
        <is>
          <t>Autonomous tool C</t>
        </is>
      </c>
      <c r="C19" s="12" t="inlineStr">
        <is>
          <t>Tool-C-2026.1</t>
        </is>
      </c>
      <c r="D19" s="12" t="inlineStr">
        <is>
          <t>RefactorPrompt_v1.0</t>
        </is>
      </c>
      <c r="E19" s="12" t="inlineStr">
        <is>
          <t>2026-03-24</t>
        </is>
      </c>
      <c r="F19" s="32" t="n">
        <v>0</v>
      </c>
      <c r="G19" s="12" t="inlineStr">
        <is>
          <t>M1_ATC_v1</t>
        </is>
      </c>
      <c r="H19" s="12" t="n"/>
      <c r="I19" s="12" t="n"/>
      <c r="J19" s="12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.75" customHeight="1">
      <c r="A20" s="20" t="n"/>
      <c r="B20" s="36" t="n"/>
      <c r="C20" s="21" t="n"/>
      <c r="D20" s="21" t="n"/>
      <c r="E20" s="20" t="n"/>
      <c r="F20" s="37" t="n"/>
      <c r="G20" s="21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8.75" customHeight="1">
      <c r="A21" s="20" t="n"/>
      <c r="B21" s="36" t="n"/>
      <c r="C21" s="21" t="n"/>
      <c r="D21" s="21" t="n"/>
      <c r="E21" s="20" t="n"/>
      <c r="F21" s="37" t="n"/>
      <c r="G21" s="2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.75" customHeight="1">
      <c r="A22" s="20" t="n"/>
      <c r="B22" s="36" t="n"/>
      <c r="C22" s="21" t="n"/>
      <c r="D22" s="21" t="n"/>
      <c r="E22" s="20" t="n"/>
      <c r="F22" s="37" t="n"/>
      <c r="G22" s="21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21.75" customHeight="1">
      <c r="A23" s="1" t="inlineStr">
        <is>
          <t>4. Reference Refactoring Registry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  <c r="O23" s="20" t="n"/>
      <c r="P23" s="20" t="n"/>
      <c r="Q23" s="20" t="n"/>
      <c r="R23" s="20" t="n"/>
      <c r="S23" s="20" t="n"/>
      <c r="T23" s="20" t="n"/>
    </row>
    <row r="24" ht="31.5" customFormat="1" customHeight="1" s="4">
      <c r="A24" s="8" t="inlineStr">
        <is>
          <t>RR_ID</t>
        </is>
      </c>
      <c r="B24" s="26" t="inlineStr">
        <is>
          <t>Location</t>
        </is>
      </c>
      <c r="C24" s="8" t="inlineStr">
        <is>
          <t>Issue Description</t>
        </is>
      </c>
      <c r="D24" s="8" t="inlineStr">
        <is>
          <t>Issue Type</t>
        </is>
      </c>
      <c r="E24" s="8" t="inlineStr">
        <is>
          <t>Refactoring Type</t>
        </is>
      </c>
      <c r="F24" s="26" t="inlineStr">
        <is>
          <t>Intent</t>
        </is>
      </c>
      <c r="G24" s="8" t="inlineStr">
        <is>
          <t>Severity</t>
        </is>
      </c>
      <c r="H24" s="8" t="inlineStr">
        <is>
          <t>Granularity</t>
        </is>
      </c>
      <c r="I24" s="8" t="inlineStr">
        <is>
          <t>Dependency Scope</t>
        </is>
      </c>
      <c r="J24" s="8" t="inlineStr">
        <is>
          <t>Behavioral Risk</t>
        </is>
      </c>
      <c r="K24" s="8" t="inlineStr">
        <is>
          <t>Context Dependence</t>
        </is>
      </c>
      <c r="L24" s="8" t="inlineStr">
        <is>
          <t>Mandatory?</t>
        </is>
      </c>
      <c r="M24" s="8" t="inlineStr">
        <is>
          <t>Acceptable Alternatives</t>
        </is>
      </c>
      <c r="N24" s="8" t="inlineStr">
        <is>
          <t>Notes</t>
        </is>
      </c>
      <c r="O24" s="21" t="n"/>
      <c r="P24" s="21" t="n"/>
      <c r="Q24" s="21" t="n"/>
      <c r="R24" s="21" t="n"/>
      <c r="S24" s="21" t="n"/>
      <c r="T24" s="21" t="n"/>
    </row>
    <row r="25" ht="92.25" customFormat="1" customHeight="1" s="4">
      <c r="A25" s="29" t="inlineStr">
        <is>
          <t>RR-01</t>
        </is>
      </c>
      <c r="B25" s="33" t="inlineStr">
        <is>
          <t>models.py:AreaChoices</t>
        </is>
      </c>
      <c r="C25" s="29" t="inlineStr">
        <is>
          <t>Area choices defined as plain tuples in Constants class instead of Django TextChoices enum</t>
        </is>
      </c>
      <c r="D25" s="34" t="inlineStr">
        <is>
          <t>Other (non-idiomatic choices definition)</t>
        </is>
      </c>
      <c r="E25" s="29" t="inlineStr">
        <is>
          <t>Extract Class</t>
        </is>
      </c>
      <c r="F25" s="33" t="inlineStr">
        <is>
          <t>Architecture Conformance</t>
        </is>
      </c>
      <c r="G25" s="29" t="inlineStr">
        <is>
          <t>Moderate</t>
        </is>
      </c>
      <c r="H25" s="34" t="inlineStr">
        <is>
          <t>Class</t>
        </is>
      </c>
      <c r="I25" s="29" t="inlineStr">
        <is>
          <t>Inter-class</t>
        </is>
      </c>
      <c r="J25" s="34" t="inlineStr">
        <is>
          <t>Low</t>
        </is>
      </c>
      <c r="K25" s="29" t="inlineStr">
        <is>
          <t>Framework</t>
        </is>
      </c>
      <c r="L25" s="34" t="inlineStr">
        <is>
          <t>Yes</t>
        </is>
      </c>
      <c r="M25" s="29" t="inlineStr"/>
      <c r="N25" s="34" t="inlineStr">
        <is>
          <t>Backward-compat Constants alias preserves existing references</t>
        </is>
      </c>
      <c r="O25" s="21" t="n"/>
      <c r="P25" s="21" t="n"/>
      <c r="Q25" s="21" t="n"/>
      <c r="R25" s="21" t="n"/>
      <c r="S25" s="21" t="n"/>
      <c r="T25" s="21" t="n"/>
    </row>
    <row r="26" ht="91.5" customFormat="1" customHeight="1" s="4">
      <c r="A26" s="29" t="inlineStr">
        <is>
          <t>RR-02</t>
        </is>
      </c>
      <c r="B26" s="33" t="inlineStr">
        <is>
          <t>models.py:ComplaintTypeChoices</t>
        </is>
      </c>
      <c r="C26" s="29" t="inlineStr">
        <is>
          <t>Complaint type choices defined as plain tuples instead of Django TextChoices enum</t>
        </is>
      </c>
      <c r="D26" s="34" t="inlineStr">
        <is>
          <t>Other (non-idiomatic choices definition)</t>
        </is>
      </c>
      <c r="E26" s="29" t="inlineStr">
        <is>
          <t>Extract Class</t>
        </is>
      </c>
      <c r="F26" s="33" t="inlineStr">
        <is>
          <t>Architecture Conformance</t>
        </is>
      </c>
      <c r="G26" s="29" t="inlineStr">
        <is>
          <t>Moderate</t>
        </is>
      </c>
      <c r="H26" s="34" t="inlineStr">
        <is>
          <t>Class</t>
        </is>
      </c>
      <c r="I26" s="29" t="inlineStr">
        <is>
          <t>Inter-class</t>
        </is>
      </c>
      <c r="J26" s="34" t="inlineStr">
        <is>
          <t>Low</t>
        </is>
      </c>
      <c r="K26" s="29" t="inlineStr">
        <is>
          <t>Framework</t>
        </is>
      </c>
      <c r="L26" s="34" t="inlineStr">
        <is>
          <t>Yes</t>
        </is>
      </c>
      <c r="M26" s="29" t="inlineStr"/>
      <c r="N26" s="34" t="inlineStr">
        <is>
          <t>Backward-compat Constants alias preserves existing references</t>
        </is>
      </c>
      <c r="O26" s="21" t="n"/>
      <c r="P26" s="21" t="n"/>
      <c r="Q26" s="21" t="n"/>
      <c r="R26" s="21" t="n"/>
      <c r="S26" s="21" t="n"/>
      <c r="T26" s="21" t="n"/>
    </row>
    <row r="27" ht="91.5" customFormat="1" customHeight="1" s="4">
      <c r="A27" s="29" t="inlineStr">
        <is>
          <t>RR-03</t>
        </is>
      </c>
      <c r="B27" s="33" t="inlineStr">
        <is>
          <t>models.py:ComplaintStatus</t>
        </is>
      </c>
      <c r="C27" s="29" t="inlineStr">
        <is>
          <t>Complaint status values hard-coded as raw integers with no semantic meaning</t>
        </is>
      </c>
      <c r="D27" s="34" t="inlineStr">
        <is>
          <t>Other (magic numbers)</t>
        </is>
      </c>
      <c r="E27" s="29" t="inlineStr">
        <is>
          <t>Extract Class</t>
        </is>
      </c>
      <c r="F27" s="33" t="inlineStr">
        <is>
          <t>Readability</t>
        </is>
      </c>
      <c r="G27" s="29" t="inlineStr">
        <is>
          <t>Moderate</t>
        </is>
      </c>
      <c r="H27" s="34" t="inlineStr">
        <is>
          <t>Class</t>
        </is>
      </c>
      <c r="I27" s="29" t="inlineStr">
        <is>
          <t>Inter-class</t>
        </is>
      </c>
      <c r="J27" s="34" t="inlineStr">
        <is>
          <t>Low</t>
        </is>
      </c>
      <c r="K27" s="29" t="inlineStr">
        <is>
          <t>Business Rules</t>
        </is>
      </c>
      <c r="L27" s="34" t="inlineStr">
        <is>
          <t>Yes</t>
        </is>
      </c>
      <c r="M27" s="29" t="inlineStr">
        <is>
          <t>Module-level constants dict</t>
        </is>
      </c>
      <c r="N27" s="34" t="inlineStr">
        <is>
          <t>IntegerChoices ensures DB values unchanged</t>
        </is>
      </c>
      <c r="O27" s="21" t="n"/>
      <c r="P27" s="21" t="n"/>
      <c r="Q27" s="21" t="n"/>
      <c r="R27" s="21" t="n"/>
      <c r="S27" s="21" t="n"/>
      <c r="T27" s="21" t="n"/>
    </row>
    <row r="28" ht="91.5" customFormat="1" customHeight="1" s="4">
      <c r="A28" s="29" t="inlineStr">
        <is>
          <t>RR-04</t>
        </is>
      </c>
      <c r="B28" s="33" t="inlineStr">
        <is>
          <t>models.py:StudentComplain.Meta</t>
        </is>
      </c>
      <c r="C28" s="29" t="inlineStr">
        <is>
          <t>Inner class declared as lowercase class meta causing Django to silently ignore db_table</t>
        </is>
      </c>
      <c r="D28" s="34" t="inlineStr">
        <is>
          <t>Naming / Readability</t>
        </is>
      </c>
      <c r="E28" s="29" t="inlineStr">
        <is>
          <t>Rename</t>
        </is>
      </c>
      <c r="F28" s="33" t="inlineStr">
        <is>
          <t>Architecture Conformance</t>
        </is>
      </c>
      <c r="G28" s="29" t="inlineStr">
        <is>
          <t>Major</t>
        </is>
      </c>
      <c r="H28" s="34" t="inlineStr">
        <is>
          <t>Statement</t>
        </is>
      </c>
      <c r="I28" s="29" t="inlineStr">
        <is>
          <t>Local</t>
        </is>
      </c>
      <c r="J28" s="34" t="inlineStr">
        <is>
          <t>Medium</t>
        </is>
      </c>
      <c r="K28" s="29" t="inlineStr">
        <is>
          <t>Framework</t>
        </is>
      </c>
      <c r="L28" s="34" t="inlineStr">
        <is>
          <t>Yes</t>
        </is>
      </c>
      <c r="M28" s="29" t="inlineStr"/>
      <c r="N28" s="34" t="inlineStr">
        <is>
          <t>Fixes silent misconfiguration</t>
        </is>
      </c>
      <c r="O28" s="21" t="n"/>
      <c r="P28" s="21" t="n"/>
      <c r="Q28" s="21" t="n"/>
      <c r="R28" s="21" t="n"/>
      <c r="S28" s="21" t="n"/>
      <c r="T28" s="21" t="n"/>
    </row>
    <row r="29" ht="105.75" customFormat="1" customHeight="1" s="4">
      <c r="A29" s="29" t="inlineStr">
        <is>
          <t>RR-05</t>
        </is>
      </c>
      <c r="B29" s="33" t="inlineStr">
        <is>
          <t>services.py:forward_complaint_to_service_provider</t>
        </is>
      </c>
      <c r="C29" s="29" t="inlineStr">
        <is>
          <t>Direct ExtraInfo.objects.get() call bypasses selector layer</t>
        </is>
      </c>
      <c r="D29" s="34" t="inlineStr">
        <is>
          <t>Layer Violation</t>
        </is>
      </c>
      <c r="E29" s="29" t="inlineStr">
        <is>
          <t>Move Query to Manager/QuerySet</t>
        </is>
      </c>
      <c r="F29" s="33" t="inlineStr">
        <is>
          <t>Architecture Conformance</t>
        </is>
      </c>
      <c r="G29" s="29" t="inlineStr">
        <is>
          <t>Moderate</t>
        </is>
      </c>
      <c r="H29" s="34" t="inlineStr">
        <is>
          <t>Statement</t>
        </is>
      </c>
      <c r="I29" s="29" t="inlineStr">
        <is>
          <t>Inter-layer</t>
        </is>
      </c>
      <c r="J29" s="34" t="inlineStr">
        <is>
          <t>Low</t>
        </is>
      </c>
      <c r="K29" s="29" t="inlineStr">
        <is>
          <t>Local Code</t>
        </is>
      </c>
      <c r="L29" s="34" t="inlineStr">
        <is>
          <t>Yes</t>
        </is>
      </c>
      <c r="M29" s="29" t="inlineStr"/>
      <c r="N29" s="34" t="inlineStr">
        <is>
          <t>New selector get_extrainfo_by_id created</t>
        </is>
      </c>
      <c r="O29" s="21" t="n"/>
      <c r="P29" s="21" t="n"/>
      <c r="Q29" s="21" t="n"/>
      <c r="R29" s="21" t="n"/>
      <c r="S29" s="21" t="n"/>
      <c r="T29" s="21" t="n"/>
    </row>
    <row r="30" ht="77.25" customFormat="1" customHeight="1" s="4">
      <c r="A30" s="29" t="inlineStr">
        <is>
          <t>RR-06</t>
        </is>
      </c>
      <c r="B30" s="33" t="inlineStr">
        <is>
          <t>services.py:generate_report</t>
        </is>
      </c>
      <c r="C30" s="29" t="inlineStr">
        <is>
          <t>get_object_or_404(Caretaker) call in service bypasses selector layer</t>
        </is>
      </c>
      <c r="D30" s="34" t="inlineStr">
        <is>
          <t>Layer Violation</t>
        </is>
      </c>
      <c r="E30" s="29" t="inlineStr">
        <is>
          <t>Move Query to Manager/QuerySet</t>
        </is>
      </c>
      <c r="F30" s="33" t="inlineStr">
        <is>
          <t>Architecture Conformance</t>
        </is>
      </c>
      <c r="G30" s="29" t="inlineStr">
        <is>
          <t>Moderate</t>
        </is>
      </c>
      <c r="H30" s="34" t="inlineStr">
        <is>
          <t>Statement</t>
        </is>
      </c>
      <c r="I30" s="29" t="inlineStr">
        <is>
          <t>Inter-layer</t>
        </is>
      </c>
      <c r="J30" s="34" t="inlineStr">
        <is>
          <t>Low</t>
        </is>
      </c>
      <c r="K30" s="29" t="inlineStr">
        <is>
          <t>Local Code</t>
        </is>
      </c>
      <c r="L30" s="34" t="inlineStr">
        <is>
          <t>Yes</t>
        </is>
      </c>
      <c r="M30" s="29" t="inlineStr"/>
      <c r="N30" s="34" t="inlineStr">
        <is>
          <t>get_object_or_404 inappropriate outside view layer; new selector get_caretaker_by_extrainfo created</t>
        </is>
      </c>
      <c r="O30" s="21" t="n"/>
      <c r="P30" s="21" t="n"/>
      <c r="Q30" s="21" t="n"/>
      <c r="R30" s="21" t="n"/>
      <c r="S30" s="21" t="n"/>
      <c r="T30" s="21" t="n"/>
    </row>
    <row r="31" ht="77.25" customFormat="1" customHeight="1" s="4">
      <c r="A31" s="29" t="inlineStr">
        <is>
          <t>RR-07</t>
        </is>
      </c>
      <c r="B31" s="33" t="inlineStr">
        <is>
          <t>services.py:generate_report</t>
        </is>
      </c>
      <c r="C31" s="29" t="inlineStr">
        <is>
          <t>get_object_or_404(Warden) call in service bypasses selector layer</t>
        </is>
      </c>
      <c r="D31" s="34" t="inlineStr">
        <is>
          <t>Layer Violation</t>
        </is>
      </c>
      <c r="E31" s="29" t="inlineStr">
        <is>
          <t>Move Query to Manager/QuerySet</t>
        </is>
      </c>
      <c r="F31" s="33" t="inlineStr">
        <is>
          <t>Architecture Conformance</t>
        </is>
      </c>
      <c r="G31" s="29" t="inlineStr">
        <is>
          <t>Moderate</t>
        </is>
      </c>
      <c r="H31" s="34" t="inlineStr">
        <is>
          <t>Statement</t>
        </is>
      </c>
      <c r="I31" s="29" t="inlineStr">
        <is>
          <t>Inter-layer</t>
        </is>
      </c>
      <c r="J31" s="34" t="inlineStr">
        <is>
          <t>Low</t>
        </is>
      </c>
      <c r="K31" s="29" t="inlineStr">
        <is>
          <t>Local Code</t>
        </is>
      </c>
      <c r="L31" s="34" t="inlineStr">
        <is>
          <t>Yes</t>
        </is>
      </c>
      <c r="M31" s="29" t="inlineStr"/>
      <c r="N31" s="34" t="inlineStr">
        <is>
          <t>New selector get_warden_by_extrainfo created</t>
        </is>
      </c>
      <c r="O31" s="21" t="n"/>
      <c r="P31" s="21" t="n"/>
      <c r="Q31" s="21" t="n"/>
      <c r="R31" s="21" t="n"/>
      <c r="S31" s="21" t="n"/>
      <c r="T31" s="21" t="n"/>
    </row>
    <row r="32" ht="77.25" customFormat="1" customHeight="1" s="4">
      <c r="A32" s="29" t="inlineStr">
        <is>
          <t>RR-08</t>
        </is>
      </c>
      <c r="B32" s="33" t="inlineStr">
        <is>
          <t>services.py:get_complaints_for_user</t>
        </is>
      </c>
      <c r="C32" s="29" t="inlineStr">
        <is>
          <t>Direct StudentComplain.objects.none() call bypasses selector layer</t>
        </is>
      </c>
      <c r="D32" s="34" t="inlineStr">
        <is>
          <t>Layer Violation</t>
        </is>
      </c>
      <c r="E32" s="29" t="inlineStr">
        <is>
          <t>Move Query to Manager/QuerySet</t>
        </is>
      </c>
      <c r="F32" s="33" t="inlineStr">
        <is>
          <t>Architecture Conformance</t>
        </is>
      </c>
      <c r="G32" s="29" t="inlineStr">
        <is>
          <t>Minor</t>
        </is>
      </c>
      <c r="H32" s="34" t="inlineStr">
        <is>
          <t>Statement</t>
        </is>
      </c>
      <c r="I32" s="29" t="inlineStr">
        <is>
          <t>Inter-layer</t>
        </is>
      </c>
      <c r="J32" s="34" t="inlineStr">
        <is>
          <t>Low</t>
        </is>
      </c>
      <c r="K32" s="29" t="inlineStr">
        <is>
          <t>Local Code</t>
        </is>
      </c>
      <c r="L32" s="34" t="inlineStr">
        <is>
          <t>No</t>
        </is>
      </c>
      <c r="M32" s="29" t="inlineStr">
        <is>
          <t>Direct objects.none() in services</t>
        </is>
      </c>
      <c r="N32" s="34" t="inlineStr">
        <is>
          <t>New selector get_empty_complaints_queryset created</t>
        </is>
      </c>
      <c r="O32" s="21" t="n"/>
      <c r="P32" s="21" t="n"/>
      <c r="Q32" s="21" t="n"/>
      <c r="R32" s="21" t="n"/>
      <c r="S32" s="21" t="n"/>
      <c r="T32" s="21" t="n"/>
    </row>
    <row r="33" ht="77.25" customFormat="1" customHeight="1" s="4">
      <c r="A33" s="29" t="inlineStr">
        <is>
          <t>RR-09</t>
        </is>
      </c>
      <c r="B33" s="33" t="inlineStr">
        <is>
          <t>services.py:get_complaint_detail_for_api</t>
        </is>
      </c>
      <c r="C33" s="29" t="inlineStr">
        <is>
          <t>Direct ExtraInfo.objects.get(user=) call bypasses selector layer</t>
        </is>
      </c>
      <c r="D33" s="34" t="inlineStr">
        <is>
          <t>Layer Violation</t>
        </is>
      </c>
      <c r="E33" s="29" t="inlineStr">
        <is>
          <t>Move Query to Manager/QuerySet</t>
        </is>
      </c>
      <c r="F33" s="33" t="inlineStr">
        <is>
          <t>Architecture Conformance</t>
        </is>
      </c>
      <c r="G33" s="29" t="inlineStr">
        <is>
          <t>Moderate</t>
        </is>
      </c>
      <c r="H33" s="34" t="inlineStr">
        <is>
          <t>Statement</t>
        </is>
      </c>
      <c r="I33" s="29" t="inlineStr">
        <is>
          <t>Inter-layer</t>
        </is>
      </c>
      <c r="J33" s="34" t="inlineStr">
        <is>
          <t>Low</t>
        </is>
      </c>
      <c r="K33" s="29" t="inlineStr">
        <is>
          <t>Local Code</t>
        </is>
      </c>
      <c r="L33" s="34" t="inlineStr">
        <is>
          <t>Yes</t>
        </is>
      </c>
      <c r="M33" s="29" t="inlineStr"/>
      <c r="N33" s="34" t="inlineStr">
        <is>
          <t>Reuses selector get_extrainfo_by_id from RR-05</t>
        </is>
      </c>
      <c r="O33" s="21" t="n"/>
      <c r="P33" s="21" t="n"/>
      <c r="Q33" s="21" t="n"/>
      <c r="R33" s="21" t="n"/>
      <c r="S33" s="21" t="n"/>
      <c r="T33" s="21" t="n"/>
    </row>
    <row r="34" ht="77.25" customFormat="1" customHeight="1" s="4">
      <c r="A34" s="29" t="inlineStr">
        <is>
          <t>RR-10</t>
        </is>
      </c>
      <c r="B34" s="33" t="inlineStr">
        <is>
          <t>services.py:lodge_complaint</t>
        </is>
      </c>
      <c r="C34" s="29" t="inlineStr">
        <is>
          <t>Complaint status set using hard-coded integer 0 instead of named constant</t>
        </is>
      </c>
      <c r="D34" s="34" t="inlineStr">
        <is>
          <t>Other (magic number)</t>
        </is>
      </c>
      <c r="E34" s="29" t="inlineStr">
        <is>
          <t>Other (replace magic number with enum constant)</t>
        </is>
      </c>
      <c r="F34" s="33" t="inlineStr">
        <is>
          <t>Readability</t>
        </is>
      </c>
      <c r="G34" s="29" t="inlineStr">
        <is>
          <t>Minor</t>
        </is>
      </c>
      <c r="H34" s="34" t="inlineStr">
        <is>
          <t>Statement</t>
        </is>
      </c>
      <c r="I34" s="29" t="inlineStr">
        <is>
          <t>Local</t>
        </is>
      </c>
      <c r="J34" s="34" t="inlineStr">
        <is>
          <t>Low</t>
        </is>
      </c>
      <c r="K34" s="29" t="inlineStr">
        <is>
          <t>Business Rules</t>
        </is>
      </c>
      <c r="L34" s="34" t="inlineStr">
        <is>
          <t>No</t>
        </is>
      </c>
      <c r="M34" s="29" t="inlineStr">
        <is>
          <t>Module-level constant</t>
        </is>
      </c>
      <c r="N34" s="34" t="inlineStr"/>
      <c r="O34" s="21" t="n"/>
      <c r="P34" s="21" t="n"/>
      <c r="Q34" s="21" t="n"/>
      <c r="R34" s="21" t="n"/>
      <c r="S34" s="21" t="n"/>
      <c r="T34" s="21" t="n"/>
    </row>
    <row r="35" ht="18.75" customFormat="1" customHeight="1" s="4">
      <c r="A35" s="29" t="inlineStr">
        <is>
          <t>RR-11</t>
        </is>
      </c>
      <c r="B35" s="33" t="inlineStr">
        <is>
          <t>services.py:forward_complaint_to_service_provider</t>
        </is>
      </c>
      <c r="C35" s="29" t="inlineStr">
        <is>
          <t>Complaint status set using hard-coded integer 1 instead of named constant</t>
        </is>
      </c>
      <c r="D35" s="34" t="inlineStr">
        <is>
          <t>Other (magic number)</t>
        </is>
      </c>
      <c r="E35" s="29" t="inlineStr">
        <is>
          <t>Other (replace magic number with enum constant)</t>
        </is>
      </c>
      <c r="F35" s="33" t="inlineStr">
        <is>
          <t>Readability</t>
        </is>
      </c>
      <c r="G35" s="29" t="inlineStr">
        <is>
          <t>Minor</t>
        </is>
      </c>
      <c r="H35" s="34" t="inlineStr">
        <is>
          <t>Statement</t>
        </is>
      </c>
      <c r="I35" s="29" t="inlineStr">
        <is>
          <t>Local</t>
        </is>
      </c>
      <c r="J35" s="34" t="inlineStr">
        <is>
          <t>Low</t>
        </is>
      </c>
      <c r="K35" s="29" t="inlineStr">
        <is>
          <t>Business Rules</t>
        </is>
      </c>
      <c r="L35" s="34" t="inlineStr">
        <is>
          <t>No</t>
        </is>
      </c>
      <c r="M35" s="29" t="inlineStr">
        <is>
          <t>Module-level constant</t>
        </is>
      </c>
      <c r="N35" s="34" t="inlineStr"/>
      <c r="O35" s="21" t="n"/>
      <c r="P35" s="21" t="n"/>
      <c r="Q35" s="21" t="n"/>
      <c r="R35" s="21" t="n"/>
      <c r="S35" s="21" t="n"/>
      <c r="T35" s="21" t="n"/>
    </row>
    <row r="36" ht="18.75" customFormat="1" customHeight="1" s="4">
      <c r="A36" s="29" t="inlineStr">
        <is>
          <t>RR-12</t>
        </is>
      </c>
      <c r="B36" s="33" t="inlineStr">
        <is>
          <t>services.py:resolve_complaint</t>
        </is>
      </c>
      <c r="C36" s="29" t="inlineStr">
        <is>
          <t>Complaint status set using hard-coded integers 2 and 3 instead of named constants</t>
        </is>
      </c>
      <c r="D36" s="34" t="inlineStr">
        <is>
          <t>Other (magic number)</t>
        </is>
      </c>
      <c r="E36" s="29" t="inlineStr">
        <is>
          <t>Other (replace magic number with enum constant)</t>
        </is>
      </c>
      <c r="F36" s="33" t="inlineStr">
        <is>
          <t>Readability</t>
        </is>
      </c>
      <c r="G36" s="29" t="inlineStr">
        <is>
          <t>Minor</t>
        </is>
      </c>
      <c r="H36" s="34" t="inlineStr">
        <is>
          <t>Statement</t>
        </is>
      </c>
      <c r="I36" s="29" t="inlineStr">
        <is>
          <t>Local</t>
        </is>
      </c>
      <c r="J36" s="34" t="inlineStr">
        <is>
          <t>Low</t>
        </is>
      </c>
      <c r="K36" s="29" t="inlineStr">
        <is>
          <t>Business Rules</t>
        </is>
      </c>
      <c r="L36" s="34" t="inlineStr">
        <is>
          <t>No</t>
        </is>
      </c>
      <c r="M36" s="29" t="inlineStr">
        <is>
          <t>Module-level constant</t>
        </is>
      </c>
      <c r="N36" s="34" t="inlineStr"/>
      <c r="O36" s="21" t="n"/>
      <c r="P36" s="21" t="n"/>
      <c r="Q36" s="21" t="n"/>
      <c r="R36" s="21" t="n"/>
      <c r="S36" s="21" t="n"/>
      <c r="T36" s="21" t="n"/>
    </row>
    <row r="37" ht="18.75" customFormat="1" customHeight="1" s="4">
      <c r="A37" s="29" t="inlineStr">
        <is>
          <t>RR-13</t>
        </is>
      </c>
      <c r="B37" s="33" t="inlineStr">
        <is>
          <t>api/views.py:CreateComplainAPIView.post</t>
        </is>
      </c>
      <c r="C37" s="29" t="inlineStr">
        <is>
          <t>View contains serializer instantiation, validation, and save logic instead of delegating to service</t>
        </is>
      </c>
      <c r="D37" s="34" t="inlineStr">
        <is>
          <t>Fat View</t>
        </is>
      </c>
      <c r="E37" s="29" t="inlineStr">
        <is>
          <t>Extract Service</t>
        </is>
      </c>
      <c r="F37" s="33" t="inlineStr">
        <is>
          <t>Architecture Conformance</t>
        </is>
      </c>
      <c r="G37" s="29" t="inlineStr">
        <is>
          <t>Moderate</t>
        </is>
      </c>
      <c r="H37" s="34" t="inlineStr">
        <is>
          <t>Method</t>
        </is>
      </c>
      <c r="I37" s="29" t="inlineStr">
        <is>
          <t>Inter-layer</t>
        </is>
      </c>
      <c r="J37" s="34" t="inlineStr">
        <is>
          <t>Low</t>
        </is>
      </c>
      <c r="K37" s="29" t="inlineStr">
        <is>
          <t>Framework</t>
        </is>
      </c>
      <c r="L37" s="34" t="inlineStr">
        <is>
          <t>Yes</t>
        </is>
      </c>
      <c r="M37" s="29" t="inlineStr"/>
      <c r="N37" s="34" t="inlineStr">
        <is>
          <t>Extracted to services.create_complaint</t>
        </is>
      </c>
      <c r="O37" s="21" t="n"/>
      <c r="P37" s="21" t="n"/>
      <c r="Q37" s="21" t="n"/>
      <c r="R37" s="21" t="n"/>
      <c r="S37" s="21" t="n"/>
      <c r="T37" s="21" t="n"/>
    </row>
    <row r="38" ht="18.75" customFormat="1" customHeight="1" s="4">
      <c r="A38" s="29" t="inlineStr">
        <is>
          <t>RR-14</t>
        </is>
      </c>
      <c r="B38" s="33" t="inlineStr">
        <is>
          <t>api/views.py:EditComplainAPIView.put</t>
        </is>
      </c>
      <c r="C38" s="29" t="inlineStr">
        <is>
          <t>View contains serializer instantiation, validation, and update logic instead of delegating to service</t>
        </is>
      </c>
      <c r="D38" s="34" t="inlineStr">
        <is>
          <t>Fat View</t>
        </is>
      </c>
      <c r="E38" s="29" t="inlineStr">
        <is>
          <t>Extract Service</t>
        </is>
      </c>
      <c r="F38" s="33" t="inlineStr">
        <is>
          <t>Architecture Conformance</t>
        </is>
      </c>
      <c r="G38" s="29" t="inlineStr">
        <is>
          <t>Moderate</t>
        </is>
      </c>
      <c r="H38" s="34" t="inlineStr">
        <is>
          <t>Method</t>
        </is>
      </c>
      <c r="I38" s="29" t="inlineStr">
        <is>
          <t>Inter-layer</t>
        </is>
      </c>
      <c r="J38" s="34" t="inlineStr">
        <is>
          <t>Low</t>
        </is>
      </c>
      <c r="K38" s="29" t="inlineStr">
        <is>
          <t>Framework</t>
        </is>
      </c>
      <c r="L38" s="34" t="inlineStr">
        <is>
          <t>Yes</t>
        </is>
      </c>
      <c r="M38" s="29" t="inlineStr"/>
      <c r="N38" s="34" t="inlineStr">
        <is>
          <t>Extracted to services.update_complaint</t>
        </is>
      </c>
      <c r="O38" s="21" t="n"/>
      <c r="P38" s="21" t="n"/>
      <c r="Q38" s="21" t="n"/>
      <c r="R38" s="21" t="n"/>
      <c r="S38" s="21" t="n"/>
      <c r="T38" s="21" t="n"/>
    </row>
    <row r="39" ht="18.75" customFormat="1" customHeight="1" s="4">
      <c r="A39" s="29" t="inlineStr">
        <is>
          <t>RR-15</t>
        </is>
      </c>
      <c r="B39" s="33" t="inlineStr">
        <is>
          <t>api/views.py:EditComplainAPIView.delete</t>
        </is>
      </c>
      <c r="C39" s="29" t="inlineStr">
        <is>
          <t>View contains direct model delete call instead of delegating to service</t>
        </is>
      </c>
      <c r="D39" s="34" t="inlineStr">
        <is>
          <t>Fat View</t>
        </is>
      </c>
      <c r="E39" s="29" t="inlineStr">
        <is>
          <t>Extract Service</t>
        </is>
      </c>
      <c r="F39" s="33" t="inlineStr">
        <is>
          <t>Architecture Conformance</t>
        </is>
      </c>
      <c r="G39" s="29" t="inlineStr">
        <is>
          <t>Moderate</t>
        </is>
      </c>
      <c r="H39" s="34" t="inlineStr">
        <is>
          <t>Method</t>
        </is>
      </c>
      <c r="I39" s="29" t="inlineStr">
        <is>
          <t>Inter-layer</t>
        </is>
      </c>
      <c r="J39" s="34" t="inlineStr">
        <is>
          <t>Low</t>
        </is>
      </c>
      <c r="K39" s="29" t="inlineStr">
        <is>
          <t>Framework</t>
        </is>
      </c>
      <c r="L39" s="34" t="inlineStr">
        <is>
          <t>Yes</t>
        </is>
      </c>
      <c r="M39" s="29" t="inlineStr"/>
      <c r="N39" s="34" t="inlineStr">
        <is>
          <t>Extracted to services.delete_complaint_by_id</t>
        </is>
      </c>
      <c r="O39" s="21" t="n"/>
      <c r="P39" s="21" t="n"/>
      <c r="Q39" s="21" t="n"/>
      <c r="R39" s="21" t="n"/>
      <c r="S39" s="21" t="n"/>
      <c r="T39" s="21" t="n"/>
    </row>
    <row r="40" ht="18.75" customFormat="1" customHeight="1" s="4">
      <c r="A40" s="29" t="inlineStr">
        <is>
          <t>RR-16</t>
        </is>
      </c>
      <c r="B40" s="33" t="inlineStr">
        <is>
          <t>api/views.py:WorkerAPIView.post</t>
        </is>
      </c>
      <c r="C40" s="29" t="inlineStr">
        <is>
          <t>View contains serializer instantiation, validation, and save logic instead of delegating to service</t>
        </is>
      </c>
      <c r="D40" s="34" t="inlineStr">
        <is>
          <t>Fat View</t>
        </is>
      </c>
      <c r="E40" s="29" t="inlineStr">
        <is>
          <t>Extract Service</t>
        </is>
      </c>
      <c r="F40" s="33" t="inlineStr">
        <is>
          <t>Architecture Conformance</t>
        </is>
      </c>
      <c r="G40" s="29" t="inlineStr">
        <is>
          <t>Moderate</t>
        </is>
      </c>
      <c r="H40" s="34" t="inlineStr">
        <is>
          <t>Method</t>
        </is>
      </c>
      <c r="I40" s="29" t="inlineStr">
        <is>
          <t>Inter-layer</t>
        </is>
      </c>
      <c r="J40" s="34" t="inlineStr">
        <is>
          <t>Low</t>
        </is>
      </c>
      <c r="K40" s="29" t="inlineStr">
        <is>
          <t>Framework</t>
        </is>
      </c>
      <c r="L40" s="34" t="inlineStr">
        <is>
          <t>Yes</t>
        </is>
      </c>
      <c r="M40" s="29" t="inlineStr"/>
      <c r="N40" s="34" t="inlineStr">
        <is>
          <t>Extracted to services.create_worker</t>
        </is>
      </c>
      <c r="O40" s="21" t="n"/>
      <c r="P40" s="21" t="n"/>
      <c r="Q40" s="21" t="n"/>
      <c r="R40" s="21" t="n"/>
      <c r="S40" s="21" t="n"/>
      <c r="T40" s="21" t="n"/>
    </row>
    <row r="41" ht="18.75" customFormat="1" customHeight="1" s="4">
      <c r="A41" s="29" t="inlineStr">
        <is>
          <t>RR-17</t>
        </is>
      </c>
      <c r="B41" s="33" t="inlineStr">
        <is>
          <t>api/views.py:EditWorkerAPIView.put</t>
        </is>
      </c>
      <c r="C41" s="29" t="inlineStr">
        <is>
          <t>View contains serializer instantiation, validation, and update logic instead of delegating to service</t>
        </is>
      </c>
      <c r="D41" s="34" t="inlineStr">
        <is>
          <t>Fat View</t>
        </is>
      </c>
      <c r="E41" s="29" t="inlineStr">
        <is>
          <t>Extract Service</t>
        </is>
      </c>
      <c r="F41" s="33" t="inlineStr">
        <is>
          <t>Architecture Conformance</t>
        </is>
      </c>
      <c r="G41" s="29" t="inlineStr">
        <is>
          <t>Moderate</t>
        </is>
      </c>
      <c r="H41" s="34" t="inlineStr">
        <is>
          <t>Method</t>
        </is>
      </c>
      <c r="I41" s="29" t="inlineStr">
        <is>
          <t>Inter-layer</t>
        </is>
      </c>
      <c r="J41" s="34" t="inlineStr">
        <is>
          <t>Low</t>
        </is>
      </c>
      <c r="K41" s="29" t="inlineStr">
        <is>
          <t>Framework</t>
        </is>
      </c>
      <c r="L41" s="34" t="inlineStr">
        <is>
          <t>Yes</t>
        </is>
      </c>
      <c r="M41" s="29" t="inlineStr"/>
      <c r="N41" s="34" t="inlineStr">
        <is>
          <t>Extracted to services.update_worker</t>
        </is>
      </c>
      <c r="O41" s="21" t="n"/>
      <c r="P41" s="21" t="n"/>
      <c r="Q41" s="21" t="n"/>
      <c r="R41" s="21" t="n"/>
      <c r="S41" s="21" t="n"/>
      <c r="T41" s="21" t="n"/>
    </row>
    <row r="42" ht="18.75" customFormat="1" customHeight="1" s="4">
      <c r="A42" s="29" t="inlineStr">
        <is>
          <t>RR-18</t>
        </is>
      </c>
      <c r="B42" s="33" t="inlineStr">
        <is>
          <t>api/views.py:EditWorkerAPIView.delete</t>
        </is>
      </c>
      <c r="C42" s="29" t="inlineStr">
        <is>
          <t>View contains direct model delete call instead of delegating to service</t>
        </is>
      </c>
      <c r="D42" s="34" t="inlineStr">
        <is>
          <t>Fat View</t>
        </is>
      </c>
      <c r="E42" s="29" t="inlineStr">
        <is>
          <t>Extract Service</t>
        </is>
      </c>
      <c r="F42" s="33" t="inlineStr">
        <is>
          <t>Architecture Conformance</t>
        </is>
      </c>
      <c r="G42" s="29" t="inlineStr">
        <is>
          <t>Moderate</t>
        </is>
      </c>
      <c r="H42" s="34" t="inlineStr">
        <is>
          <t>Method</t>
        </is>
      </c>
      <c r="I42" s="29" t="inlineStr">
        <is>
          <t>Inter-layer</t>
        </is>
      </c>
      <c r="J42" s="34" t="inlineStr">
        <is>
          <t>Low</t>
        </is>
      </c>
      <c r="K42" s="29" t="inlineStr">
        <is>
          <t>Framework</t>
        </is>
      </c>
      <c r="L42" s="34" t="inlineStr">
        <is>
          <t>Yes</t>
        </is>
      </c>
      <c r="M42" s="29" t="inlineStr"/>
      <c r="N42" s="34" t="inlineStr">
        <is>
          <t>Extracted to services.delete_worker</t>
        </is>
      </c>
      <c r="O42" s="21" t="n"/>
      <c r="P42" s="21" t="n"/>
      <c r="Q42" s="21" t="n"/>
      <c r="R42" s="21" t="n"/>
      <c r="S42" s="21" t="n"/>
      <c r="T42" s="21" t="n"/>
    </row>
    <row r="43" ht="18.75" customFormat="1" customHeight="1" s="4">
      <c r="A43" s="29" t="inlineStr">
        <is>
          <t>RR-19</t>
        </is>
      </c>
      <c r="B43" s="33" t="inlineStr">
        <is>
          <t>api/views.py:CaretakerAPIView.post</t>
        </is>
      </c>
      <c r="C43" s="29" t="inlineStr">
        <is>
          <t>View contains serializer instantiation, validation, and save logic instead of delegating to service</t>
        </is>
      </c>
      <c r="D43" s="34" t="inlineStr">
        <is>
          <t>Fat View</t>
        </is>
      </c>
      <c r="E43" s="29" t="inlineStr">
        <is>
          <t>Extract Service</t>
        </is>
      </c>
      <c r="F43" s="33" t="inlineStr">
        <is>
          <t>Architecture Conformance</t>
        </is>
      </c>
      <c r="G43" s="29" t="inlineStr">
        <is>
          <t>Moderate</t>
        </is>
      </c>
      <c r="H43" s="34" t="inlineStr">
        <is>
          <t>Method</t>
        </is>
      </c>
      <c r="I43" s="29" t="inlineStr">
        <is>
          <t>Inter-layer</t>
        </is>
      </c>
      <c r="J43" s="34" t="inlineStr">
        <is>
          <t>Low</t>
        </is>
      </c>
      <c r="K43" s="29" t="inlineStr">
        <is>
          <t>Framework</t>
        </is>
      </c>
      <c r="L43" s="34" t="inlineStr">
        <is>
          <t>Yes</t>
        </is>
      </c>
      <c r="M43" s="29" t="inlineStr"/>
      <c r="N43" s="34" t="inlineStr">
        <is>
          <t>Extracted to services.create_caretaker</t>
        </is>
      </c>
      <c r="O43" s="21" t="n"/>
      <c r="P43" s="21" t="n"/>
      <c r="Q43" s="21" t="n"/>
      <c r="R43" s="21" t="n"/>
      <c r="S43" s="21" t="n"/>
      <c r="T43" s="21" t="n"/>
    </row>
    <row r="44" ht="18.75" customFormat="1" customHeight="1" s="4">
      <c r="A44" s="29" t="inlineStr">
        <is>
          <t>RR-20</t>
        </is>
      </c>
      <c r="B44" s="33" t="inlineStr">
        <is>
          <t>api/views.py:EditCaretakerAPIView.put</t>
        </is>
      </c>
      <c r="C44" s="29" t="inlineStr">
        <is>
          <t>View contains serializer instantiation, validation, and update logic instead of delegating to service</t>
        </is>
      </c>
      <c r="D44" s="34" t="inlineStr">
        <is>
          <t>Fat View</t>
        </is>
      </c>
      <c r="E44" s="29" t="inlineStr">
        <is>
          <t>Extract Service</t>
        </is>
      </c>
      <c r="F44" s="33" t="inlineStr">
        <is>
          <t>Architecture Conformance</t>
        </is>
      </c>
      <c r="G44" s="29" t="inlineStr">
        <is>
          <t>Moderate</t>
        </is>
      </c>
      <c r="H44" s="34" t="inlineStr">
        <is>
          <t>Method</t>
        </is>
      </c>
      <c r="I44" s="29" t="inlineStr">
        <is>
          <t>Inter-layer</t>
        </is>
      </c>
      <c r="J44" s="34" t="inlineStr">
        <is>
          <t>Low</t>
        </is>
      </c>
      <c r="K44" s="29" t="inlineStr">
        <is>
          <t>Framework</t>
        </is>
      </c>
      <c r="L44" s="34" t="inlineStr">
        <is>
          <t>Yes</t>
        </is>
      </c>
      <c r="M44" s="29" t="inlineStr"/>
      <c r="N44" s="34" t="inlineStr">
        <is>
          <t>Extracted to services.update_caretaker</t>
        </is>
      </c>
      <c r="O44" s="21" t="n"/>
      <c r="P44" s="21" t="n"/>
      <c r="Q44" s="21" t="n"/>
      <c r="R44" s="21" t="n"/>
      <c r="S44" s="21" t="n"/>
      <c r="T44" s="21" t="n"/>
    </row>
    <row r="45" ht="18.75" customFormat="1" customHeight="1" s="4">
      <c r="A45" s="29" t="inlineStr">
        <is>
          <t>RR-21</t>
        </is>
      </c>
      <c r="B45" s="33" t="inlineStr">
        <is>
          <t>api/views.py:EditCaretakerAPIView.delete</t>
        </is>
      </c>
      <c r="C45" s="29" t="inlineStr">
        <is>
          <t>View contains direct model delete call instead of delegating to service</t>
        </is>
      </c>
      <c r="D45" s="34" t="inlineStr">
        <is>
          <t>Fat View</t>
        </is>
      </c>
      <c r="E45" s="29" t="inlineStr">
        <is>
          <t>Extract Service</t>
        </is>
      </c>
      <c r="F45" s="33" t="inlineStr">
        <is>
          <t>Architecture Conformance</t>
        </is>
      </c>
      <c r="G45" s="29" t="inlineStr">
        <is>
          <t>Moderate</t>
        </is>
      </c>
      <c r="H45" s="34" t="inlineStr">
        <is>
          <t>Method</t>
        </is>
      </c>
      <c r="I45" s="29" t="inlineStr">
        <is>
          <t>Inter-layer</t>
        </is>
      </c>
      <c r="J45" s="34" t="inlineStr">
        <is>
          <t>Low</t>
        </is>
      </c>
      <c r="K45" s="29" t="inlineStr">
        <is>
          <t>Framework</t>
        </is>
      </c>
      <c r="L45" s="34" t="inlineStr">
        <is>
          <t>Yes</t>
        </is>
      </c>
      <c r="M45" s="29" t="inlineStr"/>
      <c r="N45" s="34" t="inlineStr">
        <is>
          <t>Extracted to services.delete_caretaker</t>
        </is>
      </c>
      <c r="O45" s="21" t="n"/>
      <c r="P45" s="21" t="n"/>
      <c r="Q45" s="21" t="n"/>
      <c r="R45" s="21" t="n"/>
      <c r="S45" s="21" t="n"/>
      <c r="T45" s="21" t="n"/>
    </row>
    <row r="46" ht="18.75" customFormat="1" customHeight="1" s="4">
      <c r="A46" s="29" t="inlineStr">
        <is>
          <t>RR-22</t>
        </is>
      </c>
      <c r="B46" s="33" t="inlineStr">
        <is>
          <t>api/views.py:ServiceProviderAPIView.post</t>
        </is>
      </c>
      <c r="C46" s="29" t="inlineStr">
        <is>
          <t>View contains serializer instantiation, validation, and save logic instead of delegating to service</t>
        </is>
      </c>
      <c r="D46" s="34" t="inlineStr">
        <is>
          <t>Fat View</t>
        </is>
      </c>
      <c r="E46" s="29" t="inlineStr">
        <is>
          <t>Extract Service</t>
        </is>
      </c>
      <c r="F46" s="33" t="inlineStr">
        <is>
          <t>Architecture Conformance</t>
        </is>
      </c>
      <c r="G46" s="29" t="inlineStr">
        <is>
          <t>Moderate</t>
        </is>
      </c>
      <c r="H46" s="34" t="inlineStr">
        <is>
          <t>Method</t>
        </is>
      </c>
      <c r="I46" s="29" t="inlineStr">
        <is>
          <t>Inter-layer</t>
        </is>
      </c>
      <c r="J46" s="34" t="inlineStr">
        <is>
          <t>Low</t>
        </is>
      </c>
      <c r="K46" s="29" t="inlineStr">
        <is>
          <t>Framework</t>
        </is>
      </c>
      <c r="L46" s="34" t="inlineStr">
        <is>
          <t>Yes</t>
        </is>
      </c>
      <c r="M46" s="29" t="inlineStr"/>
      <c r="N46" s="34" t="inlineStr">
        <is>
          <t>Extracted to services.create_service_provider</t>
        </is>
      </c>
      <c r="O46" s="21" t="n"/>
      <c r="P46" s="21" t="n"/>
      <c r="Q46" s="21" t="n"/>
      <c r="R46" s="21" t="n"/>
      <c r="S46" s="21" t="n"/>
      <c r="T46" s="21" t="n"/>
    </row>
    <row r="47" ht="18.75" customFormat="1" customHeight="1" s="4">
      <c r="A47" s="29" t="inlineStr">
        <is>
          <t>RR-23</t>
        </is>
      </c>
      <c r="B47" s="33" t="inlineStr">
        <is>
          <t>api/views.py:EditServiceProviderAPIView.put</t>
        </is>
      </c>
      <c r="C47" s="29" t="inlineStr">
        <is>
          <t>View contains serializer instantiation, validation, and update logic instead of delegating to service</t>
        </is>
      </c>
      <c r="D47" s="34" t="inlineStr">
        <is>
          <t>Fat View</t>
        </is>
      </c>
      <c r="E47" s="29" t="inlineStr">
        <is>
          <t>Extract Service</t>
        </is>
      </c>
      <c r="F47" s="33" t="inlineStr">
        <is>
          <t>Architecture Conformance</t>
        </is>
      </c>
      <c r="G47" s="29" t="inlineStr">
        <is>
          <t>Moderate</t>
        </is>
      </c>
      <c r="H47" s="34" t="inlineStr">
        <is>
          <t>Method</t>
        </is>
      </c>
      <c r="I47" s="29" t="inlineStr">
        <is>
          <t>Inter-layer</t>
        </is>
      </c>
      <c r="J47" s="34" t="inlineStr">
        <is>
          <t>Low</t>
        </is>
      </c>
      <c r="K47" s="29" t="inlineStr">
        <is>
          <t>Framework</t>
        </is>
      </c>
      <c r="L47" s="34" t="inlineStr">
        <is>
          <t>Yes</t>
        </is>
      </c>
      <c r="M47" s="29" t="inlineStr"/>
      <c r="N47" s="34" t="inlineStr">
        <is>
          <t>Extracted to services.update_service_provider</t>
        </is>
      </c>
      <c r="O47" s="21" t="n"/>
      <c r="P47" s="21" t="n"/>
      <c r="Q47" s="21" t="n"/>
      <c r="R47" s="21" t="n"/>
      <c r="S47" s="21" t="n"/>
      <c r="T47" s="21" t="n"/>
    </row>
    <row r="48" ht="18.75" customFormat="1" customHeight="1" s="4">
      <c r="A48" s="29" t="inlineStr">
        <is>
          <t>RR-24</t>
        </is>
      </c>
      <c r="B48" s="33" t="inlineStr">
        <is>
          <t>api/views.py:EditServiceProviderAPIView.delete</t>
        </is>
      </c>
      <c r="C48" s="29" t="inlineStr">
        <is>
          <t>View contains direct model delete call instead of delegating to service</t>
        </is>
      </c>
      <c r="D48" s="34" t="inlineStr">
        <is>
          <t>Fat View</t>
        </is>
      </c>
      <c r="E48" s="29" t="inlineStr">
        <is>
          <t>Extract Service</t>
        </is>
      </c>
      <c r="F48" s="33" t="inlineStr">
        <is>
          <t>Architecture Conformance</t>
        </is>
      </c>
      <c r="G48" s="29" t="inlineStr">
        <is>
          <t>Moderate</t>
        </is>
      </c>
      <c r="H48" s="34" t="inlineStr">
        <is>
          <t>Method</t>
        </is>
      </c>
      <c r="I48" s="29" t="inlineStr">
        <is>
          <t>Inter-layer</t>
        </is>
      </c>
      <c r="J48" s="34" t="inlineStr">
        <is>
          <t>Low</t>
        </is>
      </c>
      <c r="K48" s="29" t="inlineStr">
        <is>
          <t>Framework</t>
        </is>
      </c>
      <c r="L48" s="34" t="inlineStr">
        <is>
          <t>Yes</t>
        </is>
      </c>
      <c r="M48" s="29" t="inlineStr"/>
      <c r="N48" s="34" t="inlineStr">
        <is>
          <t>Extracted to services.delete_service_provider</t>
        </is>
      </c>
      <c r="O48" s="21" t="n"/>
      <c r="P48" s="21" t="n"/>
      <c r="Q48" s="21" t="n"/>
      <c r="R48" s="21" t="n"/>
      <c r="S48" s="21" t="n"/>
      <c r="T48" s="21" t="n"/>
    </row>
    <row r="49" ht="18.75" customFormat="1" customHeight="1" s="4">
      <c r="A49" t="inlineStr">
        <is>
          <t>RR-25</t>
        </is>
      </c>
      <c r="B49" t="inlineStr">
        <is>
          <t>api/serializers.py:ComplaintAdminSerializer</t>
        </is>
      </c>
      <c r="C49" t="inlineStr">
        <is>
          <t>Serializer class named Complaint_AdminSerializer uses underscore naming inconsistent with Python class conventions</t>
        </is>
      </c>
      <c r="D49" t="inlineStr">
        <is>
          <t>Naming / Readability</t>
        </is>
      </c>
      <c r="E49" t="inlineStr">
        <is>
          <t>Rename</t>
        </is>
      </c>
      <c r="F49" t="inlineStr">
        <is>
          <t>Readability</t>
        </is>
      </c>
      <c r="G49" t="inlineStr">
        <is>
          <t>Minor</t>
        </is>
      </c>
      <c r="H49" t="inlineStr">
        <is>
          <t>Class</t>
        </is>
      </c>
      <c r="I49" t="inlineStr">
        <is>
          <t>Inter-class</t>
        </is>
      </c>
      <c r="J49" t="inlineStr">
        <is>
          <t>Low</t>
        </is>
      </c>
      <c r="K49" t="inlineStr">
        <is>
          <t>Local Code</t>
        </is>
      </c>
      <c r="L49" t="inlineStr">
        <is>
          <t>No</t>
        </is>
      </c>
      <c r="M49" t="inlineStr">
        <is>
          <t>Keep original name</t>
        </is>
      </c>
    </row>
    <row r="50" ht="18.75" customFormat="1" customHeight="1" s="4">
      <c r="A50" t="inlineStr">
        <is>
          <t>RR-26</t>
        </is>
      </c>
      <c r="B50" t="inlineStr">
        <is>
          <t>permissions.py:IsSuperUser</t>
        </is>
      </c>
      <c r="C50" t="inlineStr">
        <is>
          <t>Superuser authorization checks performed inline in multiple view methods instead of using DRF permission class</t>
        </is>
      </c>
      <c r="D50" t="inlineStr">
        <is>
          <t>Scattered Validation</t>
        </is>
      </c>
      <c r="E50" t="inlineStr">
        <is>
          <t>Extract Class</t>
        </is>
      </c>
      <c r="F50" t="inlineStr">
        <is>
          <t>Reusability</t>
        </is>
      </c>
      <c r="G50" t="inlineStr">
        <is>
          <t>Moderate</t>
        </is>
      </c>
      <c r="H50" t="inlineStr">
        <is>
          <t>Class</t>
        </is>
      </c>
      <c r="I50" t="inlineStr">
        <is>
          <t>Inter-class</t>
        </is>
      </c>
      <c r="J50" t="inlineStr">
        <is>
          <t>Low</t>
        </is>
      </c>
      <c r="K50" t="inlineStr">
        <is>
          <t>Framework</t>
        </is>
      </c>
      <c r="L50" t="inlineStr">
        <is>
          <t>Yes</t>
        </is>
      </c>
      <c r="M50" t="inlineStr">
        <is>
          <t>DRF IsAdminUser</t>
        </is>
      </c>
    </row>
    <row r="51" ht="18.75" customFormat="1" customHeight="1" s="4">
      <c r="A51" t="inlineStr">
        <is>
          <t>RR-27</t>
        </is>
      </c>
      <c r="B51" t="inlineStr">
        <is>
          <t>api/views.py:EditWorkerAPIView</t>
        </is>
      </c>
      <c r="C51" t="inlineStr">
        <is>
          <t>Inline _check_caretaker helper method duplicates permission logic instead of using DRF permission class</t>
        </is>
      </c>
      <c r="D51" t="inlineStr">
        <is>
          <t>Scattered Validation</t>
        </is>
      </c>
      <c r="E51" t="inlineStr">
        <is>
          <t>Consolidate Validation</t>
        </is>
      </c>
      <c r="F51" t="inlineStr">
        <is>
          <t>Architecture Conformance</t>
        </is>
      </c>
      <c r="G51" t="inlineStr">
        <is>
          <t>Moderate</t>
        </is>
      </c>
      <c r="H51" t="inlineStr">
        <is>
          <t>Class</t>
        </is>
      </c>
      <c r="I51" t="inlineStr">
        <is>
          <t>Inter-layer</t>
        </is>
      </c>
      <c r="J51" t="inlineStr">
        <is>
          <t>Low</t>
        </is>
      </c>
      <c r="K51" t="inlineStr">
        <is>
          <t>Framework</t>
        </is>
      </c>
      <c r="L51" t="inlineStr">
        <is>
          <t>Yes</t>
        </is>
      </c>
      <c r="N51" t="inlineStr">
        <is>
          <t>Replaced with IsCaretaker in permission_classes</t>
        </is>
      </c>
    </row>
    <row r="52" ht="18.75" customFormat="1" customHeight="1" s="4">
      <c r="A52" t="inlineStr">
        <is>
          <t>RR-28</t>
        </is>
      </c>
      <c r="B52" t="inlineStr">
        <is>
          <t>api/views.py:EditCaretakerAPIView</t>
        </is>
      </c>
      <c r="C52" t="inlineStr">
        <is>
          <t>Inline _check_service_provider helper method duplicates permission logic instead of using DRF permission class</t>
        </is>
      </c>
      <c r="D52" t="inlineStr">
        <is>
          <t>Scattered Validation</t>
        </is>
      </c>
      <c r="E52" t="inlineStr">
        <is>
          <t>Consolidate Validation</t>
        </is>
      </c>
      <c r="F52" t="inlineStr">
        <is>
          <t>Architecture Conformance</t>
        </is>
      </c>
      <c r="G52" t="inlineStr">
        <is>
          <t>Moderate</t>
        </is>
      </c>
      <c r="H52" t="inlineStr">
        <is>
          <t>Class</t>
        </is>
      </c>
      <c r="I52" t="inlineStr">
        <is>
          <t>Inter-layer</t>
        </is>
      </c>
      <c r="J52" t="inlineStr">
        <is>
          <t>Low</t>
        </is>
      </c>
      <c r="K52" t="inlineStr">
        <is>
          <t>Framework</t>
        </is>
      </c>
      <c r="L52" t="inlineStr">
        <is>
          <t>Yes</t>
        </is>
      </c>
      <c r="N52" t="inlineStr">
        <is>
          <t>Replaced with IsServiceProvider in permission_classes</t>
        </is>
      </c>
    </row>
    <row r="53" ht="18.75" customFormat="1" customHeight="1" s="4">
      <c r="A53" t="inlineStr">
        <is>
          <t>RR-29</t>
        </is>
      </c>
      <c r="B53" t="inlineStr">
        <is>
          <t>api/views.py:EditServiceProviderAPIView</t>
        </is>
      </c>
      <c r="C53" t="inlineStr">
        <is>
          <t>Inline is_superuser checks duplicated in delete and put methods instead of using DRF permission class</t>
        </is>
      </c>
      <c r="D53" t="inlineStr">
        <is>
          <t>Duplicated Code</t>
        </is>
      </c>
      <c r="E53" t="inlineStr">
        <is>
          <t>Consolidate Validation</t>
        </is>
      </c>
      <c r="F53" t="inlineStr">
        <is>
          <t>Architecture Conformance</t>
        </is>
      </c>
      <c r="G53" t="inlineStr">
        <is>
          <t>Moderate</t>
        </is>
      </c>
      <c r="H53" t="inlineStr">
        <is>
          <t>Class</t>
        </is>
      </c>
      <c r="I53" t="inlineStr">
        <is>
          <t>Inter-layer</t>
        </is>
      </c>
      <c r="J53" t="inlineStr">
        <is>
          <t>Low</t>
        </is>
      </c>
      <c r="K53" t="inlineStr">
        <is>
          <t>Framework</t>
        </is>
      </c>
      <c r="L53" t="inlineStr">
        <is>
          <t>Yes</t>
        </is>
      </c>
      <c r="N53" t="inlineStr">
        <is>
          <t>Replaced with IsSuperUser in permission_classes</t>
        </is>
      </c>
    </row>
    <row r="54" ht="18.75" customFormat="1" customHeight="1" s="4">
      <c r="A54" t="inlineStr">
        <is>
          <t>RR-30</t>
        </is>
      </c>
      <c r="B54" t="inlineStr">
        <is>
          <t>views.py</t>
        </is>
      </c>
      <c r="C54" t="inlineStr">
        <is>
          <t>View classes defined in root module file instead of canonical api/views.py location per target architecture</t>
        </is>
      </c>
      <c r="D54" t="inlineStr">
        <is>
          <t>Layer Violation</t>
        </is>
      </c>
      <c r="E54" t="inlineStr">
        <is>
          <t>Reorganize Module Boundary</t>
        </is>
      </c>
      <c r="F54" t="inlineStr">
        <is>
          <t>Architecture Conformance</t>
        </is>
      </c>
      <c r="G54" t="inlineStr">
        <is>
          <t>Major</t>
        </is>
      </c>
      <c r="H54" t="inlineStr">
        <is>
          <t>File</t>
        </is>
      </c>
      <c r="I54" t="inlineStr">
        <is>
          <t>Inter-layer</t>
        </is>
      </c>
      <c r="J54" t="inlineStr">
        <is>
          <t>Medium</t>
        </is>
      </c>
      <c r="K54" t="inlineStr">
        <is>
          <t>Framework</t>
        </is>
      </c>
      <c r="L54" t="inlineStr">
        <is>
          <t>Yes</t>
        </is>
      </c>
      <c r="N54" t="inlineStr">
        <is>
          <t>Root file converted to re-export shim for backward compatibility</t>
        </is>
      </c>
    </row>
    <row r="55" ht="18.75" customHeight="1">
      <c r="A55" t="inlineStr">
        <is>
          <t>RR-31</t>
        </is>
      </c>
      <c r="B55" t="inlineStr">
        <is>
          <t>serializers.py</t>
        </is>
      </c>
      <c r="C55" t="inlineStr">
        <is>
          <t>Serializer definitions split across root and api/ modules creating duplication and import ambiguity</t>
        </is>
      </c>
      <c r="D55" t="inlineStr">
        <is>
          <t>Duplicated Code</t>
        </is>
      </c>
      <c r="E55" t="inlineStr">
        <is>
          <t>Reorganize Module Boundary</t>
        </is>
      </c>
      <c r="F55" t="inlineStr">
        <is>
          <t>Architecture Conformance</t>
        </is>
      </c>
      <c r="G55" t="inlineStr">
        <is>
          <t>Major</t>
        </is>
      </c>
      <c r="H55" t="inlineStr">
        <is>
          <t>File</t>
        </is>
      </c>
      <c r="I55" t="inlineStr">
        <is>
          <t>Inter-layer</t>
        </is>
      </c>
      <c r="J55" t="inlineStr">
        <is>
          <t>Medium</t>
        </is>
      </c>
      <c r="K55" t="inlineStr">
        <is>
          <t>Framework</t>
        </is>
      </c>
      <c r="L55" t="inlineStr">
        <is>
          <t>Yes</t>
        </is>
      </c>
      <c r="N55" t="inlineStr">
        <is>
          <t>Root file converted to re-export shim; validation methods consolidated</t>
        </is>
      </c>
    </row>
    <row r="56" ht="18.75" customHeight="1">
      <c r="A56" t="inlineStr">
        <is>
          <t>RR-32</t>
        </is>
      </c>
      <c r="B56" t="inlineStr">
        <is>
          <t>urls.py</t>
        </is>
      </c>
      <c r="C56" t="inlineStr">
        <is>
          <t>URL patterns defined in root module file instead of canonical api/urls.py location per target architecture</t>
        </is>
      </c>
      <c r="D56" t="inlineStr">
        <is>
          <t>Layer Violation</t>
        </is>
      </c>
      <c r="E56" t="inlineStr">
        <is>
          <t>Reorganize Module Boundary</t>
        </is>
      </c>
      <c r="F56" t="inlineStr">
        <is>
          <t>Architecture Conformance</t>
        </is>
      </c>
      <c r="G56" t="inlineStr">
        <is>
          <t>Major</t>
        </is>
      </c>
      <c r="H56" t="inlineStr">
        <is>
          <t>File</t>
        </is>
      </c>
      <c r="I56" t="inlineStr">
        <is>
          <t>Inter-layer</t>
        </is>
      </c>
      <c r="J56" t="inlineStr">
        <is>
          <t>Medium</t>
        </is>
      </c>
      <c r="K56" t="inlineStr">
        <is>
          <t>Framework</t>
        </is>
      </c>
      <c r="L56" t="inlineStr">
        <is>
          <t>Yes</t>
        </is>
      </c>
      <c r="N56" t="inlineStr">
        <is>
          <t>Root file converted to re-export shim; main project include preserved</t>
        </is>
      </c>
    </row>
    <row r="57" ht="18.75" customHeight="1">
      <c r="A57" s="43" t="inlineStr">
        <is>
          <t>RR-33</t>
        </is>
      </c>
      <c r="L57" t="inlineStr">
        <is>
          <t>No</t>
        </is>
      </c>
      <c r="N57" t="inlineStr">
        <is>
          <t>Additive change only</t>
        </is>
      </c>
    </row>
    <row r="58" ht="18.75" customFormat="1" customHeight="1" s="4">
      <c r="A58" t="inlineStr">
        <is>
          <t>RR-34</t>
        </is>
      </c>
      <c r="B58" t="inlineStr">
        <is>
          <t>apps.py:ComplaintSystemConfig</t>
        </is>
      </c>
      <c r="C58" t="inlineStr">
        <is>
          <t>AppConfig missing default_auto_field causing Django 3.2+ deprecation warning</t>
        </is>
      </c>
      <c r="D58" t="inlineStr">
        <is>
          <t>Other (missing configuration)</t>
        </is>
      </c>
      <c r="E58" t="inlineStr">
        <is>
          <t>Other (add configuration attribute)</t>
        </is>
      </c>
      <c r="F58" t="inlineStr">
        <is>
          <t>Maintainability</t>
        </is>
      </c>
      <c r="G58" t="inlineStr">
        <is>
          <t>Minor</t>
        </is>
      </c>
      <c r="H58" t="inlineStr">
        <is>
          <t>Statement</t>
        </is>
      </c>
      <c r="I58" t="inlineStr">
        <is>
          <t>Local</t>
        </is>
      </c>
      <c r="J58" t="inlineStr">
        <is>
          <t>Low</t>
        </is>
      </c>
      <c r="K58" t="inlineStr">
        <is>
          <t>Framework</t>
        </is>
      </c>
      <c r="L58" t="inlineStr">
        <is>
          <t>No</t>
        </is>
      </c>
      <c r="M58" t="inlineStr">
        <is>
          <t>Setting DEFAULT_AUTO_FIELD in project settings.py</t>
        </is>
      </c>
    </row>
    <row r="59" ht="18.75" customFormat="1" customHeight="1" s="4">
      <c r="A59" t="inlineStr">
        <is>
          <t>RR-35</t>
        </is>
      </c>
      <c r="B59" t="inlineStr">
        <is>
          <t>api/__init__.py</t>
        </is>
      </c>
      <c r="C59" t="inlineStr">
        <is>
          <t>api/ directory lacks __init__.py preventing proper Python package recognition</t>
        </is>
      </c>
      <c r="D59" t="inlineStr">
        <is>
          <t>Other (missing package init)</t>
        </is>
      </c>
      <c r="E59" t="inlineStr">
        <is>
          <t>Other (create package init)</t>
        </is>
      </c>
      <c r="F59" t="inlineStr">
        <is>
          <t>Architecture Conformance</t>
        </is>
      </c>
      <c r="G59" t="inlineStr">
        <is>
          <t>Minor</t>
        </is>
      </c>
      <c r="H59" t="inlineStr">
        <is>
          <t>File</t>
        </is>
      </c>
      <c r="I59" t="inlineStr">
        <is>
          <t>Local</t>
        </is>
      </c>
      <c r="J59" t="inlineStr">
        <is>
          <t>Low</t>
        </is>
      </c>
      <c r="K59" t="inlineStr">
        <is>
          <t>Framework</t>
        </is>
      </c>
      <c r="L59" t="inlineStr">
        <is>
          <t>Yes</t>
        </is>
      </c>
      <c r="N59" t="inlineStr">
        <is>
          <t>Required for api subpackage imports</t>
        </is>
      </c>
    </row>
    <row r="60" ht="18.75" customFormat="1" customHeight="1" s="4">
      <c r="A60" t="inlineStr">
        <is>
          <t>RR-36</t>
        </is>
      </c>
      <c r="B60" t="inlineStr">
        <is>
          <t>tests/test_module.py</t>
        </is>
      </c>
      <c r="C60" t="inlineStr">
        <is>
          <t>Test imports reference root serializers module instead of canonical api/serializers location after consolidation</t>
        </is>
      </c>
      <c r="D60" t="inlineStr">
        <is>
          <t>Other (stale imports)</t>
        </is>
      </c>
      <c r="E60" t="inlineStr">
        <is>
          <t>Other (update imports)</t>
        </is>
      </c>
      <c r="F60" t="inlineStr">
        <is>
          <t>Maintainability</t>
        </is>
      </c>
      <c r="G60" t="inlineStr">
        <is>
          <t>Minor</t>
        </is>
      </c>
      <c r="H60" t="inlineStr">
        <is>
          <t>Statement</t>
        </is>
      </c>
      <c r="I60" t="inlineStr">
        <is>
          <t>Intra-file</t>
        </is>
      </c>
      <c r="J60" t="inlineStr">
        <is>
          <t>Low</t>
        </is>
      </c>
      <c r="K60" t="inlineStr">
        <is>
          <t>Local Code</t>
        </is>
      </c>
      <c r="L60" t="inlineStr">
        <is>
          <t>Yes</t>
        </is>
      </c>
      <c r="N60" t="inlineStr">
        <is>
          <t>Dependent on RR-31 serializer consolidation</t>
        </is>
      </c>
    </row>
    <row r="61" ht="18.75" customFormat="1" customHeight="1" s="4">
      <c r="A61" s="12" t="n"/>
      <c r="B61" s="35" t="n"/>
      <c r="C61" s="12" t="n"/>
      <c r="D61" s="13" t="n"/>
      <c r="E61" s="12" t="n"/>
      <c r="F61" s="35" t="n"/>
      <c r="G61" s="12" t="n"/>
      <c r="H61" s="13" t="n"/>
      <c r="I61" s="12" t="n"/>
      <c r="J61" s="13" t="n"/>
      <c r="K61" s="12" t="n"/>
      <c r="L61" s="13" t="n"/>
      <c r="M61" s="12" t="n"/>
      <c r="N61" s="13" t="n"/>
      <c r="O61" s="21" t="n"/>
      <c r="P61" s="21" t="n"/>
      <c r="Q61" s="21" t="n"/>
      <c r="R61" s="21" t="n"/>
      <c r="S61" s="21" t="n"/>
      <c r="T61" s="21" t="n"/>
    </row>
    <row r="62" ht="18.75" customFormat="1" customHeight="1" s="4">
      <c r="A62" s="12" t="n"/>
      <c r="B62" s="35" t="n"/>
      <c r="C62" s="12" t="n"/>
      <c r="D62" s="13" t="n"/>
      <c r="E62" s="12" t="n"/>
      <c r="F62" s="35" t="n"/>
      <c r="G62" s="12" t="n"/>
      <c r="H62" s="13" t="n"/>
      <c r="I62" s="12" t="n"/>
      <c r="J62" s="13" t="n"/>
      <c r="K62" s="12" t="n"/>
      <c r="L62" s="13" t="n"/>
      <c r="M62" s="12" t="n"/>
      <c r="N62" s="13" t="n"/>
      <c r="O62" s="21" t="n"/>
      <c r="P62" s="21" t="n"/>
      <c r="Q62" s="21" t="n"/>
      <c r="R62" s="21" t="n"/>
      <c r="S62" s="21" t="n"/>
      <c r="T62" s="21" t="n"/>
    </row>
    <row r="63" ht="18.75" customFormat="1" customHeight="1" s="4">
      <c r="A63" s="12" t="n"/>
      <c r="B63" s="35" t="n"/>
      <c r="C63" s="12" t="n"/>
      <c r="D63" s="13" t="n"/>
      <c r="E63" s="12" t="n"/>
      <c r="F63" s="35" t="n"/>
      <c r="G63" s="12" t="n"/>
      <c r="H63" s="13" t="n"/>
      <c r="I63" s="12" t="n"/>
      <c r="J63" s="13" t="n"/>
      <c r="K63" s="12" t="n"/>
      <c r="L63" s="13" t="n"/>
      <c r="M63" s="12" t="n"/>
      <c r="N63" s="13" t="n"/>
      <c r="O63" s="21" t="n"/>
      <c r="P63" s="21" t="n"/>
      <c r="Q63" s="21" t="n"/>
      <c r="R63" s="21" t="n"/>
      <c r="S63" s="21" t="n"/>
      <c r="T63" s="21" t="n"/>
    </row>
    <row r="64" ht="18.75" customFormat="1" customHeight="1" s="4">
      <c r="A64" s="12" t="n"/>
      <c r="B64" s="35" t="n"/>
      <c r="C64" s="12" t="n"/>
      <c r="D64" s="13" t="n"/>
      <c r="E64" s="12" t="n"/>
      <c r="F64" s="35" t="n"/>
      <c r="G64" s="12" t="n"/>
      <c r="H64" s="13" t="n"/>
      <c r="I64" s="12" t="n"/>
      <c r="J64" s="13" t="n"/>
      <c r="K64" s="12" t="n"/>
      <c r="L64" s="13" t="n"/>
      <c r="M64" s="12" t="n"/>
      <c r="N64" s="13" t="n"/>
      <c r="O64" s="21" t="n"/>
      <c r="P64" s="21" t="n"/>
      <c r="Q64" s="21" t="n"/>
      <c r="R64" s="21" t="n"/>
      <c r="S64" s="21" t="n"/>
      <c r="T64" s="21" t="n"/>
    </row>
    <row r="65" ht="18.75" customFormat="1" customHeight="1" s="4">
      <c r="A65" s="12" t="n"/>
      <c r="B65" s="35" t="n"/>
      <c r="C65" s="12" t="n"/>
      <c r="D65" s="13" t="n"/>
      <c r="E65" s="12" t="n"/>
      <c r="F65" s="35" t="n"/>
      <c r="G65" s="12" t="n"/>
      <c r="H65" s="13" t="n"/>
      <c r="I65" s="12" t="n"/>
      <c r="J65" s="13" t="n"/>
      <c r="K65" s="12" t="n"/>
      <c r="L65" s="13" t="n"/>
      <c r="M65" s="12" t="n"/>
      <c r="N65" s="13" t="n"/>
      <c r="O65" s="21" t="n"/>
      <c r="P65" s="21" t="n"/>
      <c r="Q65" s="21" t="n"/>
      <c r="R65" s="21" t="n"/>
      <c r="S65" s="21" t="n"/>
      <c r="T65" s="21" t="n"/>
    </row>
    <row r="66" ht="18.75" customFormat="1" customHeight="1" s="4">
      <c r="A66" s="12" t="n"/>
      <c r="B66" s="35" t="n"/>
      <c r="C66" s="12" t="n"/>
      <c r="D66" s="13" t="n"/>
      <c r="E66" s="12" t="n"/>
      <c r="F66" s="35" t="n"/>
      <c r="G66" s="12" t="n"/>
      <c r="H66" s="13" t="n"/>
      <c r="I66" s="12" t="n"/>
      <c r="J66" s="13" t="n"/>
      <c r="K66" s="12" t="n"/>
      <c r="L66" s="13" t="n"/>
      <c r="M66" s="12" t="n"/>
      <c r="N66" s="13" t="n"/>
      <c r="O66" s="21" t="n"/>
      <c r="P66" s="21" t="n"/>
      <c r="Q66" s="21" t="n"/>
      <c r="R66" s="21" t="n"/>
      <c r="S66" s="21" t="n"/>
      <c r="T66" s="21" t="n"/>
    </row>
    <row r="67" ht="18.75" customFormat="1" customHeight="1" s="4">
      <c r="A67" s="20" t="n"/>
      <c r="B67" s="36" t="n"/>
      <c r="C67" s="21" t="n"/>
      <c r="D67" s="21" t="n"/>
      <c r="E67" s="20" t="n"/>
      <c r="F67" s="37" t="n"/>
      <c r="G67" s="21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</row>
    <row r="68" ht="18.75" customFormat="1" customHeight="1" s="4">
      <c r="A68" s="20" t="n"/>
      <c r="B68" s="36" t="n"/>
      <c r="C68" s="21" t="n"/>
      <c r="D68" s="21" t="n"/>
      <c r="E68" s="20" t="n"/>
      <c r="F68" s="37" t="n"/>
      <c r="G68" s="21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</row>
    <row r="69" ht="18.75" customFormat="1" customHeight="1" s="4">
      <c r="A69" s="1" t="inlineStr">
        <is>
          <t>5. Generated Refactoring Actions</t>
        </is>
      </c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2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</row>
    <row r="70" ht="18.75" customFormat="1" customHeight="1" s="4">
      <c r="A70" s="8" t="inlineStr">
        <is>
          <t>GA_ID</t>
        </is>
      </c>
      <c r="B70" s="26" t="inlineStr">
        <is>
          <t>Treatment</t>
        </is>
      </c>
      <c r="C70" s="8" t="inlineStr">
        <is>
          <t>Location(s)</t>
        </is>
      </c>
      <c r="D70" s="8" t="inlineStr">
        <is>
          <t>Generated Action Description</t>
        </is>
      </c>
      <c r="E70" s="8" t="inlineStr">
        <is>
          <t>Inferred Refactoring Type</t>
        </is>
      </c>
      <c r="F70" s="26" t="inlineStr">
        <is>
          <t>Scope</t>
        </is>
      </c>
      <c r="G70" s="8" t="inlineStr">
        <is>
          <t>Files Changed</t>
        </is>
      </c>
      <c r="H70" s="8" t="inlineStr">
        <is>
          <t>LOC Changed</t>
        </is>
      </c>
      <c r="I70" s="8" t="inlineStr">
        <is>
          <t>Context Needed?</t>
        </is>
      </c>
      <c r="J70" s="8" t="inlineStr">
        <is>
          <t>Rationale Quality</t>
        </is>
      </c>
      <c r="K70" s="8" t="inlineStr">
        <is>
          <t>Notes</t>
        </is>
      </c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</row>
    <row r="71" ht="18.75" customFormat="1" customHeight="1" s="4">
      <c r="A71" s="29" t="inlineStr">
        <is>
          <t>GA-01</t>
        </is>
      </c>
      <c r="B71" s="33" t="inlineStr">
        <is>
          <t>M1_AIA_v1</t>
        </is>
      </c>
      <c r="C71" s="29" t="inlineStr">
        <is>
          <t>services.py</t>
        </is>
      </c>
      <c r="D71" s="34" t="inlineStr">
        <is>
          <t>Created COMPLAINT_TYPE_DAYS lookup dict replacing 3x duplicated if/elif chains for finish date calculation</t>
        </is>
      </c>
      <c r="E71" s="29" t="inlineStr">
        <is>
          <t>Extract Method</t>
        </is>
      </c>
      <c r="F71" s="33" t="inlineStr">
        <is>
          <t>Method</t>
        </is>
      </c>
      <c r="G71" s="29" t="inlineStr">
        <is>
          <t>RR-01</t>
        </is>
      </c>
      <c r="H71" s="34" t="inlineStr">
        <is>
          <t>High</t>
        </is>
      </c>
      <c r="I71" s="29" t="inlineStr">
        <is>
          <t>Yes</t>
        </is>
      </c>
      <c r="J71" s="34" t="inlineStr">
        <is>
          <t>Extracted calculate_complaint_finish_date() into services.py using dict lookup</t>
        </is>
      </c>
      <c r="K71" s="29" t="inlineStr">
        <is>
          <t>Replaces ~45 lines of duplicated if/elif with 15-line dict + helper</t>
        </is>
      </c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</row>
    <row r="72" ht="18.75" customFormat="1" customHeight="1" s="4">
      <c r="A72" s="29" t="inlineStr">
        <is>
          <t>GA-02</t>
        </is>
      </c>
      <c r="B72" s="33" t="inlineStr">
        <is>
          <t>M1_AIA_v1</t>
        </is>
      </c>
      <c r="C72" s="29" t="inlineStr">
        <is>
          <t>services.py</t>
        </is>
      </c>
      <c r="D72" s="34" t="inlineStr">
        <is>
          <t>Created LOCATION_DESIGNATION_MAP lookup dict replacing 3x duplicated if/elif chains for location resolution</t>
        </is>
      </c>
      <c r="E72" s="29" t="inlineStr">
        <is>
          <t>Extract Method</t>
        </is>
      </c>
      <c r="F72" s="33" t="inlineStr">
        <is>
          <t>Method</t>
        </is>
      </c>
      <c r="G72" s="29" t="inlineStr">
        <is>
          <t>RR-02</t>
        </is>
      </c>
      <c r="H72" s="34" t="inlineStr">
        <is>
          <t>High</t>
        </is>
      </c>
      <c r="I72" s="29" t="inlineStr">
        <is>
          <t>Yes</t>
        </is>
      </c>
      <c r="J72" s="34" t="inlineStr">
        <is>
          <t>Extracted resolve_location_to_designation() into services.py using dict lookup</t>
        </is>
      </c>
      <c r="K72" s="29" t="inlineStr">
        <is>
          <t>Replaces ~72 lines of duplicated if/elif with 12-line dict + helper</t>
        </is>
      </c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</row>
    <row r="73" ht="18.75" customFormat="1" customHeight="1" s="4">
      <c r="A73" s="29" t="inlineStr">
        <is>
          <t>GA-03</t>
        </is>
      </c>
      <c r="B73" s="33" t="inlineStr">
        <is>
          <t>M1_AIA_v1</t>
        </is>
      </c>
      <c r="C73" s="29" t="inlineStr">
        <is>
          <t>services.py</t>
        </is>
      </c>
      <c r="D73" s="34" t="inlineStr">
        <is>
          <t>Created lodge_complaint() service function unifying 3 duplicated lodge flows with notify_single parameter</t>
        </is>
      </c>
      <c r="E73" s="29" t="inlineStr">
        <is>
          <t>Extract Method</t>
        </is>
      </c>
      <c r="F73" s="33" t="inlineStr">
        <is>
          <t>Cross-file</t>
        </is>
      </c>
      <c r="G73" s="29" t="inlineStr">
        <is>
          <t>RR-03</t>
        </is>
      </c>
      <c r="H73" s="34" t="inlineStr">
        <is>
          <t>High</t>
        </is>
      </c>
      <c r="I73" s="29" t="inlineStr">
        <is>
          <t>Yes</t>
        </is>
      </c>
      <c r="J73" s="34" t="inlineStr">
        <is>
          <t>Single service function handles complaint creation, date calc, designation lookup, and notification</t>
        </is>
      </c>
      <c r="K73" s="29" t="inlineStr">
        <is>
          <t>Most impactful deduplication — eliminates ~195 lines of duplication</t>
        </is>
      </c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</row>
    <row r="74" ht="18.75" customFormat="1" customHeight="1" s="4">
      <c r="A74" s="29" t="inlineStr">
        <is>
          <t>GA-04</t>
        </is>
      </c>
      <c r="B74" s="33" t="inlineStr">
        <is>
          <t>M1_AIA_v1</t>
        </is>
      </c>
      <c r="C74" s="29" t="inlineStr">
        <is>
          <t>views.py</t>
        </is>
      </c>
      <c r="D74" s="34" t="inlineStr">
        <is>
          <t>Unified GET handlers across UserComplaintView, CaretakerLodgeView, ServiceProviderLodgeView to use shared pattern</t>
        </is>
      </c>
      <c r="E74" s="29" t="inlineStr">
        <is>
          <t>Simplify Conditional</t>
        </is>
      </c>
      <c r="F74" s="33" t="inlineStr">
        <is>
          <t>Method</t>
        </is>
      </c>
      <c r="G74" s="29" t="inlineStr">
        <is>
          <t>RR-04</t>
        </is>
      </c>
      <c r="H74" s="34" t="inlineStr">
        <is>
          <t>High</t>
        </is>
      </c>
      <c r="I74" s="29" t="inlineStr">
        <is>
          <t>Yes</t>
        </is>
      </c>
      <c r="J74" s="34" t="inlineStr">
        <is>
          <t>All 3 views now delegate to selectors.get_complaints_by_complainer()</t>
        </is>
      </c>
      <c r="K74" s="29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</row>
    <row r="75" ht="18.75" customFormat="1" customHeight="1" s="4">
      <c r="A75" s="29" t="inlineStr">
        <is>
          <t>GA-05</t>
        </is>
      </c>
      <c r="B75" s="33" t="inlineStr">
        <is>
          <t>M1_AIA_v1</t>
        </is>
      </c>
      <c r="C75" s="29" t="inlineStr">
        <is>
          <t>services.py</t>
        </is>
      </c>
      <c r="D75" s="34" t="inlineStr">
        <is>
          <t>Created submit_complaint_feedback() and _update_caretaker_rating() service functions replacing 3x duplicated feedback logic</t>
        </is>
      </c>
      <c r="E75" s="29" t="inlineStr">
        <is>
          <t>Extract Method</t>
        </is>
      </c>
      <c r="F75" s="33" t="inlineStr">
        <is>
          <t>Cross-file</t>
        </is>
      </c>
      <c r="G75" s="29" t="inlineStr">
        <is>
          <t>RR-05</t>
        </is>
      </c>
      <c r="H75" s="34" t="inlineStr">
        <is>
          <t>High</t>
        </is>
      </c>
      <c r="I75" s="29" t="inlineStr">
        <is>
          <t>Yes</t>
        </is>
      </c>
      <c r="J75" s="34" t="inlineStr">
        <is>
          <t>Centralized rating averaging and feedback update in services.py</t>
        </is>
      </c>
      <c r="K75" s="29" t="inlineStr">
        <is>
          <t>Rating logic now in one place with proper averaging</t>
        </is>
      </c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</row>
    <row r="76" ht="18.75" customFormat="1" customHeight="1" s="4">
      <c r="A76" s="29" t="inlineStr">
        <is>
          <t>GA-06</t>
        </is>
      </c>
      <c r="B76" s="33" t="inlineStr">
        <is>
          <t>M1_AIA_v1</t>
        </is>
      </c>
      <c r="C76" s="29" t="inlineStr">
        <is>
          <t>views.py</t>
        </is>
      </c>
      <c r="D76" s="34" t="inlineStr">
        <is>
          <t>Merged ChangeStatusView and ChangeStatusSuperView into single ChangeStatusView with IsCaretakerOrServiceProvider permission</t>
        </is>
      </c>
      <c r="E76" s="29" t="inlineStr">
        <is>
          <t>Remove Duplication</t>
        </is>
      </c>
      <c r="F76" s="33" t="inlineStr">
        <is>
          <t>Class</t>
        </is>
      </c>
      <c r="G76" s="29" t="inlineStr">
        <is>
          <t>RR-06</t>
        </is>
      </c>
      <c r="H76" s="34" t="inlineStr">
        <is>
          <t>High</t>
        </is>
      </c>
      <c r="I76" s="29" t="inlineStr">
        <is>
          <t>Yes</t>
        </is>
      </c>
      <c r="J76" s="34" t="inlineStr">
        <is>
          <t>Combined identical classes using composite permission class</t>
        </is>
      </c>
      <c r="K76" s="29" t="inlineStr">
        <is>
          <t>URL param renamed status -&gt; status_value to avoid shadowing</t>
        </is>
      </c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</row>
    <row r="77" ht="18.75" customFormat="1" customHeight="1" s="4">
      <c r="A77" s="29" t="inlineStr">
        <is>
          <t>GA-07</t>
        </is>
      </c>
      <c r="B77" s="33" t="inlineStr">
        <is>
          <t>M1_AIA_v1</t>
        </is>
      </c>
      <c r="C77" s="29" t="inlineStr">
        <is>
          <t>views.py</t>
        </is>
      </c>
      <c r="D77" s="34" t="inlineStr">
        <is>
          <t>FeedbackSuperView and ServiceProviderComplaintDetailView share complaint+caretaker pattern via selectors</t>
        </is>
      </c>
      <c r="E77" s="29" t="inlineStr">
        <is>
          <t>Remove Duplication</t>
        </is>
      </c>
      <c r="F77" s="33" t="inlineStr">
        <is>
          <t>Method</t>
        </is>
      </c>
      <c r="G77" s="29" t="inlineStr">
        <is>
          <t>RR-07</t>
        </is>
      </c>
      <c r="H77" s="34" t="inlineStr">
        <is>
          <t>High</t>
        </is>
      </c>
      <c r="I77" s="29" t="inlineStr">
        <is>
          <t>Yes</t>
        </is>
      </c>
      <c r="J77" s="34" t="inlineStr">
        <is>
          <t>Both views now use selectors.get_complaint_by_id() + selectors.get_caretaker_by_area()</t>
        </is>
      </c>
      <c r="K77" s="29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</row>
    <row r="78" ht="18.75" customFormat="1" customHeight="1" s="4">
      <c r="A78" s="29" t="inlineStr">
        <is>
          <t>GA-08</t>
        </is>
      </c>
      <c r="B78" s="33" t="inlineStr">
        <is>
          <t>M1_AIA_v1</t>
        </is>
      </c>
      <c r="C78" s="29" t="inlineStr">
        <is>
          <t>services.py</t>
        </is>
      </c>
      <c r="D78" s="34" t="inlineStr">
        <is>
          <t>Created resolve_complaint() service function replacing 2x duplicated resolve logic in caretaker and SP views</t>
        </is>
      </c>
      <c r="E78" s="29" t="inlineStr">
        <is>
          <t>Extract Method</t>
        </is>
      </c>
      <c r="F78" s="33" t="inlineStr">
        <is>
          <t>Cross-file</t>
        </is>
      </c>
      <c r="G78" s="29" t="inlineStr">
        <is>
          <t>RR-08</t>
        </is>
      </c>
      <c r="H78" s="34" t="inlineStr">
        <is>
          <t>High</t>
        </is>
      </c>
      <c r="I78" s="29" t="inlineStr">
        <is>
          <t>Yes</t>
        </is>
      </c>
      <c r="J78" s="34" t="inlineStr">
        <is>
          <t>Single service handles status update, comment, upload, and notification</t>
        </is>
      </c>
      <c r="K78" s="29" t="inlineStr">
        <is>
          <t>SP version now also supports upload_resolved</t>
        </is>
      </c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</row>
    <row r="79" ht="18.75" customFormat="1" customHeight="1" s="4">
      <c r="A79" s="29" t="inlineStr">
        <is>
          <t>GA-09</t>
        </is>
      </c>
      <c r="B79" s="33" t="inlineStr">
        <is>
          <t>M1_AIA_v1</t>
        </is>
      </c>
      <c r="C79" s="29" t="inlineStr">
        <is>
          <t>views.py</t>
        </is>
      </c>
      <c r="D79" s="34" t="inlineStr">
        <is>
          <t>Removed duplicate ComplaintDetailView class definition; kept single definition</t>
        </is>
      </c>
      <c r="E79" s="29" t="inlineStr">
        <is>
          <t>Remove Duplication</t>
        </is>
      </c>
      <c r="F79" s="33" t="inlineStr">
        <is>
          <t>Class</t>
        </is>
      </c>
      <c r="G79" s="29" t="inlineStr">
        <is>
          <t>RR-09</t>
        </is>
      </c>
      <c r="H79" s="34" t="inlineStr">
        <is>
          <t>High</t>
        </is>
      </c>
      <c r="I79" s="29" t="inlineStr">
        <is>
          <t>Yes</t>
        </is>
      </c>
      <c r="J79" s="34" t="inlineStr">
        <is>
          <t>Second definition was silently overriding first — removed first duplicate</t>
        </is>
      </c>
      <c r="K79" s="29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</row>
    <row r="80" ht="18.75" customFormat="1" customHeight="1" s="4">
      <c r="A80" s="29" t="inlineStr">
        <is>
          <t>GA-10</t>
        </is>
      </c>
      <c r="B80" s="33" t="inlineStr">
        <is>
          <t>M1_AIA_v1</t>
        </is>
      </c>
      <c r="C80" s="29" t="inlineStr">
        <is>
          <t>views.py</t>
        </is>
      </c>
      <c r="D80" s="34" t="inlineStr">
        <is>
          <t>Consolidated 3 duplicate import blocks into single import block at top of file</t>
        </is>
      </c>
      <c r="E80" s="29" t="inlineStr">
        <is>
          <t>Remove Duplication</t>
        </is>
      </c>
      <c r="F80" s="33" t="inlineStr">
        <is>
          <t>File</t>
        </is>
      </c>
      <c r="G80" s="29" t="inlineStr">
        <is>
          <t>RR-10</t>
        </is>
      </c>
      <c r="H80" s="34" t="inlineStr">
        <is>
          <t>High</t>
        </is>
      </c>
      <c r="I80" s="29" t="inlineStr">
        <is>
          <t>Yes</t>
        </is>
      </c>
      <c r="J80" s="34" t="inlineStr">
        <is>
          <t>Single import section for all DRF and module imports</t>
        </is>
      </c>
      <c r="K80" s="29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</row>
    <row r="81" ht="18.75" customFormat="1" customHeight="1" s="4">
      <c r="A81" s="29" t="inlineStr">
        <is>
          <t>GA-11</t>
        </is>
      </c>
      <c r="B81" s="33" t="inlineStr">
        <is>
          <t>M1_AIA_v1</t>
        </is>
      </c>
      <c r="C81" s="29" t="inlineStr">
        <is>
          <t>services.py</t>
        </is>
      </c>
      <c r="D81" s="34" t="inlineStr">
        <is>
          <t>Created services.py with all business logic extracted from 18 fat view classes</t>
        </is>
      </c>
      <c r="E81" s="29" t="inlineStr">
        <is>
          <t>Extract Method</t>
        </is>
      </c>
      <c r="F81" s="33" t="inlineStr">
        <is>
          <t>File</t>
        </is>
      </c>
      <c r="G81" s="29" t="inlineStr">
        <is>
          <t>RR-11</t>
        </is>
      </c>
      <c r="H81" s="34" t="inlineStr">
        <is>
          <t>High</t>
        </is>
      </c>
      <c r="I81" s="29" t="inlineStr">
        <is>
          <t>Yes</t>
        </is>
      </c>
      <c r="J81" s="34" t="inlineStr">
        <is>
          <t>Complete service layer: lodge_complaint, resolve_complaint, delete_complaint, generate_report, etc.</t>
        </is>
      </c>
      <c r="K81" s="29" t="inlineStr">
        <is>
          <t>Core architectural fix</t>
        </is>
      </c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</row>
    <row r="82" ht="18.75" customFormat="1" customHeight="1" s="4">
      <c r="A82" s="29" t="inlineStr">
        <is>
          <t>GA-12</t>
        </is>
      </c>
      <c r="B82" s="33" t="inlineStr">
        <is>
          <t>M1_AIA_v1</t>
        </is>
      </c>
      <c r="C82" s="29" t="inlineStr">
        <is>
          <t>selectors.py</t>
        </is>
      </c>
      <c r="D82" s="34" t="inlineStr">
        <is>
          <t>Created selectors.py with all DB queries extracted from views</t>
        </is>
      </c>
      <c r="E82" s="29" t="inlineStr">
        <is>
          <t>Move Query to Manager/QuerySet</t>
        </is>
      </c>
      <c r="F82" s="33" t="inlineStr">
        <is>
          <t>File</t>
        </is>
      </c>
      <c r="G82" s="29" t="inlineStr">
        <is>
          <t>RR-12</t>
        </is>
      </c>
      <c r="H82" s="34" t="inlineStr">
        <is>
          <t>High</t>
        </is>
      </c>
      <c r="I82" s="29" t="inlineStr">
        <is>
          <t>Yes</t>
        </is>
      </c>
      <c r="J82" s="34" t="inlineStr">
        <is>
          <t>Complete query layer: 25+ selector functions with select_related optimization</t>
        </is>
      </c>
      <c r="K82" s="29" t="inlineStr">
        <is>
          <t>Core architectural fix</t>
        </is>
      </c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</row>
    <row r="83" ht="18.75" customFormat="1" customHeight="1" s="4">
      <c r="A83" s="29" t="inlineStr">
        <is>
          <t>GA-13</t>
        </is>
      </c>
      <c r="B83" s="33" t="inlineStr">
        <is>
          <t>M1_AIA_v1</t>
        </is>
      </c>
      <c r="C83" s="29" t="inlineStr">
        <is>
          <t>permissions.py + services.py</t>
        </is>
      </c>
      <c r="D83" s="34" t="inlineStr">
        <is>
          <t>Added IsComplaintOwnerOrStaff permission class and ownership check in delete_complaint() service</t>
        </is>
      </c>
      <c r="E83" s="29" t="inlineStr">
        <is>
          <t>Consolidate Validation</t>
        </is>
      </c>
      <c r="F83" s="33" t="inlineStr">
        <is>
          <t>Cross-file</t>
        </is>
      </c>
      <c r="G83" s="29" t="inlineStr">
        <is>
          <t>RR-13</t>
        </is>
      </c>
      <c r="H83" s="34" t="inlineStr">
        <is>
          <t>High</t>
        </is>
      </c>
      <c r="I83" s="29" t="inlineStr">
        <is>
          <t>Yes</t>
        </is>
      </c>
      <c r="J83" s="34" t="inlineStr">
        <is>
          <t>Created 5 DRF permission classes + service-layer ownership verification</t>
        </is>
      </c>
      <c r="K83" s="29" t="inlineStr">
        <is>
          <t>Security fix: DeleteComplaintView now requires ownership or staff role</t>
        </is>
      </c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</row>
    <row r="84" ht="18.75" customFormat="1" customHeight="1" s="4">
      <c r="A84" s="29" t="inlineStr">
        <is>
          <t>GA-14</t>
        </is>
      </c>
      <c r="B84" s="33" t="inlineStr">
        <is>
          <t>M1_AIA_v1</t>
        </is>
      </c>
      <c r="C84" s="29" t="inlineStr">
        <is>
          <t>services.py</t>
        </is>
      </c>
      <c r="D84" s="34" t="inlineStr">
        <is>
          <t>Extracted forward_complaint_to_service_provider() from 50+ line view method into service function</t>
        </is>
      </c>
      <c r="E84" s="29" t="inlineStr">
        <is>
          <t>Extract Method</t>
        </is>
      </c>
      <c r="F84" s="33" t="inlineStr">
        <is>
          <t>Cross-file</t>
        </is>
      </c>
      <c r="G84" s="29" t="inlineStr">
        <is>
          <t>RR-14</t>
        </is>
      </c>
      <c r="H84" s="34" t="inlineStr">
        <is>
          <t>High</t>
        </is>
      </c>
      <c r="I84" s="29" t="inlineStr">
        <is>
          <t>Yes</t>
        </is>
      </c>
      <c r="J84" s="34" t="inlineStr">
        <is>
          <t>Service handles SP lookup, status update, notification, and file forwarding</t>
        </is>
      </c>
      <c r="K84" s="29" t="inlineStr">
        <is>
          <t>Also fixed class name typo: ForwardCompaint -&gt; ForwardComplaint</t>
        </is>
      </c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</row>
    <row r="85" ht="18.75" customFormat="1" customHeight="1" s="4">
      <c r="A85" s="29" t="inlineStr">
        <is>
          <t>GA-15</t>
        </is>
      </c>
      <c r="B85" s="33" t="inlineStr">
        <is>
          <t>M1_AIA_v1</t>
        </is>
      </c>
      <c r="C85" s="29" t="inlineStr">
        <is>
          <t>services.py</t>
        </is>
      </c>
      <c r="D85" s="34" t="inlineStr">
        <is>
          <t>Extracted generate_report() from 60+ line view method into service function</t>
        </is>
      </c>
      <c r="E85" s="29" t="inlineStr">
        <is>
          <t>Extract Method</t>
        </is>
      </c>
      <c r="F85" s="33" t="inlineStr">
        <is>
          <t>Cross-file</t>
        </is>
      </c>
      <c r="G85" s="29" t="inlineStr">
        <is>
          <t>RR-15</t>
        </is>
      </c>
      <c r="H85" s="34" t="inlineStr">
        <is>
          <t>High</t>
        </is>
      </c>
      <c r="I85" s="29" t="inlineStr">
        <is>
          <t>Yes</t>
        </is>
      </c>
      <c r="J85" s="34" t="inlineStr">
        <is>
          <t>Service handles role detection and queryset building based on user type</t>
        </is>
      </c>
      <c r="K85" s="29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</row>
    <row r="86" ht="18.75" customFormat="1" customHeight="1" s="4">
      <c r="A86" s="29" t="inlineStr">
        <is>
          <t>GA-16</t>
        </is>
      </c>
      <c r="B86" s="33" t="inlineStr">
        <is>
          <t>M1_AIA_v1</t>
        </is>
      </c>
      <c r="C86" s="29" t="inlineStr">
        <is>
          <t>views.py</t>
        </is>
      </c>
      <c r="D86" s="34" t="inlineStr">
        <is>
          <t>Replaced bare except: with specific StudentComplain.DoesNotExist and Caretaker.DoesNotExist handlers</t>
        </is>
      </c>
      <c r="E86" s="29" t="inlineStr">
        <is>
          <t>Simplify Conditional</t>
        </is>
      </c>
      <c r="F86" s="33" t="inlineStr">
        <is>
          <t>Statement</t>
        </is>
      </c>
      <c r="G86" s="29" t="inlineStr">
        <is>
          <t>RR-16</t>
        </is>
      </c>
      <c r="H86" s="34" t="inlineStr">
        <is>
          <t>High</t>
        </is>
      </c>
      <c r="I86" s="29" t="inlineStr">
        <is>
          <t>Yes</t>
        </is>
      </c>
      <c r="J86" s="34" t="inlineStr">
        <is>
          <t>Each exception type now caught and reported separately with proper HTTP status</t>
        </is>
      </c>
      <c r="K86" s="29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</row>
    <row r="87" ht="18.75" customFormat="1" customHeight="1" s="4">
      <c r="A87" s="29" t="inlineStr">
        <is>
          <t>GA-17</t>
        </is>
      </c>
      <c r="B87" s="33" t="inlineStr">
        <is>
          <t>M1_AIA_v1</t>
        </is>
      </c>
      <c r="C87" s="29" t="inlineStr">
        <is>
          <t>views.py</t>
        </is>
      </c>
      <c r="D87" s="34" t="inlineStr">
        <is>
          <t>Removed all print() debugging statements from production code</t>
        </is>
      </c>
      <c r="E87" s="29" t="inlineStr">
        <is>
          <t>Other</t>
        </is>
      </c>
      <c r="F87" s="33" t="inlineStr">
        <is>
          <t>Statement</t>
        </is>
      </c>
      <c r="G87" s="29" t="inlineStr">
        <is>
          <t>RR-17</t>
        </is>
      </c>
      <c r="H87" s="34" t="inlineStr">
        <is>
          <t>High</t>
        </is>
      </c>
      <c r="I87" s="29" t="inlineStr">
        <is>
          <t>Yes</t>
        </is>
      </c>
      <c r="J87" s="34" t="inlineStr">
        <is>
          <t>Replaced with logging module where appropriate</t>
        </is>
      </c>
      <c r="K87" s="29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</row>
    <row r="88" ht="18.75" customFormat="1" customHeight="1" s="4">
      <c r="A88" s="29" t="inlineStr">
        <is>
          <t>GA-18</t>
        </is>
      </c>
      <c r="B88" s="33" t="inlineStr">
        <is>
          <t>M1_AIA_v1</t>
        </is>
      </c>
      <c r="C88" s="29" t="inlineStr">
        <is>
          <t>serializers.py</t>
        </is>
      </c>
      <c r="D88" s="34" t="inlineStr">
        <is>
          <t>Added min_value=0, max_value=5 to FeedbackSerializer.rating IntegerField</t>
        </is>
      </c>
      <c r="E88" s="29" t="inlineStr">
        <is>
          <t>Consolidate Validation</t>
        </is>
      </c>
      <c r="F88" s="33" t="inlineStr">
        <is>
          <t>Method</t>
        </is>
      </c>
      <c r="G88" s="29" t="inlineStr">
        <is>
          <t>RR-18</t>
        </is>
      </c>
      <c r="H88" s="34" t="inlineStr">
        <is>
          <t>High</t>
        </is>
      </c>
      <c r="I88" s="29" t="inlineStr">
        <is>
          <t>Yes</t>
        </is>
      </c>
      <c r="J88" s="34" t="inlineStr">
        <is>
          <t>DRF serializer-level validation prevents invalid ratings at input boundary</t>
        </is>
      </c>
      <c r="K88" s="29" t="inlineStr">
        <is>
          <t>Also added validate_complaint_type and validate_location to StudentComplainSerializer</t>
        </is>
      </c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</row>
    <row r="89" ht="18.75" customHeight="1">
      <c r="A89" s="29" t="inlineStr">
        <is>
          <t>GA-19</t>
        </is>
      </c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21" t="n"/>
      <c r="S89" s="21" t="n"/>
      <c r="T89" s="21" t="n"/>
    </row>
    <row r="90" ht="18.75" customFormat="1" customHeight="1" s="4">
      <c r="A90" s="29" t="inlineStr">
        <is>
          <t>GA-20</t>
        </is>
      </c>
      <c r="B90" s="33" t="inlineStr">
        <is>
          <t>M1_AIA_v1</t>
        </is>
      </c>
      <c r="C90" s="29" t="inlineStr">
        <is>
          <t>api/views.py + services.py</t>
        </is>
      </c>
      <c r="D90" s="34" t="inlineStr">
        <is>
          <t>Fixed worker_detail.objects.get() bug by using Workers model via services.get_complaint_detail_for_api()</t>
        </is>
      </c>
      <c r="E90" s="29" t="inlineStr">
        <is>
          <t>Other</t>
        </is>
      </c>
      <c r="F90" s="33" t="inlineStr">
        <is>
          <t>Statement</t>
        </is>
      </c>
      <c r="G90" s="29" t="inlineStr">
        <is>
          <t>RR-20</t>
        </is>
      </c>
      <c r="H90" s="34" t="inlineStr">
        <is>
          <t>High</t>
        </is>
      </c>
      <c r="I90" s="29" t="inlineStr">
        <is>
          <t>Yes</t>
        </is>
      </c>
      <c r="J90" s="34" t="inlineStr">
        <is>
          <t>ComplaintDetailAPIView now delegates to services which uses selectors.get_worker_by_id()</t>
        </is>
      </c>
      <c r="K90" s="29" t="inlineStr">
        <is>
          <t>Was a runtime NameError that crashed on any complaint with a worker</t>
        </is>
      </c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</row>
    <row r="91" ht="18.75" customHeight="1">
      <c r="A91" s="29" t="inlineStr">
        <is>
          <t>GA-21</t>
        </is>
      </c>
      <c r="B91" s="33" t="inlineStr">
        <is>
          <t>M1_AIA_v1</t>
        </is>
      </c>
      <c r="C91" s="29" t="inlineStr">
        <is>
          <t>api/views.py</t>
        </is>
      </c>
      <c r="D91" s="34" t="inlineStr">
        <is>
          <t>Converted 8 function-based API views to class-based APIViews delegating to services/selectors</t>
        </is>
      </c>
      <c r="E91" s="29" t="inlineStr">
        <is>
          <t>Extract Method</t>
        </is>
      </c>
      <c r="F91" s="33" t="inlineStr">
        <is>
          <t>File</t>
        </is>
      </c>
      <c r="G91" s="29" t="inlineStr">
        <is>
          <t>RR-21</t>
        </is>
      </c>
      <c r="H91" s="34" t="inlineStr">
        <is>
          <t>High</t>
        </is>
      </c>
      <c r="I91" s="29" t="inlineStr">
        <is>
          <t>Yes</t>
        </is>
      </c>
      <c r="J91" s="34" t="inlineStr">
        <is>
          <t>8 CBVs: ComplaintDetailAPIView, StudentComplainAPIView, CreateComplainAPIView, EditComplainAPIView, WorkerAPIView, EditWorkerAPIView, CaretakerAPIView, EditCaretakerAPIView, ServiceProviderAPIView, EditServiceProviderAPIView</t>
        </is>
      </c>
      <c r="K91" s="29" t="inlineStr">
        <is>
          <t>Permission checks use selectors instead of inline queries</t>
        </is>
      </c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</row>
    <row r="92" ht="18.75" customHeight="1">
      <c r="A92" s="29" t="inlineStr">
        <is>
          <t>GA-22</t>
        </is>
      </c>
      <c r="B92" s="33" t="inlineStr">
        <is>
          <t>M1_AIA_v1</t>
        </is>
      </c>
      <c r="C92" s="29" t="inlineStr">
        <is>
          <t>tests/test_module.py</t>
        </is>
      </c>
      <c r="D92" s="34" t="inlineStr">
        <is>
          <t>Created comprehensive test suite: 30+ tests covering services, serializers, permissions, and constants</t>
        </is>
      </c>
      <c r="E92" s="29" t="inlineStr">
        <is>
          <t>Other</t>
        </is>
      </c>
      <c r="F92" s="33" t="inlineStr">
        <is>
          <t>File</t>
        </is>
      </c>
      <c r="G92" s="29" t="inlineStr">
        <is>
          <t>RR-22</t>
        </is>
      </c>
      <c r="H92" s="34" t="inlineStr">
        <is>
          <t>High</t>
        </is>
      </c>
      <c r="I92" s="29" t="inlineStr">
        <is>
          <t>Yes</t>
        </is>
      </c>
      <c r="J92" s="34" t="inlineStr">
        <is>
          <t>Unit tests with mocked selectors for services, validation tests for serializers, permission class tests</t>
        </is>
      </c>
      <c r="K92" s="29" t="inlineStr">
        <is>
          <t>From zero to meaningful test coverage</t>
        </is>
      </c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</row>
    <row r="93" ht="18.75" customHeight="1">
      <c r="A93" s="29" t="inlineStr">
        <is>
          <t>GA-23</t>
        </is>
      </c>
      <c r="B93" s="33" t="inlineStr">
        <is>
          <t>M1_AIA_v1</t>
        </is>
      </c>
      <c r="C93" s="29" t="inlineStr">
        <is>
          <t>models.py</t>
        </is>
      </c>
      <c r="D93" s="34" t="inlineStr">
        <is>
          <t>Identified class meta (lowercase) bug on StudentComplain — noted but not fixed to preserve migration compatibility</t>
        </is>
      </c>
      <c r="E93" s="29" t="inlineStr">
        <is>
          <t>Rename</t>
        </is>
      </c>
      <c r="F93" s="33" t="inlineStr">
        <is>
          <t>Class</t>
        </is>
      </c>
      <c r="G93" s="29" t="inlineStr">
        <is>
          <t>RR-23</t>
        </is>
      </c>
      <c r="H93" s="34" t="inlineStr">
        <is>
          <t>Medium</t>
        </is>
      </c>
      <c r="I93" s="29" t="inlineStr">
        <is>
          <t>No</t>
        </is>
      </c>
      <c r="J93" s="34" t="inlineStr">
        <is>
          <t>Fixing requires migration; documented for future fix</t>
        </is>
      </c>
      <c r="K93" s="29" t="inlineStr">
        <is>
          <t>Partial match — identified but intentionally deferred</t>
        </is>
      </c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</row>
    <row r="94" ht="18.75" customHeight="1">
      <c r="A94" s="29" t="inlineStr">
        <is>
          <t>GA-24</t>
        </is>
      </c>
      <c r="B94" s="33" t="inlineStr">
        <is>
          <t>M1_AIA_v1</t>
        </is>
      </c>
      <c r="C94" s="29" t="inlineStr">
        <is>
          <t>selectors.py</t>
        </is>
      </c>
      <c r="D94" s="34" t="inlineStr">
        <is>
          <t>Role detection uses .filter().exists() instead of fetching all rows and iterating in Python</t>
        </is>
      </c>
      <c r="E94" s="29" t="inlineStr">
        <is>
          <t>Extract Method</t>
        </is>
      </c>
      <c r="F94" s="33" t="inlineStr">
        <is>
          <t>Method</t>
        </is>
      </c>
      <c r="G94" s="29" t="inlineStr">
        <is>
          <t>RR-24</t>
        </is>
      </c>
      <c r="H94" s="34" t="inlineStr">
        <is>
          <t>High</t>
        </is>
      </c>
      <c r="I94" s="29" t="inlineStr">
        <is>
          <t>Yes</t>
        </is>
      </c>
      <c r="J94" s="34" t="inlineStr">
        <is>
          <t>is_caretaker(), is_service_provider(), is_complaint_admin(), is_warden() in selectors.py</t>
        </is>
      </c>
      <c r="K94" s="29" t="inlineStr">
        <is>
          <t>O(1) DB check instead of O(n) Python iteration</t>
        </is>
      </c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</row>
    <row r="95" ht="18.75" customHeight="1">
      <c r="A95" s="12" t="n"/>
      <c r="B95" s="35" t="n"/>
      <c r="C95" s="12" t="n"/>
      <c r="D95" s="13" t="n"/>
      <c r="E95" s="12" t="n"/>
      <c r="F95" s="35" t="n"/>
      <c r="G95" s="12" t="n"/>
      <c r="H95" s="13" t="n"/>
      <c r="I95" s="12" t="n"/>
      <c r="J95" s="13" t="n"/>
      <c r="K95" s="12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</row>
    <row r="96" ht="18.75" customHeight="1">
      <c r="A96" s="12" t="n"/>
      <c r="B96" s="35" t="n"/>
      <c r="C96" s="12" t="n"/>
      <c r="D96" s="13" t="n"/>
      <c r="E96" s="12" t="n"/>
      <c r="F96" s="35" t="n"/>
      <c r="G96" s="12" t="n"/>
      <c r="H96" s="13" t="n"/>
      <c r="I96" s="12" t="n"/>
      <c r="J96" s="13" t="n"/>
      <c r="K96" s="12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</row>
    <row r="97" ht="18.75" customHeight="1">
      <c r="A97" s="12" t="n"/>
      <c r="B97" s="35" t="n"/>
      <c r="C97" s="12" t="n"/>
      <c r="D97" s="13" t="n"/>
      <c r="E97" s="12" t="n"/>
      <c r="F97" s="35" t="n"/>
      <c r="G97" s="12" t="n"/>
      <c r="H97" s="13" t="n"/>
      <c r="I97" s="12" t="n"/>
      <c r="J97" s="13" t="n"/>
      <c r="K97" s="12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</row>
    <row r="98" ht="18.75" customHeight="1">
      <c r="A98" s="12" t="n"/>
      <c r="B98" s="35" t="n"/>
      <c r="C98" s="12" t="n"/>
      <c r="D98" s="13" t="n"/>
      <c r="E98" s="12" t="n"/>
      <c r="F98" s="35" t="n"/>
      <c r="G98" s="12" t="n"/>
      <c r="H98" s="13" t="n"/>
      <c r="I98" s="12" t="n"/>
      <c r="J98" s="13" t="n"/>
      <c r="K98" s="12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</row>
    <row r="99" ht="18.75" customHeight="1">
      <c r="A99" s="12" t="n"/>
      <c r="B99" s="35" t="n"/>
      <c r="C99" s="12" t="n"/>
      <c r="D99" s="13" t="n"/>
      <c r="E99" s="12" t="n"/>
      <c r="F99" s="35" t="n"/>
      <c r="G99" s="12" t="n"/>
      <c r="H99" s="13" t="n"/>
      <c r="I99" s="12" t="n"/>
      <c r="J99" s="13" t="n"/>
      <c r="K99" s="12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</row>
    <row r="100" ht="18.75" customHeight="1">
      <c r="A100" s="12" t="n"/>
      <c r="B100" s="35" t="n"/>
      <c r="C100" s="12" t="n"/>
      <c r="D100" s="13" t="n"/>
      <c r="E100" s="12" t="n"/>
      <c r="F100" s="35" t="n"/>
      <c r="G100" s="12" t="n"/>
      <c r="H100" s="13" t="n"/>
      <c r="I100" s="12" t="n"/>
      <c r="J100" s="13" t="n"/>
      <c r="K100" s="12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</row>
    <row r="101" ht="18.75" customHeight="1">
      <c r="A101" s="1" t="inlineStr">
        <is>
          <t>6. Matching and Scoring (one row per treatment × reference item evaluation)</t>
        </is>
      </c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2" t="n"/>
      <c r="R101" s="20" t="n"/>
      <c r="S101" s="20" t="n"/>
      <c r="T101" s="20" t="n"/>
    </row>
    <row r="102" ht="18.75" customHeight="1">
      <c r="A102" s="8" t="inlineStr">
        <is>
          <t>Treatment</t>
        </is>
      </c>
      <c r="B102" s="26" t="inlineStr">
        <is>
          <t>RR_ID</t>
        </is>
      </c>
      <c r="C102" s="8" t="inlineStr">
        <is>
          <t>GA_ID</t>
        </is>
      </c>
      <c r="D102" s="8" t="inlineStr">
        <is>
          <t>Match Status</t>
        </is>
      </c>
      <c r="E102" s="8" t="inlineStr">
        <is>
          <t>Reviewer 1</t>
        </is>
      </c>
      <c r="F102" s="26" t="inlineStr">
        <is>
          <t>Reviewer 2</t>
        </is>
      </c>
      <c r="G102" s="8" t="inlineStr">
        <is>
          <t>Final Class</t>
        </is>
      </c>
      <c r="H102" s="8" t="inlineStr">
        <is>
          <t>Severity</t>
        </is>
      </c>
      <c r="I102" s="8" t="inlineStr">
        <is>
          <t>Severity Weight</t>
        </is>
      </c>
      <c r="J102" s="8" t="inlineStr">
        <is>
          <t>Harm Category</t>
        </is>
      </c>
      <c r="K102" s="8" t="inlineStr">
        <is>
          <t>Justification</t>
        </is>
      </c>
      <c r="L102" s="8" t="inlineStr">
        <is>
          <t>TP Flag</t>
        </is>
      </c>
      <c r="M102" s="8" t="inlineStr">
        <is>
          <t>FP Flag</t>
        </is>
      </c>
      <c r="N102" s="8" t="inlineStr">
        <is>
          <t>FN Flag</t>
        </is>
      </c>
      <c r="O102" s="8" t="inlineStr">
        <is>
          <t>Weighted TP</t>
        </is>
      </c>
      <c r="P102" s="8" t="inlineStr">
        <is>
          <t>Weighted FP</t>
        </is>
      </c>
      <c r="Q102" s="8" t="inlineStr">
        <is>
          <t>Weighted FN</t>
        </is>
      </c>
      <c r="R102" s="21" t="n"/>
      <c r="S102" s="21" t="n"/>
      <c r="T102" s="21" t="n"/>
    </row>
    <row r="103" ht="18.75" customHeight="1">
      <c r="A103" s="12" t="n"/>
      <c r="B103" s="31" t="n"/>
      <c r="C103" s="12" t="n"/>
      <c r="D103" s="12" t="n"/>
      <c r="E103" s="12" t="n"/>
      <c r="F103" s="31" t="n"/>
      <c r="G103" s="12" t="n"/>
      <c r="H103" s="14">
        <f>IFERROR(VLOOKUP($B103,$A$25:$N$62,7,FALSE),"")</f>
        <v/>
      </c>
      <c r="I103" s="15">
        <f>IF($H91="Minor",1,IF($H91="Moderate",2,IF($H91="Major",3,IF($H91="Critical",4,""))))</f>
        <v/>
      </c>
      <c r="J103" s="16" t="n"/>
      <c r="K103" s="16" t="n"/>
      <c r="L103" s="15">
        <f>IF(OR($G103="Exact TP",$G103="Equivalent TP"),1,0)</f>
        <v/>
      </c>
      <c r="M103" s="15">
        <f>IF(OR($G103="FP Extra",$G103="Harmful FP"),1,0)</f>
        <v/>
      </c>
      <c r="N103" s="15">
        <f>IF(OR($G103="FN",$G103="Partial"),1,0)</f>
        <v/>
      </c>
      <c r="O103" s="15">
        <f>IF($L91=1,$I91,0)</f>
        <v/>
      </c>
      <c r="P103" s="15">
        <f>IF($M91=1,$I91,0)</f>
        <v/>
      </c>
      <c r="Q103" s="15">
        <f>IF($N91=1,$I91,0)</f>
        <v/>
      </c>
      <c r="R103" s="20" t="n"/>
      <c r="S103" s="20" t="n"/>
      <c r="T103" s="20" t="n"/>
    </row>
    <row r="104" ht="18.75" customHeight="1">
      <c r="A104" s="12" t="n"/>
      <c r="B104" s="31" t="n"/>
      <c r="C104" s="12" t="n"/>
      <c r="D104" s="12" t="n"/>
      <c r="E104" s="12" t="n"/>
      <c r="F104" s="31" t="n"/>
      <c r="G104" s="12" t="n"/>
      <c r="H104" s="14">
        <f>IFERROR(VLOOKUP($B104,$A$25:$N$62,7,FALSE),"")</f>
        <v/>
      </c>
      <c r="I104" s="15">
        <f>IF($H92="Minor",1,IF($H92="Moderate",2,IF($H92="Major",3,IF($H92="Critical",4,""))))</f>
        <v/>
      </c>
      <c r="J104" s="16" t="n"/>
      <c r="K104" s="16" t="n"/>
      <c r="L104" s="15">
        <f>IF(OR($G104="Exact TP",$G104="Equivalent TP"),1,0)</f>
        <v/>
      </c>
      <c r="M104" s="15">
        <f>IF(OR($G104="FP Extra",$G104="Harmful FP"),1,0)</f>
        <v/>
      </c>
      <c r="N104" s="15">
        <f>IF(OR($G104="FN",$G104="Partial"),1,0)</f>
        <v/>
      </c>
      <c r="O104" s="15">
        <f>IF($L92=1,$I92,0)</f>
        <v/>
      </c>
      <c r="P104" s="15">
        <f>IF($M92=1,$I92,0)</f>
        <v/>
      </c>
      <c r="Q104" s="15">
        <f>IF($N92=1,$I92,0)</f>
        <v/>
      </c>
      <c r="R104" s="20" t="n"/>
      <c r="S104" s="20" t="n"/>
      <c r="T104" s="20" t="n"/>
    </row>
    <row r="105" ht="18.75" customHeight="1">
      <c r="A105" s="29" t="inlineStr">
        <is>
          <t>RR-01</t>
        </is>
      </c>
      <c r="B105" s="28" t="inlineStr">
        <is>
          <t>GA-01</t>
        </is>
      </c>
      <c r="C105" s="29" t="inlineStr">
        <is>
          <t>Exact</t>
        </is>
      </c>
      <c r="D105" s="29" t="inlineStr">
        <is>
          <t>M1_AIA_v1</t>
        </is>
      </c>
      <c r="E105" s="29" t="inlineStr">
        <is>
          <t>Yes</t>
        </is>
      </c>
      <c r="F105" s="28" t="inlineStr">
        <is>
          <t>Yes</t>
        </is>
      </c>
      <c r="G105" s="29" t="inlineStr">
        <is>
          <t>Full</t>
        </is>
      </c>
      <c r="H105" s="14">
        <f>IFERROR(VLOOKUP($B105,$A$25:$N$62,7,FALSE),"")</f>
        <v/>
      </c>
      <c r="I105" s="15">
        <f>IF($H93="Minor",1,IF($H93="Moderate",2,IF($H93="Major",3,IF($H93="Critical",4,""))))</f>
        <v/>
      </c>
      <c r="J105" s="16" t="n"/>
      <c r="K105" s="16" t="n"/>
      <c r="L105" s="15">
        <f>IF(OR($G105="Exact TP",$G105="Equivalent TP"),1,0)</f>
        <v/>
      </c>
      <c r="M105" s="15">
        <f>IF(OR($G105="FP Extra",$G105="Harmful FP"),1,0)</f>
        <v/>
      </c>
      <c r="N105" s="15">
        <f>IF(OR($G105="FN",$G105="Partial"),1,0)</f>
        <v/>
      </c>
      <c r="O105" s="15">
        <f>IF($L93=1,$I93,0)</f>
        <v/>
      </c>
      <c r="P105" s="15">
        <f>IF($M93=1,$I93,0)</f>
        <v/>
      </c>
      <c r="Q105" s="15">
        <f>IF($N93=1,$I93,0)</f>
        <v/>
      </c>
      <c r="R105" s="20" t="n"/>
      <c r="S105" s="20" t="n"/>
      <c r="T105" s="20" t="n"/>
    </row>
    <row r="106" ht="18.75" customHeight="1">
      <c r="A106" s="29" t="inlineStr">
        <is>
          <t>RR-02</t>
        </is>
      </c>
      <c r="B106" s="28" t="inlineStr">
        <is>
          <t>GA-02</t>
        </is>
      </c>
      <c r="C106" s="29" t="inlineStr">
        <is>
          <t>Exact</t>
        </is>
      </c>
      <c r="D106" s="29" t="inlineStr">
        <is>
          <t>M1_AIA_v1</t>
        </is>
      </c>
      <c r="E106" s="29" t="inlineStr">
        <is>
          <t>Yes</t>
        </is>
      </c>
      <c r="F106" s="28" t="inlineStr">
        <is>
          <t>Yes</t>
        </is>
      </c>
      <c r="G106" s="29" t="inlineStr">
        <is>
          <t>Full</t>
        </is>
      </c>
      <c r="H106" s="14">
        <f>IFERROR(VLOOKUP($B106,$A$25:$N$62,7,FALSE),"")</f>
        <v/>
      </c>
      <c r="I106" s="15">
        <f>IF($H94="Minor",1,IF($H94="Moderate",2,IF($H94="Major",3,IF($H94="Critical",4,""))))</f>
        <v/>
      </c>
      <c r="J106" s="16" t="n"/>
      <c r="K106" s="16" t="n"/>
      <c r="L106" s="15">
        <f>IF(OR($G106="Exact TP",$G106="Equivalent TP"),1,0)</f>
        <v/>
      </c>
      <c r="M106" s="15">
        <f>IF(OR($G106="FP Extra",$G106="Harmful FP"),1,0)</f>
        <v/>
      </c>
      <c r="N106" s="15">
        <f>IF(OR($G106="FN",$G106="Partial"),1,0)</f>
        <v/>
      </c>
      <c r="O106" s="15">
        <f>IF($L94=1,$I94,0)</f>
        <v/>
      </c>
      <c r="P106" s="15">
        <f>IF($M94=1,$I94,0)</f>
        <v/>
      </c>
      <c r="Q106" s="15">
        <f>IF($N94=1,$I94,0)</f>
        <v/>
      </c>
      <c r="R106" s="20" t="n"/>
      <c r="S106" s="20" t="n"/>
      <c r="T106" s="20" t="n"/>
    </row>
    <row r="107" ht="18.75" customHeight="1">
      <c r="A107" s="29" t="inlineStr">
        <is>
          <t>RR-03</t>
        </is>
      </c>
      <c r="B107" s="28" t="inlineStr">
        <is>
          <t>GA-03</t>
        </is>
      </c>
      <c r="C107" s="29" t="inlineStr">
        <is>
          <t>Exact</t>
        </is>
      </c>
      <c r="D107" s="29" t="inlineStr">
        <is>
          <t>M1_AIA_v1</t>
        </is>
      </c>
      <c r="E107" s="29" t="inlineStr">
        <is>
          <t>Yes</t>
        </is>
      </c>
      <c r="F107" s="28" t="inlineStr">
        <is>
          <t>Yes</t>
        </is>
      </c>
      <c r="G107" s="29" t="inlineStr">
        <is>
          <t>Full</t>
        </is>
      </c>
      <c r="H107" s="14">
        <f>IFERROR(VLOOKUP($B107,$A$25:$N$62,7,FALSE),"")</f>
        <v/>
      </c>
      <c r="I107" s="15">
        <f>IF($H95="Minor",1,IF($H95="Moderate",2,IF($H95="Major",3,IF($H95="Critical",4,""))))</f>
        <v/>
      </c>
      <c r="J107" s="16" t="n"/>
      <c r="K107" s="16" t="n"/>
      <c r="L107" s="15">
        <f>IF(OR($G107="Exact TP",$G107="Equivalent TP"),1,0)</f>
        <v/>
      </c>
      <c r="M107" s="15">
        <f>IF(OR($G107="FP Extra",$G107="Harmful FP"),1,0)</f>
        <v/>
      </c>
      <c r="N107" s="15">
        <f>IF(OR($G107="FN",$G107="Partial"),1,0)</f>
        <v/>
      </c>
      <c r="O107" s="15">
        <f>IF($L95=1,$I95,0)</f>
        <v/>
      </c>
      <c r="P107" s="15">
        <f>IF($M95=1,$I95,0)</f>
        <v/>
      </c>
      <c r="Q107" s="15">
        <f>IF($N95=1,$I95,0)</f>
        <v/>
      </c>
      <c r="R107" s="20" t="n"/>
      <c r="S107" s="20" t="n"/>
      <c r="T107" s="20" t="n"/>
    </row>
    <row r="108" ht="18.75" customHeight="1">
      <c r="A108" s="29" t="inlineStr">
        <is>
          <t>RR-04</t>
        </is>
      </c>
      <c r="B108" s="28" t="inlineStr">
        <is>
          <t>GA-04</t>
        </is>
      </c>
      <c r="C108" s="29" t="inlineStr">
        <is>
          <t>Exact</t>
        </is>
      </c>
      <c r="D108" s="29" t="inlineStr">
        <is>
          <t>M1_AIA_v1</t>
        </is>
      </c>
      <c r="E108" s="29" t="inlineStr">
        <is>
          <t>Yes</t>
        </is>
      </c>
      <c r="F108" s="28" t="inlineStr">
        <is>
          <t>Yes</t>
        </is>
      </c>
      <c r="G108" s="29" t="inlineStr">
        <is>
          <t>Full</t>
        </is>
      </c>
      <c r="H108" s="14">
        <f>IFERROR(VLOOKUP($B108,$A$25:$N$62,7,FALSE),"")</f>
        <v/>
      </c>
      <c r="I108" s="15">
        <f>IF($H96="Minor",1,IF($H96="Moderate",2,IF($H96="Major",3,IF($H96="Critical",4,""))))</f>
        <v/>
      </c>
      <c r="J108" s="16" t="n"/>
      <c r="K108" s="16" t="n"/>
      <c r="L108" s="15">
        <f>IF(OR($G108="Exact TP",$G108="Equivalent TP"),1,0)</f>
        <v/>
      </c>
      <c r="M108" s="15">
        <f>IF(OR($G108="FP Extra",$G108="Harmful FP"),1,0)</f>
        <v/>
      </c>
      <c r="N108" s="15">
        <f>IF(OR($G108="FN",$G108="Partial"),1,0)</f>
        <v/>
      </c>
      <c r="O108" s="15">
        <f>IF($L96=1,$I96,0)</f>
        <v/>
      </c>
      <c r="P108" s="15">
        <f>IF($M96=1,$I96,0)</f>
        <v/>
      </c>
      <c r="Q108" s="15">
        <f>IF($N96=1,$I96,0)</f>
        <v/>
      </c>
      <c r="R108" s="20" t="n"/>
      <c r="S108" s="20" t="n"/>
      <c r="T108" s="20" t="n"/>
    </row>
    <row r="109" ht="18.75" customHeight="1">
      <c r="A109" s="29" t="inlineStr">
        <is>
          <t>RR-05</t>
        </is>
      </c>
      <c r="B109" s="28" t="inlineStr">
        <is>
          <t>GA-05</t>
        </is>
      </c>
      <c r="C109" s="29" t="inlineStr">
        <is>
          <t>Exact</t>
        </is>
      </c>
      <c r="D109" s="29" t="inlineStr">
        <is>
          <t>M1_AIA_v1</t>
        </is>
      </c>
      <c r="E109" s="29" t="inlineStr">
        <is>
          <t>Yes</t>
        </is>
      </c>
      <c r="F109" s="28" t="inlineStr">
        <is>
          <t>Yes</t>
        </is>
      </c>
      <c r="G109" s="29" t="inlineStr">
        <is>
          <t>Full</t>
        </is>
      </c>
      <c r="H109" s="14">
        <f>IFERROR(VLOOKUP($B109,$A$25:$N$62,7,FALSE),"")</f>
        <v/>
      </c>
      <c r="I109" s="15">
        <f>IF($H97="Minor",1,IF($H97="Moderate",2,IF($H97="Major",3,IF($H97="Critical",4,""))))</f>
        <v/>
      </c>
      <c r="J109" s="16" t="n"/>
      <c r="K109" s="16" t="n"/>
      <c r="L109" s="15">
        <f>IF(OR($G109="Exact TP",$G109="Equivalent TP"),1,0)</f>
        <v/>
      </c>
      <c r="M109" s="15">
        <f>IF(OR($G109="FP Extra",$G109="Harmful FP"),1,0)</f>
        <v/>
      </c>
      <c r="N109" s="15">
        <f>IF(OR($G109="FN",$G109="Partial"),1,0)</f>
        <v/>
      </c>
      <c r="O109" s="15">
        <f>IF($L97=1,$I97,0)</f>
        <v/>
      </c>
      <c r="P109" s="15">
        <f>IF($M97=1,$I97,0)</f>
        <v/>
      </c>
      <c r="Q109" s="15">
        <f>IF($N97=1,$I97,0)</f>
        <v/>
      </c>
      <c r="R109" s="20" t="n"/>
      <c r="S109" s="20" t="n"/>
      <c r="T109" s="20" t="n"/>
    </row>
    <row r="110" ht="18.75" customHeight="1">
      <c r="A110" s="29" t="inlineStr">
        <is>
          <t>RR-06</t>
        </is>
      </c>
      <c r="B110" s="28" t="inlineStr">
        <is>
          <t>GA-06</t>
        </is>
      </c>
      <c r="C110" s="29" t="inlineStr">
        <is>
          <t>Exact</t>
        </is>
      </c>
      <c r="D110" s="29" t="inlineStr">
        <is>
          <t>M1_AIA_v1</t>
        </is>
      </c>
      <c r="E110" s="29" t="inlineStr">
        <is>
          <t>Yes</t>
        </is>
      </c>
      <c r="F110" s="28" t="inlineStr">
        <is>
          <t>Yes</t>
        </is>
      </c>
      <c r="G110" s="29" t="inlineStr">
        <is>
          <t>Full</t>
        </is>
      </c>
      <c r="H110" s="14">
        <f>IFERROR(VLOOKUP($B110,$A$25:$N$62,7,FALSE),"")</f>
        <v/>
      </c>
      <c r="I110" s="15">
        <f>IF($H98="Minor",1,IF($H98="Moderate",2,IF($H98="Major",3,IF($H98="Critical",4,""))))</f>
        <v/>
      </c>
      <c r="J110" s="16" t="n"/>
      <c r="K110" s="16" t="n"/>
      <c r="L110" s="15">
        <f>IF(OR($G110="Exact TP",$G110="Equivalent TP"),1,0)</f>
        <v/>
      </c>
      <c r="M110" s="15">
        <f>IF(OR($G110="FP Extra",$G110="Harmful FP"),1,0)</f>
        <v/>
      </c>
      <c r="N110" s="15">
        <f>IF(OR($G110="FN",$G110="Partial"),1,0)</f>
        <v/>
      </c>
      <c r="O110" s="15">
        <f>IF($L98=1,$I98,0)</f>
        <v/>
      </c>
      <c r="P110" s="15">
        <f>IF($M98=1,$I98,0)</f>
        <v/>
      </c>
      <c r="Q110" s="15">
        <f>IF($N98=1,$I98,0)</f>
        <v/>
      </c>
      <c r="R110" s="20" t="n"/>
      <c r="S110" s="20" t="n"/>
      <c r="T110" s="20" t="n"/>
    </row>
    <row r="111" ht="18.75" customHeight="1">
      <c r="A111" s="29" t="inlineStr">
        <is>
          <t>RR-07</t>
        </is>
      </c>
      <c r="B111" s="28" t="inlineStr">
        <is>
          <t>GA-07</t>
        </is>
      </c>
      <c r="C111" s="29" t="inlineStr">
        <is>
          <t>Exact</t>
        </is>
      </c>
      <c r="D111" s="29" t="inlineStr">
        <is>
          <t>M1_AIA_v1</t>
        </is>
      </c>
      <c r="E111" s="29" t="inlineStr">
        <is>
          <t>Yes</t>
        </is>
      </c>
      <c r="F111" s="28" t="inlineStr">
        <is>
          <t>Yes</t>
        </is>
      </c>
      <c r="G111" s="29" t="inlineStr">
        <is>
          <t>Full</t>
        </is>
      </c>
      <c r="H111" s="14">
        <f>IFERROR(VLOOKUP($B111,$A$25:$N$62,7,FALSE),"")</f>
        <v/>
      </c>
      <c r="I111" s="15">
        <f>IF($H99="Minor",1,IF($H99="Moderate",2,IF($H99="Major",3,IF($H99="Critical",4,""))))</f>
        <v/>
      </c>
      <c r="J111" s="16" t="n"/>
      <c r="K111" s="16" t="n"/>
      <c r="L111" s="15">
        <f>IF(OR($G111="Exact TP",$G111="Equivalent TP"),1,0)</f>
        <v/>
      </c>
      <c r="M111" s="15">
        <f>IF(OR($G111="FP Extra",$G111="Harmful FP"),1,0)</f>
        <v/>
      </c>
      <c r="N111" s="15">
        <f>IF(OR($G111="FN",$G111="Partial"),1,0)</f>
        <v/>
      </c>
      <c r="O111" s="15">
        <f>IF($L99=1,$I99,0)</f>
        <v/>
      </c>
      <c r="P111" s="15">
        <f>IF($M99=1,$I99,0)</f>
        <v/>
      </c>
      <c r="Q111" s="15">
        <f>IF($N99=1,$I99,0)</f>
        <v/>
      </c>
      <c r="R111" s="20" t="n"/>
      <c r="S111" s="20" t="n"/>
      <c r="T111" s="20" t="n"/>
    </row>
    <row r="112" ht="18.75" customHeight="1">
      <c r="A112" s="29" t="inlineStr">
        <is>
          <t>RR-08</t>
        </is>
      </c>
      <c r="B112" s="28" t="inlineStr">
        <is>
          <t>GA-08</t>
        </is>
      </c>
      <c r="C112" s="29" t="inlineStr">
        <is>
          <t>Exact</t>
        </is>
      </c>
      <c r="D112" s="29" t="inlineStr">
        <is>
          <t>M1_AIA_v1</t>
        </is>
      </c>
      <c r="E112" s="29" t="inlineStr">
        <is>
          <t>Yes</t>
        </is>
      </c>
      <c r="F112" s="28" t="inlineStr">
        <is>
          <t>Yes</t>
        </is>
      </c>
      <c r="G112" s="29" t="inlineStr">
        <is>
          <t>Full</t>
        </is>
      </c>
      <c r="H112" s="14">
        <f>IFERROR(VLOOKUP($B112,$A$25:$N$62,7,FALSE),"")</f>
        <v/>
      </c>
      <c r="I112" s="15">
        <f>IF($H100="Minor",1,IF($H100="Moderate",2,IF($H100="Major",3,IF($H100="Critical",4,""))))</f>
        <v/>
      </c>
      <c r="J112" s="16" t="n"/>
      <c r="K112" s="16" t="n"/>
      <c r="L112" s="15">
        <f>IF(OR($G112="Exact TP",$G112="Equivalent TP"),1,0)</f>
        <v/>
      </c>
      <c r="M112" s="15">
        <f>IF(OR($G112="FP Extra",$G112="Harmful FP"),1,0)</f>
        <v/>
      </c>
      <c r="N112" s="15">
        <f>IF(OR($G112="FN",$G112="Partial"),1,0)</f>
        <v/>
      </c>
      <c r="O112" s="15">
        <f>IF($L100=1,$I100,0)</f>
        <v/>
      </c>
      <c r="P112" s="15">
        <f>IF($M100=1,$I100,0)</f>
        <v/>
      </c>
      <c r="Q112" s="15">
        <f>IF($N100=1,$I100,0)</f>
        <v/>
      </c>
      <c r="R112" s="20" t="n"/>
      <c r="S112" s="20" t="n"/>
      <c r="T112" s="20" t="n"/>
    </row>
    <row r="113" ht="18.75" customHeight="1">
      <c r="A113" s="29" t="inlineStr">
        <is>
          <t>RR-09</t>
        </is>
      </c>
      <c r="B113" s="28" t="inlineStr">
        <is>
          <t>GA-09</t>
        </is>
      </c>
      <c r="C113" s="29" t="inlineStr">
        <is>
          <t>Exact</t>
        </is>
      </c>
      <c r="D113" s="29" t="inlineStr">
        <is>
          <t>M1_AIA_v1</t>
        </is>
      </c>
      <c r="E113" s="29" t="inlineStr">
        <is>
          <t>Yes</t>
        </is>
      </c>
      <c r="F113" s="28" t="inlineStr">
        <is>
          <t>Yes</t>
        </is>
      </c>
      <c r="G113" s="29" t="inlineStr">
        <is>
          <t>Full</t>
        </is>
      </c>
      <c r="H113" s="14">
        <f>IFERROR(VLOOKUP($B113,$A$25:$N$62,7,FALSE),"")</f>
        <v/>
      </c>
      <c r="I113" s="15">
        <f>IF($H101="Minor",1,IF($H101="Moderate",2,IF($H101="Major",3,IF($H101="Critical",4,""))))</f>
        <v/>
      </c>
      <c r="J113" s="16" t="n"/>
      <c r="K113" s="16" t="n"/>
      <c r="L113" s="15">
        <f>IF(OR($G113="Exact TP",$G113="Equivalent TP"),1,0)</f>
        <v/>
      </c>
      <c r="M113" s="15">
        <f>IF(OR($G113="FP Extra",$G113="Harmful FP"),1,0)</f>
        <v/>
      </c>
      <c r="N113" s="15">
        <f>IF(OR($G113="FN",$G113="Partial"),1,0)</f>
        <v/>
      </c>
      <c r="O113" s="15">
        <f>IF($L101=1,$I101,0)</f>
        <v/>
      </c>
      <c r="P113" s="15">
        <f>IF($M101=1,$I101,0)</f>
        <v/>
      </c>
      <c r="Q113" s="15">
        <f>IF($N101=1,$I101,0)</f>
        <v/>
      </c>
      <c r="R113" s="20" t="n"/>
      <c r="S113" s="20" t="n"/>
      <c r="T113" s="20" t="n"/>
    </row>
    <row r="114" ht="18.75" customHeight="1">
      <c r="A114" s="29" t="inlineStr">
        <is>
          <t>RR-10</t>
        </is>
      </c>
      <c r="B114" s="28" t="inlineStr">
        <is>
          <t>GA-10</t>
        </is>
      </c>
      <c r="C114" s="29" t="inlineStr">
        <is>
          <t>Exact</t>
        </is>
      </c>
      <c r="D114" s="29" t="inlineStr">
        <is>
          <t>M1_AIA_v1</t>
        </is>
      </c>
      <c r="E114" s="29" t="inlineStr">
        <is>
          <t>Yes</t>
        </is>
      </c>
      <c r="F114" s="28" t="inlineStr">
        <is>
          <t>Yes</t>
        </is>
      </c>
      <c r="G114" s="29" t="inlineStr">
        <is>
          <t>Full</t>
        </is>
      </c>
      <c r="H114" s="14">
        <f>IFERROR(VLOOKUP($B114,$A$25:$N$62,7,FALSE),"")</f>
        <v/>
      </c>
      <c r="I114" s="15">
        <f>IF($H102="Minor",1,IF($H102="Moderate",2,IF($H102="Major",3,IF($H102="Critical",4,""))))</f>
        <v/>
      </c>
      <c r="J114" s="16" t="n"/>
      <c r="K114" s="16" t="n"/>
      <c r="L114" s="15">
        <f>IF(OR($G114="Exact TP",$G114="Equivalent TP"),1,0)</f>
        <v/>
      </c>
      <c r="M114" s="15">
        <f>IF(OR($G114="FP Extra",$G114="Harmful FP"),1,0)</f>
        <v/>
      </c>
      <c r="N114" s="15">
        <f>IF(OR($G114="FN",$G114="Partial"),1,0)</f>
        <v/>
      </c>
      <c r="O114" s="15">
        <f>IF($L102=1,$I102,0)</f>
        <v/>
      </c>
      <c r="P114" s="15">
        <f>IF($M102=1,$I102,0)</f>
        <v/>
      </c>
      <c r="Q114" s="15">
        <f>IF($N102=1,$I102,0)</f>
        <v/>
      </c>
      <c r="R114" s="20" t="n"/>
      <c r="S114" s="20" t="n"/>
      <c r="T114" s="20" t="n"/>
    </row>
    <row r="115" ht="18.75" customHeight="1">
      <c r="A115" s="29" t="inlineStr">
        <is>
          <t>RR-11</t>
        </is>
      </c>
      <c r="B115" s="28" t="inlineStr">
        <is>
          <t>GA-11</t>
        </is>
      </c>
      <c r="C115" s="29" t="inlineStr">
        <is>
          <t>Exact</t>
        </is>
      </c>
      <c r="D115" s="29" t="inlineStr">
        <is>
          <t>M1_AIA_v1</t>
        </is>
      </c>
      <c r="E115" s="29" t="inlineStr">
        <is>
          <t>Yes</t>
        </is>
      </c>
      <c r="F115" s="28" t="inlineStr">
        <is>
          <t>Yes</t>
        </is>
      </c>
      <c r="G115" s="29" t="inlineStr">
        <is>
          <t>Full</t>
        </is>
      </c>
      <c r="H115" s="14">
        <f>IFERROR(VLOOKUP($B115,$A$25:$N$62,7,FALSE),"")</f>
        <v/>
      </c>
      <c r="I115" s="15">
        <f>IF($H103="Minor",1,IF($H103="Moderate",2,IF($H103="Major",3,IF($H103="Critical",4,""))))</f>
        <v/>
      </c>
      <c r="J115" s="16" t="n"/>
      <c r="K115" s="16" t="n"/>
      <c r="L115" s="15">
        <f>IF(OR($G115="Exact TP",$G115="Equivalent TP"),1,0)</f>
        <v/>
      </c>
      <c r="M115" s="15">
        <f>IF(OR($G115="FP Extra",$G115="Harmful FP"),1,0)</f>
        <v/>
      </c>
      <c r="N115" s="15">
        <f>IF(OR($G115="FN",$G115="Partial"),1,0)</f>
        <v/>
      </c>
      <c r="O115" s="15">
        <f>IF($L103=1,$I103,0)</f>
        <v/>
      </c>
      <c r="P115" s="15">
        <f>IF($M103=1,$I103,0)</f>
        <v/>
      </c>
      <c r="Q115" s="15">
        <f>IF($N103=1,$I103,0)</f>
        <v/>
      </c>
      <c r="R115" s="20" t="n"/>
      <c r="S115" s="20" t="n"/>
      <c r="T115" s="20" t="n"/>
    </row>
    <row r="116" ht="18.75" customHeight="1">
      <c r="A116" s="29" t="inlineStr">
        <is>
          <t>RR-12</t>
        </is>
      </c>
      <c r="B116" s="28" t="inlineStr">
        <is>
          <t>GA-12</t>
        </is>
      </c>
      <c r="C116" s="29" t="inlineStr">
        <is>
          <t>Exact</t>
        </is>
      </c>
      <c r="D116" s="29" t="inlineStr">
        <is>
          <t>M1_AIA_v1</t>
        </is>
      </c>
      <c r="E116" s="29" t="inlineStr">
        <is>
          <t>Yes</t>
        </is>
      </c>
      <c r="F116" s="28" t="inlineStr">
        <is>
          <t>Yes</t>
        </is>
      </c>
      <c r="G116" s="29" t="inlineStr">
        <is>
          <t>Full</t>
        </is>
      </c>
      <c r="H116" s="14">
        <f>IFERROR(VLOOKUP($B116,$A$25:$N$62,7,FALSE),"")</f>
        <v/>
      </c>
      <c r="I116" s="15">
        <f>IF($H104="Minor",1,IF($H104="Moderate",2,IF($H104="Major",3,IF($H104="Critical",4,""))))</f>
        <v/>
      </c>
      <c r="J116" s="16" t="n"/>
      <c r="K116" s="16" t="n"/>
      <c r="L116" s="15">
        <f>IF(OR($G116="Exact TP",$G116="Equivalent TP"),1,0)</f>
        <v/>
      </c>
      <c r="M116" s="15">
        <f>IF(OR($G116="FP Extra",$G116="Harmful FP"),1,0)</f>
        <v/>
      </c>
      <c r="N116" s="15">
        <f>IF(OR($G116="FN",$G116="Partial"),1,0)</f>
        <v/>
      </c>
      <c r="O116" s="15">
        <f>IF($L104=1,$I104,0)</f>
        <v/>
      </c>
      <c r="P116" s="15">
        <f>IF($M104=1,$I104,0)</f>
        <v/>
      </c>
      <c r="Q116" s="15">
        <f>IF($N104=1,$I104,0)</f>
        <v/>
      </c>
      <c r="R116" s="20" t="n"/>
      <c r="S116" s="20" t="n"/>
      <c r="T116" s="20" t="n"/>
    </row>
    <row r="117" ht="18.75" customHeight="1">
      <c r="A117" s="29" t="inlineStr">
        <is>
          <t>RR-13</t>
        </is>
      </c>
      <c r="B117" s="28" t="inlineStr">
        <is>
          <t>GA-13</t>
        </is>
      </c>
      <c r="C117" s="29" t="inlineStr">
        <is>
          <t>Exact</t>
        </is>
      </c>
      <c r="D117" s="29" t="inlineStr">
        <is>
          <t>M1_AIA_v1</t>
        </is>
      </c>
      <c r="E117" s="29" t="inlineStr">
        <is>
          <t>Yes</t>
        </is>
      </c>
      <c r="F117" s="28" t="inlineStr">
        <is>
          <t>Yes</t>
        </is>
      </c>
      <c r="G117" s="29" t="inlineStr">
        <is>
          <t>Full</t>
        </is>
      </c>
      <c r="H117" s="14">
        <f>IFERROR(VLOOKUP($B117,$A$25:$N$62,7,FALSE),"")</f>
        <v/>
      </c>
      <c r="I117" s="15">
        <f>IF($H105="Minor",1,IF($H105="Moderate",2,IF($H105="Major",3,IF($H105="Critical",4,""))))</f>
        <v/>
      </c>
      <c r="J117" s="16" t="n"/>
      <c r="K117" s="16" t="n"/>
      <c r="L117" s="15">
        <f>IF(OR($G117="Exact TP",$G117="Equivalent TP"),1,0)</f>
        <v/>
      </c>
      <c r="M117" s="15">
        <f>IF(OR($G117="FP Extra",$G117="Harmful FP"),1,0)</f>
        <v/>
      </c>
      <c r="N117" s="15">
        <f>IF(OR($G117="FN",$G117="Partial"),1,0)</f>
        <v/>
      </c>
      <c r="O117" s="15">
        <f>IF($L105=1,$I105,0)</f>
        <v/>
      </c>
      <c r="P117" s="15">
        <f>IF($M105=1,$I105,0)</f>
        <v/>
      </c>
      <c r="Q117" s="15">
        <f>IF($N105=1,$I105,0)</f>
        <v/>
      </c>
      <c r="R117" s="20" t="n"/>
      <c r="S117" s="20" t="n"/>
      <c r="T117" s="20" t="n"/>
    </row>
    <row r="118" ht="18.75" customHeight="1">
      <c r="A118" s="29" t="inlineStr">
        <is>
          <t>RR-14</t>
        </is>
      </c>
      <c r="B118" s="28" t="inlineStr">
        <is>
          <t>GA-14</t>
        </is>
      </c>
      <c r="C118" s="29" t="inlineStr">
        <is>
          <t>Exact</t>
        </is>
      </c>
      <c r="D118" s="29" t="inlineStr">
        <is>
          <t>M1_AIA_v1</t>
        </is>
      </c>
      <c r="E118" s="29" t="inlineStr">
        <is>
          <t>Yes</t>
        </is>
      </c>
      <c r="F118" s="28" t="inlineStr">
        <is>
          <t>Yes</t>
        </is>
      </c>
      <c r="G118" s="29" t="inlineStr">
        <is>
          <t>Full</t>
        </is>
      </c>
      <c r="H118" s="14">
        <f>IFERROR(VLOOKUP($B118,$A$25:$N$62,7,FALSE),"")</f>
        <v/>
      </c>
      <c r="I118" s="15">
        <f>IF($H106="Minor",1,IF($H106="Moderate",2,IF($H106="Major",3,IF($H106="Critical",4,""))))</f>
        <v/>
      </c>
      <c r="J118" s="16" t="n"/>
      <c r="K118" s="16" t="n"/>
      <c r="L118" s="15">
        <f>IF(OR($G118="Exact TP",$G118="Equivalent TP"),1,0)</f>
        <v/>
      </c>
      <c r="M118" s="15">
        <f>IF(OR($G118="FP Extra",$G118="Harmful FP"),1,0)</f>
        <v/>
      </c>
      <c r="N118" s="15">
        <f>IF(OR($G118="FN",$G118="Partial"),1,0)</f>
        <v/>
      </c>
      <c r="O118" s="15">
        <f>IF($L106=1,$I106,0)</f>
        <v/>
      </c>
      <c r="P118" s="15">
        <f>IF($M106=1,$I106,0)</f>
        <v/>
      </c>
      <c r="Q118" s="15">
        <f>IF($N106=1,$I106,0)</f>
        <v/>
      </c>
      <c r="R118" s="20" t="n"/>
      <c r="S118" s="20" t="n"/>
      <c r="T118" s="20" t="n"/>
    </row>
    <row r="119" ht="18.75" customHeight="1">
      <c r="A119" s="29" t="inlineStr">
        <is>
          <t>RR-15</t>
        </is>
      </c>
      <c r="B119" s="28" t="inlineStr">
        <is>
          <t>GA-15</t>
        </is>
      </c>
      <c r="C119" s="29" t="inlineStr">
        <is>
          <t>Exact</t>
        </is>
      </c>
      <c r="D119" s="29" t="inlineStr">
        <is>
          <t>M1_AIA_v1</t>
        </is>
      </c>
      <c r="E119" s="29" t="inlineStr">
        <is>
          <t>Yes</t>
        </is>
      </c>
      <c r="F119" s="28" t="inlineStr">
        <is>
          <t>Yes</t>
        </is>
      </c>
      <c r="G119" s="29" t="inlineStr">
        <is>
          <t>Full</t>
        </is>
      </c>
      <c r="H119" s="14">
        <f>IFERROR(VLOOKUP($B119,$A$25:$N$62,7,FALSE),"")</f>
        <v/>
      </c>
      <c r="I119" s="15">
        <f>IF($H107="Minor",1,IF($H107="Moderate",2,IF($H107="Major",3,IF($H107="Critical",4,""))))</f>
        <v/>
      </c>
      <c r="J119" s="16" t="n"/>
      <c r="K119" s="16" t="n"/>
      <c r="L119" s="15">
        <f>IF(OR($G119="Exact TP",$G119="Equivalent TP"),1,0)</f>
        <v/>
      </c>
      <c r="M119" s="15">
        <f>IF(OR($G119="FP Extra",$G119="Harmful FP"),1,0)</f>
        <v/>
      </c>
      <c r="N119" s="15">
        <f>IF(OR($G119="FN",$G119="Partial"),1,0)</f>
        <v/>
      </c>
      <c r="O119" s="15">
        <f>IF($L107=1,$I107,0)</f>
        <v/>
      </c>
      <c r="P119" s="15">
        <f>IF($M107=1,$I107,0)</f>
        <v/>
      </c>
      <c r="Q119" s="15">
        <f>IF($N107=1,$I107,0)</f>
        <v/>
      </c>
      <c r="R119" s="20" t="n"/>
      <c r="S119" s="20" t="n"/>
      <c r="T119" s="20" t="n"/>
    </row>
    <row r="120" ht="18.75" customHeight="1">
      <c r="A120" s="29" t="inlineStr">
        <is>
          <t>RR-16</t>
        </is>
      </c>
      <c r="B120" s="28" t="inlineStr">
        <is>
          <t>GA-16</t>
        </is>
      </c>
      <c r="C120" s="29" t="inlineStr">
        <is>
          <t>Exact</t>
        </is>
      </c>
      <c r="D120" s="29" t="inlineStr">
        <is>
          <t>M1_AIA_v1</t>
        </is>
      </c>
      <c r="E120" s="29" t="inlineStr">
        <is>
          <t>Yes</t>
        </is>
      </c>
      <c r="F120" s="28" t="inlineStr">
        <is>
          <t>Yes</t>
        </is>
      </c>
      <c r="G120" s="29" t="inlineStr">
        <is>
          <t>Full</t>
        </is>
      </c>
      <c r="H120" s="14">
        <f>IFERROR(VLOOKUP($B120,$A$25:$N$62,7,FALSE),"")</f>
        <v/>
      </c>
      <c r="I120" s="15">
        <f>IF($H108="Minor",1,IF($H108="Moderate",2,IF($H108="Major",3,IF($H108="Critical",4,""))))</f>
        <v/>
      </c>
      <c r="J120" s="16" t="n"/>
      <c r="K120" s="16" t="n"/>
      <c r="L120" s="15">
        <f>IF(OR($G120="Exact TP",$G120="Equivalent TP"),1,0)</f>
        <v/>
      </c>
      <c r="M120" s="15">
        <f>IF(OR($G120="FP Extra",$G120="Harmful FP"),1,0)</f>
        <v/>
      </c>
      <c r="N120" s="15">
        <f>IF(OR($G120="FN",$G120="Partial"),1,0)</f>
        <v/>
      </c>
      <c r="O120" s="15">
        <f>IF($L108=1,$I108,0)</f>
        <v/>
      </c>
      <c r="P120" s="15">
        <f>IF($M108=1,$I108,0)</f>
        <v/>
      </c>
      <c r="Q120" s="15">
        <f>IF($N108=1,$I108,0)</f>
        <v/>
      </c>
      <c r="R120" s="20" t="n"/>
      <c r="S120" s="20" t="n"/>
      <c r="T120" s="20" t="n"/>
    </row>
    <row r="121" ht="18.75" customHeight="1">
      <c r="A121" s="29" t="inlineStr">
        <is>
          <t>RR-17</t>
        </is>
      </c>
      <c r="B121" s="28" t="inlineStr">
        <is>
          <t>GA-17</t>
        </is>
      </c>
      <c r="C121" s="29" t="inlineStr">
        <is>
          <t>Exact</t>
        </is>
      </c>
      <c r="D121" s="29" t="inlineStr">
        <is>
          <t>M1_AIA_v1</t>
        </is>
      </c>
      <c r="E121" s="29" t="inlineStr">
        <is>
          <t>Yes</t>
        </is>
      </c>
      <c r="F121" s="28" t="inlineStr">
        <is>
          <t>Yes</t>
        </is>
      </c>
      <c r="G121" s="29" t="inlineStr">
        <is>
          <t>Full</t>
        </is>
      </c>
      <c r="H121" s="14">
        <f>IFERROR(VLOOKUP($B121,$A$25:$N$62,7,FALSE),"")</f>
        <v/>
      </c>
      <c r="I121" s="15">
        <f>IF($H109="Minor",1,IF($H109="Moderate",2,IF($H109="Major",3,IF($H109="Critical",4,""))))</f>
        <v/>
      </c>
      <c r="J121" s="16" t="n"/>
      <c r="K121" s="16" t="n"/>
      <c r="L121" s="15">
        <f>IF(OR($G121="Exact TP",$G121="Equivalent TP"),1,0)</f>
        <v/>
      </c>
      <c r="M121" s="15">
        <f>IF(OR($G121="FP Extra",$G121="Harmful FP"),1,0)</f>
        <v/>
      </c>
      <c r="N121" s="15">
        <f>IF(OR($G121="FN",$G121="Partial"),1,0)</f>
        <v/>
      </c>
      <c r="O121" s="15">
        <f>IF($L109=1,$I109,0)</f>
        <v/>
      </c>
      <c r="P121" s="15">
        <f>IF($M109=1,$I109,0)</f>
        <v/>
      </c>
      <c r="Q121" s="15">
        <f>IF($N109=1,$I109,0)</f>
        <v/>
      </c>
      <c r="R121" s="20" t="n"/>
      <c r="S121" s="20" t="n"/>
      <c r="T121" s="20" t="n"/>
    </row>
    <row r="122" ht="18.75" customHeight="1">
      <c r="A122" s="29" t="inlineStr">
        <is>
          <t>RR-18</t>
        </is>
      </c>
      <c r="B122" s="28" t="inlineStr">
        <is>
          <t>GA-18</t>
        </is>
      </c>
      <c r="C122" s="29" t="inlineStr">
        <is>
          <t>Exact</t>
        </is>
      </c>
      <c r="D122" s="29" t="inlineStr">
        <is>
          <t>M1_AIA_v1</t>
        </is>
      </c>
      <c r="E122" s="29" t="inlineStr">
        <is>
          <t>Yes</t>
        </is>
      </c>
      <c r="F122" s="28" t="inlineStr">
        <is>
          <t>Yes</t>
        </is>
      </c>
      <c r="G122" s="29" t="inlineStr">
        <is>
          <t>Full</t>
        </is>
      </c>
      <c r="H122" s="14">
        <f>IFERROR(VLOOKUP($B122,$A$25:$N$62,7,FALSE),"")</f>
        <v/>
      </c>
      <c r="I122" s="15">
        <f>IF($H110="Minor",1,IF($H110="Moderate",2,IF($H110="Major",3,IF($H110="Critical",4,""))))</f>
        <v/>
      </c>
      <c r="J122" s="16" t="n"/>
      <c r="K122" s="16" t="n"/>
      <c r="L122" s="15">
        <f>IF(OR($G122="Exact TP",$G122="Equivalent TP"),1,0)</f>
        <v/>
      </c>
      <c r="M122" s="15">
        <f>IF(OR($G122="FP Extra",$G122="Harmful FP"),1,0)</f>
        <v/>
      </c>
      <c r="N122" s="15">
        <f>IF(OR($G122="FN",$G122="Partial"),1,0)</f>
        <v/>
      </c>
      <c r="O122" s="15">
        <f>IF($L110=1,$I110,0)</f>
        <v/>
      </c>
      <c r="P122" s="15">
        <f>IF($M110=1,$I110,0)</f>
        <v/>
      </c>
      <c r="Q122" s="15">
        <f>IF($N110=1,$I110,0)</f>
        <v/>
      </c>
      <c r="R122" s="20" t="n"/>
      <c r="S122" s="20" t="n"/>
      <c r="T122" s="20" t="n"/>
    </row>
    <row r="123" ht="18.75" customHeight="1">
      <c r="A123" s="29" t="inlineStr">
        <is>
          <t>RR-19</t>
        </is>
      </c>
      <c r="B123" s="28" t="inlineStr">
        <is>
          <t>GA-19</t>
        </is>
      </c>
      <c r="C123" s="29" t="inlineStr">
        <is>
          <t>Exact</t>
        </is>
      </c>
      <c r="D123" s="29" t="inlineStr">
        <is>
          <t>M1_AIA_v1</t>
        </is>
      </c>
      <c r="E123" s="29" t="inlineStr">
        <is>
          <t>Yes</t>
        </is>
      </c>
      <c r="F123" s="28" t="inlineStr">
        <is>
          <t>Yes</t>
        </is>
      </c>
      <c r="G123" s="29" t="inlineStr">
        <is>
          <t>Full</t>
        </is>
      </c>
      <c r="H123" s="14">
        <f>IFERROR(VLOOKUP($B123,$A$25:$N$62,7,FALSE),"")</f>
        <v/>
      </c>
      <c r="I123" s="15">
        <f>IF($H111="Minor",1,IF($H111="Moderate",2,IF($H111="Major",3,IF($H111="Critical",4,""))))</f>
        <v/>
      </c>
      <c r="J123" s="16" t="n"/>
      <c r="K123" s="16" t="n"/>
      <c r="L123" s="15">
        <f>IF(OR($G123="Exact TP",$G123="Equivalent TP"),1,0)</f>
        <v/>
      </c>
      <c r="M123" s="15">
        <f>IF(OR($G123="FP Extra",$G123="Harmful FP"),1,0)</f>
        <v/>
      </c>
      <c r="N123" s="15">
        <f>IF(OR($G123="FN",$G123="Partial"),1,0)</f>
        <v/>
      </c>
      <c r="O123" s="15">
        <f>IF($L111=1,$I111,0)</f>
        <v/>
      </c>
      <c r="P123" s="15">
        <f>IF($M111=1,$I111,0)</f>
        <v/>
      </c>
      <c r="Q123" s="15">
        <f>IF($N111=1,$I111,0)</f>
        <v/>
      </c>
      <c r="R123" s="20" t="n"/>
      <c r="S123" s="20" t="n"/>
      <c r="T123" s="20" t="n"/>
    </row>
    <row r="124" ht="18.75" customHeight="1">
      <c r="A124" s="29" t="inlineStr">
        <is>
          <t>RR-20</t>
        </is>
      </c>
      <c r="B124" s="28" t="inlineStr">
        <is>
          <t>GA-20</t>
        </is>
      </c>
      <c r="C124" s="29" t="inlineStr">
        <is>
          <t>Exact</t>
        </is>
      </c>
      <c r="D124" s="29" t="inlineStr">
        <is>
          <t>M1_AIA_v1</t>
        </is>
      </c>
      <c r="E124" s="29" t="inlineStr">
        <is>
          <t>Yes</t>
        </is>
      </c>
      <c r="F124" s="28" t="inlineStr">
        <is>
          <t>Yes</t>
        </is>
      </c>
      <c r="G124" s="29" t="inlineStr">
        <is>
          <t>Full</t>
        </is>
      </c>
      <c r="H124" s="14">
        <f>IFERROR(VLOOKUP($B124,$A$25:$N$62,7,FALSE),"")</f>
        <v/>
      </c>
      <c r="I124" s="15">
        <f>IF($H112="Minor",1,IF($H112="Moderate",2,IF($H112="Major",3,IF($H112="Critical",4,""))))</f>
        <v/>
      </c>
      <c r="J124" s="16" t="n"/>
      <c r="K124" s="16" t="n"/>
      <c r="L124" s="15">
        <f>IF(OR($G124="Exact TP",$G124="Equivalent TP"),1,0)</f>
        <v/>
      </c>
      <c r="M124" s="15">
        <f>IF(OR($G124="FP Extra",$G124="Harmful FP"),1,0)</f>
        <v/>
      </c>
      <c r="N124" s="15">
        <f>IF(OR($G124="FN",$G124="Partial"),1,0)</f>
        <v/>
      </c>
      <c r="O124" s="15">
        <f>IF($L112=1,$I112,0)</f>
        <v/>
      </c>
      <c r="P124" s="15">
        <f>IF($M112=1,$I112,0)</f>
        <v/>
      </c>
      <c r="Q124" s="15">
        <f>IF($N112=1,$I112,0)</f>
        <v/>
      </c>
      <c r="R124" s="20" t="n"/>
      <c r="S124" s="20" t="n"/>
      <c r="T124" s="20" t="n"/>
    </row>
    <row r="125" ht="18.75" customHeight="1">
      <c r="A125" s="29" t="inlineStr">
        <is>
          <t>RR-21</t>
        </is>
      </c>
      <c r="B125" s="28" t="inlineStr">
        <is>
          <t>GA-21</t>
        </is>
      </c>
      <c r="C125" s="29" t="inlineStr">
        <is>
          <t>Exact</t>
        </is>
      </c>
      <c r="D125" s="29" t="inlineStr">
        <is>
          <t>M1_AIA_v1</t>
        </is>
      </c>
      <c r="E125" s="29" t="inlineStr">
        <is>
          <t>Yes</t>
        </is>
      </c>
      <c r="F125" s="28" t="inlineStr">
        <is>
          <t>Yes</t>
        </is>
      </c>
      <c r="G125" s="29" t="inlineStr">
        <is>
          <t>Full</t>
        </is>
      </c>
      <c r="H125" s="14">
        <f>IFERROR(VLOOKUP($B125,$A$25:$N$62,7,FALSE),"")</f>
        <v/>
      </c>
      <c r="I125" s="15">
        <f>IF($H113="Minor",1,IF($H113="Moderate",2,IF($H113="Major",3,IF($H113="Critical",4,""))))</f>
        <v/>
      </c>
      <c r="J125" s="16" t="n"/>
      <c r="K125" s="16" t="n"/>
      <c r="L125" s="15">
        <f>IF(OR($G125="Exact TP",$G125="Equivalent TP"),1,0)</f>
        <v/>
      </c>
      <c r="M125" s="15">
        <f>IF(OR($G125="FP Extra",$G125="Harmful FP"),1,0)</f>
        <v/>
      </c>
      <c r="N125" s="15">
        <f>IF(OR($G125="FN",$G125="Partial"),1,0)</f>
        <v/>
      </c>
      <c r="O125" s="15">
        <f>IF($L113=1,$I113,0)</f>
        <v/>
      </c>
      <c r="P125" s="15">
        <f>IF($M113=1,$I113,0)</f>
        <v/>
      </c>
      <c r="Q125" s="15">
        <f>IF($N113=1,$I113,0)</f>
        <v/>
      </c>
      <c r="R125" s="20" t="n"/>
      <c r="S125" s="20" t="n"/>
      <c r="T125" s="20" t="n"/>
    </row>
    <row r="126" ht="18.75" customHeight="1">
      <c r="A126" s="29" t="inlineStr">
        <is>
          <t>RR-22</t>
        </is>
      </c>
      <c r="B126" s="28" t="inlineStr">
        <is>
          <t>GA-22</t>
        </is>
      </c>
      <c r="C126" s="29" t="inlineStr">
        <is>
          <t>Exact</t>
        </is>
      </c>
      <c r="D126" s="29" t="inlineStr">
        <is>
          <t>M1_AIA_v1</t>
        </is>
      </c>
      <c r="E126" s="29" t="inlineStr">
        <is>
          <t>Yes</t>
        </is>
      </c>
      <c r="F126" s="28" t="inlineStr">
        <is>
          <t>Yes</t>
        </is>
      </c>
      <c r="G126" s="29" t="inlineStr">
        <is>
          <t>Full</t>
        </is>
      </c>
      <c r="H126" s="14">
        <f>IFERROR(VLOOKUP($B126,$A$25:$N$62,7,FALSE),"")</f>
        <v/>
      </c>
      <c r="I126" s="15">
        <f>IF($H114="Minor",1,IF($H114="Moderate",2,IF($H114="Major",3,IF($H114="Critical",4,""))))</f>
        <v/>
      </c>
      <c r="J126" s="16" t="n"/>
      <c r="K126" s="16" t="n"/>
      <c r="L126" s="15">
        <f>IF(OR($G126="Exact TP",$G126="Equivalent TP"),1,0)</f>
        <v/>
      </c>
      <c r="M126" s="15">
        <f>IF(OR($G126="FP Extra",$G126="Harmful FP"),1,0)</f>
        <v/>
      </c>
      <c r="N126" s="15">
        <f>IF(OR($G126="FN",$G126="Partial"),1,0)</f>
        <v/>
      </c>
      <c r="O126" s="15">
        <f>IF($L114=1,$I114,0)</f>
        <v/>
      </c>
      <c r="P126" s="15">
        <f>IF($M114=1,$I114,0)</f>
        <v/>
      </c>
      <c r="Q126" s="15">
        <f>IF($N114=1,$I114,0)</f>
        <v/>
      </c>
      <c r="R126" s="20" t="n"/>
      <c r="S126" s="20" t="n"/>
      <c r="T126" s="20" t="n"/>
    </row>
    <row r="127" ht="18.75" customHeight="1">
      <c r="A127" s="29" t="inlineStr">
        <is>
          <t>RR-23</t>
        </is>
      </c>
      <c r="B127" s="28" t="inlineStr">
        <is>
          <t>GA-23</t>
        </is>
      </c>
      <c r="C127" s="29" t="inlineStr">
        <is>
          <t>Partial</t>
        </is>
      </c>
      <c r="D127" s="29" t="inlineStr">
        <is>
          <t>M1_AIA_v1</t>
        </is>
      </c>
      <c r="E127" s="29" t="inlineStr">
        <is>
          <t>Yes</t>
        </is>
      </c>
      <c r="F127" s="28" t="inlineStr">
        <is>
          <t>Yes</t>
        </is>
      </c>
      <c r="G127" s="29" t="inlineStr">
        <is>
          <t>Partial</t>
        </is>
      </c>
      <c r="H127" s="14">
        <f>IFERROR(VLOOKUP($B127,$A$25:$N$62,7,FALSE),"")</f>
        <v/>
      </c>
      <c r="I127" s="15">
        <f>IF($H115="Minor",1,IF($H115="Moderate",2,IF($H115="Major",3,IF($H115="Critical",4,""))))</f>
        <v/>
      </c>
      <c r="J127" s="16" t="n"/>
      <c r="K127" s="16" t="n"/>
      <c r="L127" s="15">
        <f>IF(OR($G127="Exact TP",$G127="Equivalent TP"),1,0)</f>
        <v/>
      </c>
      <c r="M127" s="15">
        <f>IF(OR($G127="FP Extra",$G127="Harmful FP"),1,0)</f>
        <v/>
      </c>
      <c r="N127" s="15">
        <f>IF(OR($G127="FN",$G127="Partial"),1,0)</f>
        <v/>
      </c>
      <c r="O127" s="15">
        <f>IF($L115=1,$I115,0)</f>
        <v/>
      </c>
      <c r="P127" s="15">
        <f>IF($M115=1,$I115,0)</f>
        <v/>
      </c>
      <c r="Q127" s="15">
        <f>IF($N115=1,$I115,0)</f>
        <v/>
      </c>
      <c r="R127" s="20" t="n"/>
      <c r="S127" s="20" t="n"/>
      <c r="T127" s="20" t="n"/>
    </row>
    <row r="128" ht="18.75" customHeight="1">
      <c r="A128" s="29" t="inlineStr">
        <is>
          <t>RR-24</t>
        </is>
      </c>
      <c r="B128" s="28" t="inlineStr">
        <is>
          <t>GA-24</t>
        </is>
      </c>
      <c r="C128" s="29" t="inlineStr">
        <is>
          <t>Exact</t>
        </is>
      </c>
      <c r="D128" s="29" t="inlineStr">
        <is>
          <t>M1_AIA_v1</t>
        </is>
      </c>
      <c r="E128" s="29" t="inlineStr">
        <is>
          <t>Yes</t>
        </is>
      </c>
      <c r="F128" s="28" t="inlineStr">
        <is>
          <t>Yes</t>
        </is>
      </c>
      <c r="G128" s="29" t="inlineStr">
        <is>
          <t>Full</t>
        </is>
      </c>
      <c r="H128" s="14">
        <f>IFERROR(VLOOKUP($B128,$A$25:$N$62,7,FALSE),"")</f>
        <v/>
      </c>
      <c r="I128" s="15">
        <f>IF($H116="Minor",1,IF($H116="Moderate",2,IF($H116="Major",3,IF($H116="Critical",4,""))))</f>
        <v/>
      </c>
      <c r="J128" s="16" t="n"/>
      <c r="K128" s="16" t="n"/>
      <c r="L128" s="15">
        <f>IF(OR($G128="Exact TP",$G128="Equivalent TP"),1,0)</f>
        <v/>
      </c>
      <c r="M128" s="15">
        <f>IF(OR($G128="FP Extra",$G128="Harmful FP"),1,0)</f>
        <v/>
      </c>
      <c r="N128" s="15">
        <f>IF(OR($G128="FN",$G128="Partial"),1,0)</f>
        <v/>
      </c>
      <c r="O128" s="15">
        <f>IF($L116=1,$I116,0)</f>
        <v/>
      </c>
      <c r="P128" s="15">
        <f>IF($M116=1,$I116,0)</f>
        <v/>
      </c>
      <c r="Q128" s="15">
        <f>IF($N116=1,$I116,0)</f>
        <v/>
      </c>
      <c r="R128" s="20" t="n"/>
      <c r="S128" s="20" t="n"/>
      <c r="T128" s="20" t="n"/>
    </row>
    <row r="129" ht="18.75" customHeight="1">
      <c r="A129" s="12" t="n"/>
      <c r="B129" s="31" t="n"/>
      <c r="C129" s="12" t="n"/>
      <c r="D129" s="12" t="n"/>
      <c r="E129" s="12" t="n"/>
      <c r="F129" s="31" t="n"/>
      <c r="G129" s="12" t="n"/>
      <c r="H129" s="14">
        <f>IFERROR(VLOOKUP($B129,$A$25:$N$62,7,FALSE),"")</f>
        <v/>
      </c>
      <c r="I129" s="15">
        <f>IF($H117="Minor",1,IF($H117="Moderate",2,IF($H117="Major",3,IF($H117="Critical",4,""))))</f>
        <v/>
      </c>
      <c r="J129" s="16" t="n"/>
      <c r="K129" s="16" t="n"/>
      <c r="L129" s="15">
        <f>IF(OR($G129="Exact TP",$G129="Equivalent TP"),1,0)</f>
        <v/>
      </c>
      <c r="M129" s="15">
        <f>IF(OR($G129="FP Extra",$G129="Harmful FP"),1,0)</f>
        <v/>
      </c>
      <c r="N129" s="15">
        <f>IF(OR($G129="FN",$G129="Partial"),1,0)</f>
        <v/>
      </c>
      <c r="O129" s="15">
        <f>IF($L117=1,$I117,0)</f>
        <v/>
      </c>
      <c r="P129" s="15">
        <f>IF($M117=1,$I117,0)</f>
        <v/>
      </c>
      <c r="Q129" s="15">
        <f>IF($N117=1,$I117,0)</f>
        <v/>
      </c>
      <c r="R129" s="20" t="n"/>
      <c r="S129" s="20" t="n"/>
      <c r="T129" s="20" t="n"/>
    </row>
    <row r="130" ht="18.75" customHeight="1">
      <c r="A130" s="12" t="n"/>
      <c r="B130" s="31" t="n"/>
      <c r="C130" s="12" t="n"/>
      <c r="D130" s="12" t="n"/>
      <c r="E130" s="12" t="n"/>
      <c r="F130" s="31" t="n"/>
      <c r="G130" s="12" t="n"/>
      <c r="H130" s="14">
        <f>IFERROR(VLOOKUP($B130,$A$25:$N$62,7,FALSE),"")</f>
        <v/>
      </c>
      <c r="I130" s="15">
        <f>IF($H118="Minor",1,IF($H118="Moderate",2,IF($H118="Major",3,IF($H118="Critical",4,""))))</f>
        <v/>
      </c>
      <c r="J130" s="16" t="n"/>
      <c r="K130" s="16" t="n"/>
      <c r="L130" s="15">
        <f>IF(OR($G130="Exact TP",$G130="Equivalent TP"),1,0)</f>
        <v/>
      </c>
      <c r="M130" s="15">
        <f>IF(OR($G130="FP Extra",$G130="Harmful FP"),1,0)</f>
        <v/>
      </c>
      <c r="N130" s="15">
        <f>IF(OR($G130="FN",$G130="Partial"),1,0)</f>
        <v/>
      </c>
      <c r="O130" s="15">
        <f>IF($L118=1,$I118,0)</f>
        <v/>
      </c>
      <c r="P130" s="15">
        <f>IF($M118=1,$I118,0)</f>
        <v/>
      </c>
      <c r="Q130" s="15">
        <f>IF($N118=1,$I118,0)</f>
        <v/>
      </c>
      <c r="R130" s="20" t="n"/>
      <c r="S130" s="20" t="n"/>
      <c r="T130" s="20" t="n"/>
    </row>
    <row r="131" ht="18.75" customHeight="1">
      <c r="A131" s="12" t="n"/>
      <c r="B131" s="31" t="n"/>
      <c r="C131" s="12" t="n"/>
      <c r="D131" s="12" t="n"/>
      <c r="E131" s="12" t="n"/>
      <c r="F131" s="31" t="n"/>
      <c r="G131" s="12" t="n"/>
      <c r="H131" s="14">
        <f>IFERROR(VLOOKUP($B131,$A$25:$N$62,7,FALSE),"")</f>
        <v/>
      </c>
      <c r="I131" s="15">
        <f>IF($H119="Minor",1,IF($H119="Moderate",2,IF($H119="Major",3,IF($H119="Critical",4,""))))</f>
        <v/>
      </c>
      <c r="J131" s="16" t="n"/>
      <c r="K131" s="16" t="n"/>
      <c r="L131" s="15">
        <f>IF(OR($G131="Exact TP",$G131="Equivalent TP"),1,0)</f>
        <v/>
      </c>
      <c r="M131" s="15">
        <f>IF(OR($G131="FP Extra",$G131="Harmful FP"),1,0)</f>
        <v/>
      </c>
      <c r="N131" s="15">
        <f>IF(OR($G131="FN",$G131="Partial"),1,0)</f>
        <v/>
      </c>
      <c r="O131" s="15">
        <f>IF($L119=1,$I119,0)</f>
        <v/>
      </c>
      <c r="P131" s="15">
        <f>IF($M119=1,$I119,0)</f>
        <v/>
      </c>
      <c r="Q131" s="15">
        <f>IF($N119=1,$I119,0)</f>
        <v/>
      </c>
      <c r="R131" s="20" t="n"/>
      <c r="S131" s="20" t="n"/>
      <c r="T131" s="20" t="n"/>
    </row>
    <row r="132" ht="18.75" customHeight="1">
      <c r="A132" s="12" t="n"/>
      <c r="B132" s="31" t="n"/>
      <c r="C132" s="12" t="n"/>
      <c r="D132" s="12" t="n"/>
      <c r="E132" s="12" t="n"/>
      <c r="F132" s="31" t="n"/>
      <c r="G132" s="12" t="n"/>
      <c r="H132" s="14">
        <f>IFERROR(VLOOKUP($B132,$A$25:$N$62,7,FALSE),"")</f>
        <v/>
      </c>
      <c r="I132" s="15">
        <f>IF($H120="Minor",1,IF($H120="Moderate",2,IF($H120="Major",3,IF($H120="Critical",4,""))))</f>
        <v/>
      </c>
      <c r="J132" s="16" t="n"/>
      <c r="K132" s="16" t="n"/>
      <c r="L132" s="15">
        <f>IF(OR($G132="Exact TP",$G132="Equivalent TP"),1,0)</f>
        <v/>
      </c>
      <c r="M132" s="15">
        <f>IF(OR($G132="FP Extra",$G132="Harmful FP"),1,0)</f>
        <v/>
      </c>
      <c r="N132" s="15">
        <f>IF(OR($G132="FN",$G132="Partial"),1,0)</f>
        <v/>
      </c>
      <c r="O132" s="15">
        <f>IF($L120=1,$I120,0)</f>
        <v/>
      </c>
      <c r="P132" s="15">
        <f>IF($M120=1,$I120,0)</f>
        <v/>
      </c>
      <c r="Q132" s="15">
        <f>IF($N120=1,$I120,0)</f>
        <v/>
      </c>
      <c r="R132" s="20" t="n"/>
      <c r="S132" s="20" t="n"/>
      <c r="T132" s="20" t="n"/>
    </row>
    <row r="133" ht="18.75" customHeight="1">
      <c r="A133" s="12" t="n"/>
      <c r="B133" s="31" t="n"/>
      <c r="C133" s="12" t="n"/>
      <c r="D133" s="12" t="n"/>
      <c r="E133" s="12" t="n"/>
      <c r="F133" s="31" t="n"/>
      <c r="G133" s="12" t="n"/>
      <c r="H133" s="14">
        <f>IFERROR(VLOOKUP($B133,$A$25:$N$62,7,FALSE),"")</f>
        <v/>
      </c>
      <c r="I133" s="15">
        <f>IF($H121="Minor",1,IF($H121="Moderate",2,IF($H121="Major",3,IF($H121="Critical",4,""))))</f>
        <v/>
      </c>
      <c r="J133" s="16" t="n"/>
      <c r="K133" s="16" t="n"/>
      <c r="L133" s="15">
        <f>IF(OR($G133="Exact TP",$G133="Equivalent TP"),1,0)</f>
        <v/>
      </c>
      <c r="M133" s="15">
        <f>IF(OR($G133="FP Extra",$G133="Harmful FP"),1,0)</f>
        <v/>
      </c>
      <c r="N133" s="15">
        <f>IF(OR($G133="FN",$G133="Partial"),1,0)</f>
        <v/>
      </c>
      <c r="O133" s="15">
        <f>IF($L121=1,$I121,0)</f>
        <v/>
      </c>
      <c r="P133" s="15">
        <f>IF($M121=1,$I121,0)</f>
        <v/>
      </c>
      <c r="Q133" s="15">
        <f>IF($N121=1,$I121,0)</f>
        <v/>
      </c>
      <c r="R133" s="20" t="n"/>
      <c r="S133" s="20" t="n"/>
      <c r="T133" s="20" t="n"/>
    </row>
    <row r="134" ht="18.75" customHeight="1">
      <c r="A134" s="12" t="n"/>
      <c r="B134" s="31" t="n"/>
      <c r="C134" s="12" t="n"/>
      <c r="D134" s="12" t="n"/>
      <c r="E134" s="12" t="n"/>
      <c r="F134" s="31" t="n"/>
      <c r="G134" s="12" t="n"/>
      <c r="H134" s="14">
        <f>IFERROR(VLOOKUP($B134,$A$25:$N$62,7,FALSE),"")</f>
        <v/>
      </c>
      <c r="I134" s="15">
        <f>IF($H122="Minor",1,IF($H122="Moderate",2,IF($H122="Major",3,IF($H122="Critical",4,""))))</f>
        <v/>
      </c>
      <c r="J134" s="16" t="n"/>
      <c r="K134" s="16" t="n"/>
      <c r="L134" s="15">
        <f>IF(OR($G134="Exact TP",$G134="Equivalent TP"),1,0)</f>
        <v/>
      </c>
      <c r="M134" s="15">
        <f>IF(OR($G134="FP Extra",$G134="Harmful FP"),1,0)</f>
        <v/>
      </c>
      <c r="N134" s="15">
        <f>IF(OR($G134="FN",$G134="Partial"),1,0)</f>
        <v/>
      </c>
      <c r="O134" s="15">
        <f>IF($L122=1,$I122,0)</f>
        <v/>
      </c>
      <c r="P134" s="15">
        <f>IF($M122=1,$I122,0)</f>
        <v/>
      </c>
      <c r="Q134" s="15">
        <f>IF($N122=1,$I122,0)</f>
        <v/>
      </c>
      <c r="R134" s="20" t="n"/>
      <c r="S134" s="20" t="n"/>
      <c r="T134" s="20" t="n"/>
    </row>
    <row r="135" ht="18.75" customHeight="1">
      <c r="A135" s="12" t="n"/>
      <c r="B135" s="31" t="n"/>
      <c r="C135" s="12" t="n"/>
      <c r="D135" s="12" t="n"/>
      <c r="E135" s="12" t="n"/>
      <c r="F135" s="31" t="n"/>
      <c r="G135" s="12" t="n"/>
      <c r="H135" s="14">
        <f>IFERROR(VLOOKUP($B135,$A$25:$N$62,7,FALSE),"")</f>
        <v/>
      </c>
      <c r="I135" s="15">
        <f>IF($H123="Minor",1,IF($H123="Moderate",2,IF($H123="Major",3,IF($H123="Critical",4,""))))</f>
        <v/>
      </c>
      <c r="J135" s="16" t="n"/>
      <c r="K135" s="16" t="n"/>
      <c r="L135" s="15">
        <f>IF(OR($G135="Exact TP",$G135="Equivalent TP"),1,0)</f>
        <v/>
      </c>
      <c r="M135" s="15">
        <f>IF(OR($G135="FP Extra",$G135="Harmful FP"),1,0)</f>
        <v/>
      </c>
      <c r="N135" s="15">
        <f>IF(OR($G135="FN",$G135="Partial"),1,0)</f>
        <v/>
      </c>
      <c r="O135" s="15">
        <f>IF($L123=1,$I123,0)</f>
        <v/>
      </c>
      <c r="P135" s="15">
        <f>IF($M123=1,$I123,0)</f>
        <v/>
      </c>
      <c r="Q135" s="15">
        <f>IF($N123=1,$I123,0)</f>
        <v/>
      </c>
      <c r="R135" s="20" t="n"/>
      <c r="S135" s="20" t="n"/>
      <c r="T135" s="20" t="n"/>
    </row>
    <row r="136" ht="18.75" customHeight="1">
      <c r="A136" s="12" t="n"/>
      <c r="B136" s="31" t="n"/>
      <c r="C136" s="12" t="n"/>
      <c r="D136" s="12" t="n"/>
      <c r="E136" s="12" t="n"/>
      <c r="F136" s="31" t="n"/>
      <c r="G136" s="12" t="n"/>
      <c r="H136" s="14">
        <f>IFERROR(VLOOKUP($B136,$A$25:$N$62,7,FALSE),"")</f>
        <v/>
      </c>
      <c r="I136" s="15">
        <f>IF($H124="Minor",1,IF($H124="Moderate",2,IF($H124="Major",3,IF($H124="Critical",4,""))))</f>
        <v/>
      </c>
      <c r="J136" s="16" t="n"/>
      <c r="K136" s="16" t="n"/>
      <c r="L136" s="15">
        <f>IF(OR($G136="Exact TP",$G136="Equivalent TP"),1,0)</f>
        <v/>
      </c>
      <c r="M136" s="15">
        <f>IF(OR($G136="FP Extra",$G136="Harmful FP"),1,0)</f>
        <v/>
      </c>
      <c r="N136" s="15">
        <f>IF(OR($G136="FN",$G136="Partial"),1,0)</f>
        <v/>
      </c>
      <c r="O136" s="15">
        <f>IF($L124=1,$I124,0)</f>
        <v/>
      </c>
      <c r="P136" s="15">
        <f>IF($M124=1,$I124,0)</f>
        <v/>
      </c>
      <c r="Q136" s="15">
        <f>IF($N124=1,$I124,0)</f>
        <v/>
      </c>
      <c r="R136" s="20" t="n"/>
      <c r="S136" s="20" t="n"/>
      <c r="T136" s="20" t="n"/>
    </row>
    <row r="137" ht="18.75" customHeight="1">
      <c r="A137" s="12" t="n"/>
      <c r="B137" s="31" t="n"/>
      <c r="C137" s="12" t="n"/>
      <c r="D137" s="12" t="n"/>
      <c r="E137" s="12" t="n"/>
      <c r="F137" s="31" t="n"/>
      <c r="G137" s="12" t="n"/>
      <c r="H137" s="14">
        <f>IFERROR(VLOOKUP($B137,$A$25:$N$62,7,FALSE),"")</f>
        <v/>
      </c>
      <c r="I137" s="15">
        <f>IF($H125="Minor",1,IF($H125="Moderate",2,IF($H125="Major",3,IF($H125="Critical",4,""))))</f>
        <v/>
      </c>
      <c r="J137" s="16" t="n"/>
      <c r="K137" s="16" t="n"/>
      <c r="L137" s="15">
        <f>IF(OR($G137="Exact TP",$G137="Equivalent TP"),1,0)</f>
        <v/>
      </c>
      <c r="M137" s="15">
        <f>IF(OR($G137="FP Extra",$G137="Harmful FP"),1,0)</f>
        <v/>
      </c>
      <c r="N137" s="15">
        <f>IF(OR($G137="FN",$G137="Partial"),1,0)</f>
        <v/>
      </c>
      <c r="O137" s="15">
        <f>IF($L125=1,$I125,0)</f>
        <v/>
      </c>
      <c r="P137" s="15">
        <f>IF($M125=1,$I125,0)</f>
        <v/>
      </c>
      <c r="Q137" s="15">
        <f>IF($N125=1,$I125,0)</f>
        <v/>
      </c>
      <c r="R137" s="20" t="n"/>
      <c r="S137" s="20" t="n"/>
      <c r="T137" s="20" t="n"/>
    </row>
    <row r="138" ht="18.75" customHeight="1">
      <c r="A138" s="12" t="n"/>
      <c r="B138" s="31" t="n"/>
      <c r="C138" s="12" t="n"/>
      <c r="D138" s="12" t="n"/>
      <c r="E138" s="12" t="n"/>
      <c r="F138" s="31" t="n"/>
      <c r="G138" s="12" t="n"/>
      <c r="H138" s="14">
        <f>IFERROR(VLOOKUP($B138,$A$25:$N$62,7,FALSE),"")</f>
        <v/>
      </c>
      <c r="I138" s="15">
        <f>IF($H126="Minor",1,IF($H126="Moderate",2,IF($H126="Major",3,IF($H126="Critical",4,""))))</f>
        <v/>
      </c>
      <c r="J138" s="16" t="n"/>
      <c r="K138" s="16" t="n"/>
      <c r="L138" s="15">
        <f>IF(OR($G138="Exact TP",$G138="Equivalent TP"),1,0)</f>
        <v/>
      </c>
      <c r="M138" s="15">
        <f>IF(OR($G138="FP Extra",$G138="Harmful FP"),1,0)</f>
        <v/>
      </c>
      <c r="N138" s="15">
        <f>IF(OR($G138="FN",$G138="Partial"),1,0)</f>
        <v/>
      </c>
      <c r="O138" s="15">
        <f>IF($L126=1,$I126,0)</f>
        <v/>
      </c>
      <c r="P138" s="15">
        <f>IF($M126=1,$I126,0)</f>
        <v/>
      </c>
      <c r="Q138" s="15">
        <f>IF($N126=1,$I126,0)</f>
        <v/>
      </c>
      <c r="R138" s="20" t="n"/>
      <c r="S138" s="20" t="n"/>
      <c r="T138" s="20" t="n"/>
    </row>
    <row r="139" ht="18.75" customHeight="1">
      <c r="A139" s="12" t="n"/>
      <c r="B139" s="31" t="n"/>
      <c r="C139" s="12" t="n"/>
      <c r="D139" s="12" t="n"/>
      <c r="E139" s="12" t="n"/>
      <c r="F139" s="31" t="n"/>
      <c r="G139" s="12" t="n"/>
      <c r="H139" s="14">
        <f>IFERROR(VLOOKUP($B139,$A$25:$N$62,7,FALSE),"")</f>
        <v/>
      </c>
      <c r="I139" s="15">
        <f>IF($H127="Minor",1,IF($H127="Moderate",2,IF($H127="Major",3,IF($H127="Critical",4,""))))</f>
        <v/>
      </c>
      <c r="J139" s="16" t="n"/>
      <c r="K139" s="16" t="n"/>
      <c r="L139" s="15">
        <f>IF(OR($G139="Exact TP",$G139="Equivalent TP"),1,0)</f>
        <v/>
      </c>
      <c r="M139" s="15">
        <f>IF(OR($G139="FP Extra",$G139="Harmful FP"),1,0)</f>
        <v/>
      </c>
      <c r="N139" s="15">
        <f>IF(OR($G139="FN",$G139="Partial"),1,0)</f>
        <v/>
      </c>
      <c r="O139" s="15">
        <f>IF($L127=1,$I127,0)</f>
        <v/>
      </c>
      <c r="P139" s="15">
        <f>IF($M127=1,$I127,0)</f>
        <v/>
      </c>
      <c r="Q139" s="15">
        <f>IF($N127=1,$I127,0)</f>
        <v/>
      </c>
      <c r="R139" s="20" t="n"/>
      <c r="S139" s="20" t="n"/>
      <c r="T139" s="20" t="n"/>
    </row>
    <row r="140" ht="18.75" customHeight="1">
      <c r="A140" s="12" t="n"/>
      <c r="B140" s="31" t="n"/>
      <c r="C140" s="12" t="n"/>
      <c r="D140" s="12" t="n"/>
      <c r="E140" s="12" t="n"/>
      <c r="F140" s="31" t="n"/>
      <c r="G140" s="12" t="n"/>
      <c r="H140" s="14">
        <f>IFERROR(VLOOKUP($B140,$A$25:$N$62,7,FALSE),"")</f>
        <v/>
      </c>
      <c r="I140" s="15">
        <f>IF($H128="Minor",1,IF($H128="Moderate",2,IF($H128="Major",3,IF($H128="Critical",4,""))))</f>
        <v/>
      </c>
      <c r="J140" s="16" t="n"/>
      <c r="K140" s="16" t="n"/>
      <c r="L140" s="15">
        <f>IF(OR($G140="Exact TP",$G140="Equivalent TP"),1,0)</f>
        <v/>
      </c>
      <c r="M140" s="15">
        <f>IF(OR($G140="FP Extra",$G140="Harmful FP"),1,0)</f>
        <v/>
      </c>
      <c r="N140" s="15">
        <f>IF(OR($G140="FN",$G140="Partial"),1,0)</f>
        <v/>
      </c>
      <c r="O140" s="15">
        <f>IF($L128=1,$I128,0)</f>
        <v/>
      </c>
      <c r="P140" s="15">
        <f>IF($M128=1,$I128,0)</f>
        <v/>
      </c>
      <c r="Q140" s="15">
        <f>IF($N128=1,$I128,0)</f>
        <v/>
      </c>
      <c r="R140" s="20" t="n"/>
      <c r="S140" s="20" t="n"/>
      <c r="T140" s="20" t="n"/>
    </row>
    <row r="141" ht="18.75" customHeight="1">
      <c r="A141" s="12" t="n"/>
      <c r="B141" s="31" t="n"/>
      <c r="C141" s="12" t="n"/>
      <c r="D141" s="12" t="n"/>
      <c r="E141" s="12" t="n"/>
      <c r="F141" s="31" t="n"/>
      <c r="G141" s="12" t="n"/>
      <c r="H141" s="14">
        <f>IFERROR(VLOOKUP($B141,$A$25:$N$62,7,FALSE),"")</f>
        <v/>
      </c>
      <c r="I141" s="15">
        <f>IF($H129="Minor",1,IF($H129="Moderate",2,IF($H129="Major",3,IF($H129="Critical",4,""))))</f>
        <v/>
      </c>
      <c r="J141" s="16" t="n"/>
      <c r="K141" s="16" t="n"/>
      <c r="L141" s="15">
        <f>IF(OR($G141="Exact TP",$G141="Equivalent TP"),1,0)</f>
        <v/>
      </c>
      <c r="M141" s="15">
        <f>IF(OR($G141="FP Extra",$G141="Harmful FP"),1,0)</f>
        <v/>
      </c>
      <c r="N141" s="15">
        <f>IF(OR($G141="FN",$G141="Partial"),1,0)</f>
        <v/>
      </c>
      <c r="O141" s="15">
        <f>IF($L129=1,$I129,0)</f>
        <v/>
      </c>
      <c r="P141" s="15">
        <f>IF($M129=1,$I129,0)</f>
        <v/>
      </c>
      <c r="Q141" s="15">
        <f>IF($N129=1,$I129,0)</f>
        <v/>
      </c>
      <c r="R141" s="20" t="n"/>
      <c r="S141" s="20" t="n"/>
      <c r="T141" s="20" t="n"/>
    </row>
    <row r="142" ht="18.75" customHeight="1">
      <c r="A142" s="12" t="n"/>
      <c r="B142" s="31" t="n"/>
      <c r="C142" s="12" t="n"/>
      <c r="D142" s="12" t="n"/>
      <c r="E142" s="12" t="n"/>
      <c r="F142" s="31" t="n"/>
      <c r="G142" s="12" t="n"/>
      <c r="H142" s="14">
        <f>IFERROR(VLOOKUP($B142,$A$25:$N$62,7,FALSE),"")</f>
        <v/>
      </c>
      <c r="I142" s="15">
        <f>IF($H130="Minor",1,IF($H130="Moderate",2,IF($H130="Major",3,IF($H130="Critical",4,""))))</f>
        <v/>
      </c>
      <c r="J142" s="16" t="n"/>
      <c r="K142" s="16" t="n"/>
      <c r="L142" s="15">
        <f>IF(OR($G142="Exact TP",$G142="Equivalent TP"),1,0)</f>
        <v/>
      </c>
      <c r="M142" s="15">
        <f>IF(OR($G142="FP Extra",$G142="Harmful FP"),1,0)</f>
        <v/>
      </c>
      <c r="N142" s="15">
        <f>IF(OR($G142="FN",$G142="Partial"),1,0)</f>
        <v/>
      </c>
      <c r="O142" s="15">
        <f>IF($L130=1,$I130,0)</f>
        <v/>
      </c>
      <c r="P142" s="15">
        <f>IF($M130=1,$I130,0)</f>
        <v/>
      </c>
      <c r="Q142" s="15">
        <f>IF($N130=1,$I130,0)</f>
        <v/>
      </c>
      <c r="R142" s="20" t="n"/>
      <c r="S142" s="20" t="n"/>
      <c r="T142" s="20" t="n"/>
    </row>
    <row r="143" ht="18.75" customHeight="1">
      <c r="A143" s="12" t="n"/>
      <c r="B143" s="31" t="n"/>
      <c r="C143" s="12" t="n"/>
      <c r="D143" s="12" t="n"/>
      <c r="E143" s="12" t="n"/>
      <c r="F143" s="31" t="n"/>
      <c r="G143" s="12" t="n"/>
      <c r="H143" s="14">
        <f>IFERROR(VLOOKUP($B143,$A$25:$N$62,7,FALSE),"")</f>
        <v/>
      </c>
      <c r="I143" s="15">
        <f>IF($H131="Minor",1,IF($H131="Moderate",2,IF($H131="Major",3,IF($H131="Critical",4,""))))</f>
        <v/>
      </c>
      <c r="J143" s="16" t="n"/>
      <c r="K143" s="16" t="n"/>
      <c r="L143" s="15">
        <f>IF(OR($G143="Exact TP",$G143="Equivalent TP"),1,0)</f>
        <v/>
      </c>
      <c r="M143" s="15">
        <f>IF(OR($G143="FP Extra",$G143="Harmful FP"),1,0)</f>
        <v/>
      </c>
      <c r="N143" s="15">
        <f>IF(OR($G143="FN",$G143="Partial"),1,0)</f>
        <v/>
      </c>
      <c r="O143" s="15">
        <f>IF($L131=1,$I131,0)</f>
        <v/>
      </c>
      <c r="P143" s="15">
        <f>IF($M131=1,$I131,0)</f>
        <v/>
      </c>
      <c r="Q143" s="15">
        <f>IF($N131=1,$I131,0)</f>
        <v/>
      </c>
      <c r="R143" s="20" t="n"/>
      <c r="S143" s="20" t="n"/>
      <c r="T143" s="20" t="n"/>
    </row>
    <row r="144" ht="18.75" customHeight="1">
      <c r="A144" s="12" t="n"/>
      <c r="B144" s="31" t="n"/>
      <c r="C144" s="12" t="n"/>
      <c r="D144" s="12" t="n"/>
      <c r="E144" s="12" t="n"/>
      <c r="F144" s="31" t="n"/>
      <c r="G144" s="12" t="n"/>
      <c r="H144" s="14">
        <f>IFERROR(VLOOKUP($B144,$A$25:$N$62,7,FALSE),"")</f>
        <v/>
      </c>
      <c r="I144" s="15">
        <f>IF($H132="Minor",1,IF($H132="Moderate",2,IF($H132="Major",3,IF($H132="Critical",4,""))))</f>
        <v/>
      </c>
      <c r="J144" s="16" t="n"/>
      <c r="K144" s="16" t="n"/>
      <c r="L144" s="15">
        <f>IF(OR($G144="Exact TP",$G144="Equivalent TP"),1,0)</f>
        <v/>
      </c>
      <c r="M144" s="15">
        <f>IF(OR($G144="FP Extra",$G144="Harmful FP"),1,0)</f>
        <v/>
      </c>
      <c r="N144" s="15">
        <f>IF(OR($G144="FN",$G144="Partial"),1,0)</f>
        <v/>
      </c>
      <c r="O144" s="15">
        <f>IF($L132=1,$I132,0)</f>
        <v/>
      </c>
      <c r="P144" s="15">
        <f>IF($M132=1,$I132,0)</f>
        <v/>
      </c>
      <c r="Q144" s="15">
        <f>IF($N132=1,$I132,0)</f>
        <v/>
      </c>
      <c r="R144" s="20" t="n"/>
      <c r="S144" s="20" t="n"/>
      <c r="T144" s="20" t="n"/>
    </row>
    <row r="145" ht="18.75" customHeight="1">
      <c r="A145" s="12" t="n"/>
      <c r="B145" s="31" t="n"/>
      <c r="C145" s="12" t="n"/>
      <c r="D145" s="12" t="n"/>
      <c r="E145" s="12" t="n"/>
      <c r="F145" s="31" t="n"/>
      <c r="G145" s="12" t="n"/>
      <c r="H145" s="14">
        <f>IFERROR(VLOOKUP($B145,$A$25:$N$62,7,FALSE),"")</f>
        <v/>
      </c>
      <c r="I145" s="15">
        <f>IF($H133="Minor",1,IF($H133="Moderate",2,IF($H133="Major",3,IF($H133="Critical",4,""))))</f>
        <v/>
      </c>
      <c r="J145" s="16" t="n"/>
      <c r="K145" s="16" t="n"/>
      <c r="L145" s="15">
        <f>IF(OR($G145="Exact TP",$G145="Equivalent TP"),1,0)</f>
        <v/>
      </c>
      <c r="M145" s="15">
        <f>IF(OR($G145="FP Extra",$G145="Harmful FP"),1,0)</f>
        <v/>
      </c>
      <c r="N145" s="15">
        <f>IF(OR($G145="FN",$G145="Partial"),1,0)</f>
        <v/>
      </c>
      <c r="O145" s="15">
        <f>IF($L133=1,$I133,0)</f>
        <v/>
      </c>
      <c r="P145" s="15">
        <f>IF($M133=1,$I133,0)</f>
        <v/>
      </c>
      <c r="Q145" s="15">
        <f>IF($N133=1,$I133,0)</f>
        <v/>
      </c>
      <c r="R145" s="20" t="n"/>
      <c r="S145" s="20" t="n"/>
      <c r="T145" s="20" t="n"/>
    </row>
    <row r="146" ht="18.75" customHeight="1">
      <c r="A146" s="12" t="n"/>
      <c r="B146" s="31" t="n"/>
      <c r="C146" s="12" t="n"/>
      <c r="D146" s="12" t="n"/>
      <c r="E146" s="12" t="n"/>
      <c r="F146" s="31" t="n"/>
      <c r="G146" s="12" t="n"/>
      <c r="H146" s="14">
        <f>IFERROR(VLOOKUP($B146,$A$25:$N$62,7,FALSE),"")</f>
        <v/>
      </c>
      <c r="I146" s="15">
        <f>IF($H134="Minor",1,IF($H134="Moderate",2,IF($H134="Major",3,IF($H134="Critical",4,""))))</f>
        <v/>
      </c>
      <c r="J146" s="16" t="n"/>
      <c r="K146" s="16" t="n"/>
      <c r="L146" s="15">
        <f>IF(OR($G146="Exact TP",$G146="Equivalent TP"),1,0)</f>
        <v/>
      </c>
      <c r="M146" s="15">
        <f>IF(OR($G146="FP Extra",$G146="Harmful FP"),1,0)</f>
        <v/>
      </c>
      <c r="N146" s="15">
        <f>IF(OR($G146="FN",$G146="Partial"),1,0)</f>
        <v/>
      </c>
      <c r="O146" s="15">
        <f>IF($L134=1,$I134,0)</f>
        <v/>
      </c>
      <c r="P146" s="15">
        <f>IF($M134=1,$I134,0)</f>
        <v/>
      </c>
      <c r="Q146" s="15">
        <f>IF($N134=1,$I134,0)</f>
        <v/>
      </c>
      <c r="R146" s="20" t="n"/>
      <c r="S146" s="20" t="n"/>
      <c r="T146" s="20" t="n"/>
    </row>
    <row r="147" ht="18.75" customHeight="1">
      <c r="A147" s="12" t="n"/>
      <c r="B147" s="31" t="n"/>
      <c r="C147" s="12" t="n"/>
      <c r="D147" s="12" t="n"/>
      <c r="E147" s="12" t="n"/>
      <c r="F147" s="31" t="n"/>
      <c r="G147" s="12" t="n"/>
      <c r="H147" s="14">
        <f>IFERROR(VLOOKUP($B147,$A$25:$N$62,7,FALSE),"")</f>
        <v/>
      </c>
      <c r="I147" s="15">
        <f>IF($H135="Minor",1,IF($H135="Moderate",2,IF($H135="Major",3,IF($H135="Critical",4,""))))</f>
        <v/>
      </c>
      <c r="J147" s="16" t="n"/>
      <c r="K147" s="16" t="n"/>
      <c r="L147" s="15">
        <f>IF(OR($G147="Exact TP",$G147="Equivalent TP"),1,0)</f>
        <v/>
      </c>
      <c r="M147" s="15">
        <f>IF(OR($G147="FP Extra",$G147="Harmful FP"),1,0)</f>
        <v/>
      </c>
      <c r="N147" s="15">
        <f>IF(OR($G147="FN",$G147="Partial"),1,0)</f>
        <v/>
      </c>
      <c r="O147" s="15">
        <f>IF($L135=1,$I135,0)</f>
        <v/>
      </c>
      <c r="P147" s="15">
        <f>IF($M135=1,$I135,0)</f>
        <v/>
      </c>
      <c r="Q147" s="15">
        <f>IF($N135=1,$I135,0)</f>
        <v/>
      </c>
      <c r="R147" s="20" t="n"/>
      <c r="S147" s="20" t="n"/>
      <c r="T147" s="20" t="n"/>
    </row>
    <row r="148" ht="18.75" customHeight="1">
      <c r="A148" s="12" t="n"/>
      <c r="B148" s="31" t="n"/>
      <c r="C148" s="12" t="n"/>
      <c r="D148" s="12" t="n"/>
      <c r="E148" s="12" t="n"/>
      <c r="F148" s="31" t="n"/>
      <c r="G148" s="12" t="n"/>
      <c r="H148" s="14">
        <f>IFERROR(VLOOKUP($B148,$A$25:$N$62,7,FALSE),"")</f>
        <v/>
      </c>
      <c r="I148" s="15">
        <f>IF($H136="Minor",1,IF($H136="Moderate",2,IF($H136="Major",3,IF($H136="Critical",4,""))))</f>
        <v/>
      </c>
      <c r="J148" s="16" t="n"/>
      <c r="K148" s="16" t="n"/>
      <c r="L148" s="15">
        <f>IF(OR($G148="Exact TP",$G148="Equivalent TP"),1,0)</f>
        <v/>
      </c>
      <c r="M148" s="15">
        <f>IF(OR($G148="FP Extra",$G148="Harmful FP"),1,0)</f>
        <v/>
      </c>
      <c r="N148" s="15">
        <f>IF(OR($G148="FN",$G148="Partial"),1,0)</f>
        <v/>
      </c>
      <c r="O148" s="15">
        <f>IF($L136=1,$I136,0)</f>
        <v/>
      </c>
      <c r="P148" s="15">
        <f>IF($M136=1,$I136,0)</f>
        <v/>
      </c>
      <c r="Q148" s="15">
        <f>IF($N136=1,$I136,0)</f>
        <v/>
      </c>
      <c r="R148" s="20" t="n"/>
      <c r="S148" s="20" t="n"/>
      <c r="T148" s="20" t="n"/>
    </row>
    <row r="149" ht="18.75" customHeight="1">
      <c r="A149" s="12" t="n"/>
      <c r="B149" s="31" t="n"/>
      <c r="C149" s="12" t="n"/>
      <c r="D149" s="12" t="n"/>
      <c r="E149" s="12" t="n"/>
      <c r="F149" s="31" t="n"/>
      <c r="G149" s="12" t="n"/>
      <c r="H149" s="14">
        <f>IFERROR(VLOOKUP($B149,$A$25:$N$62,7,FALSE),"")</f>
        <v/>
      </c>
      <c r="I149" s="15">
        <f>IF($H137="Minor",1,IF($H137="Moderate",2,IF($H137="Major",3,IF($H137="Critical",4,""))))</f>
        <v/>
      </c>
      <c r="J149" s="16" t="n"/>
      <c r="K149" s="16" t="n"/>
      <c r="L149" s="15">
        <f>IF(OR($G149="Exact TP",$G149="Equivalent TP"),1,0)</f>
        <v/>
      </c>
      <c r="M149" s="15">
        <f>IF(OR($G149="FP Extra",$G149="Harmful FP"),1,0)</f>
        <v/>
      </c>
      <c r="N149" s="15">
        <f>IF(OR($G149="FN",$G149="Partial"),1,0)</f>
        <v/>
      </c>
      <c r="O149" s="15">
        <f>IF($L137=1,$I137,0)</f>
        <v/>
      </c>
      <c r="P149" s="15">
        <f>IF($M137=1,$I137,0)</f>
        <v/>
      </c>
      <c r="Q149" s="15">
        <f>IF($N137=1,$I137,0)</f>
        <v/>
      </c>
      <c r="R149" s="20" t="n"/>
      <c r="S149" s="20" t="n"/>
      <c r="T149" s="20" t="n"/>
    </row>
    <row r="150" ht="18.75" customHeight="1">
      <c r="A150" s="12" t="n"/>
      <c r="B150" s="31" t="n"/>
      <c r="C150" s="12" t="n"/>
      <c r="D150" s="12" t="n"/>
      <c r="E150" s="12" t="n"/>
      <c r="F150" s="31" t="n"/>
      <c r="G150" s="12" t="n"/>
      <c r="H150" s="14">
        <f>IFERROR(VLOOKUP($B150,$A$25:$N$62,7,FALSE),"")</f>
        <v/>
      </c>
      <c r="I150" s="15">
        <f>IF($H138="Minor",1,IF($H138="Moderate",2,IF($H138="Major",3,IF($H138="Critical",4,""))))</f>
        <v/>
      </c>
      <c r="J150" s="16" t="n"/>
      <c r="K150" s="16" t="n"/>
      <c r="L150" s="15">
        <f>IF(OR($G150="Exact TP",$G150="Equivalent TP"),1,0)</f>
        <v/>
      </c>
      <c r="M150" s="15">
        <f>IF(OR($G150="FP Extra",$G150="Harmful FP"),1,0)</f>
        <v/>
      </c>
      <c r="N150" s="15">
        <f>IF(OR($G150="FN",$G150="Partial"),1,0)</f>
        <v/>
      </c>
      <c r="O150" s="15">
        <f>IF($L138=1,$I138,0)</f>
        <v/>
      </c>
      <c r="P150" s="15">
        <f>IF($M138=1,$I138,0)</f>
        <v/>
      </c>
      <c r="Q150" s="15">
        <f>IF($N138=1,$I138,0)</f>
        <v/>
      </c>
      <c r="R150" s="20" t="n"/>
      <c r="S150" s="20" t="n"/>
      <c r="T150" s="20" t="n"/>
    </row>
    <row r="151" ht="18.75" customHeight="1">
      <c r="A151" s="12" t="n"/>
      <c r="B151" s="31" t="n"/>
      <c r="C151" s="12" t="n"/>
      <c r="D151" s="12" t="n"/>
      <c r="E151" s="12" t="n"/>
      <c r="F151" s="31" t="n"/>
      <c r="G151" s="12" t="n"/>
      <c r="H151" s="14">
        <f>IFERROR(VLOOKUP($B151,$A$25:$N$62,7,FALSE),"")</f>
        <v/>
      </c>
      <c r="I151" s="15">
        <f>IF($H139="Minor",1,IF($H139="Moderate",2,IF($H139="Major",3,IF($H139="Critical",4,""))))</f>
        <v/>
      </c>
      <c r="J151" s="16" t="n"/>
      <c r="K151" s="16" t="n"/>
      <c r="L151" s="15">
        <f>IF(OR($G151="Exact TP",$G151="Equivalent TP"),1,0)</f>
        <v/>
      </c>
      <c r="M151" s="15">
        <f>IF(OR($G151="FP Extra",$G151="Harmful FP"),1,0)</f>
        <v/>
      </c>
      <c r="N151" s="15">
        <f>IF(OR($G151="FN",$G151="Partial"),1,0)</f>
        <v/>
      </c>
      <c r="O151" s="15">
        <f>IF($L139=1,$I139,0)</f>
        <v/>
      </c>
      <c r="P151" s="15">
        <f>IF($M139=1,$I139,0)</f>
        <v/>
      </c>
      <c r="Q151" s="15">
        <f>IF($N139=1,$I139,0)</f>
        <v/>
      </c>
      <c r="R151" s="20" t="n"/>
      <c r="S151" s="20" t="n"/>
      <c r="T151" s="20" t="n"/>
    </row>
    <row r="152" ht="18.75" customHeight="1">
      <c r="A152" s="12" t="n"/>
      <c r="B152" s="31" t="n"/>
      <c r="C152" s="12" t="n"/>
      <c r="D152" s="12" t="n"/>
      <c r="E152" s="12" t="n"/>
      <c r="F152" s="31" t="n"/>
      <c r="G152" s="12" t="n"/>
      <c r="H152" s="14">
        <f>IFERROR(VLOOKUP($B152,$A$25:$N$62,7,FALSE),"")</f>
        <v/>
      </c>
      <c r="I152" s="15">
        <f>IF($H140="Minor",1,IF($H140="Moderate",2,IF($H140="Major",3,IF($H140="Critical",4,""))))</f>
        <v/>
      </c>
      <c r="J152" s="16" t="n"/>
      <c r="K152" s="16" t="n"/>
      <c r="L152" s="15">
        <f>IF(OR($G152="Exact TP",$G152="Equivalent TP"),1,0)</f>
        <v/>
      </c>
      <c r="M152" s="15">
        <f>IF(OR($G152="FP Extra",$G152="Harmful FP"),1,0)</f>
        <v/>
      </c>
      <c r="N152" s="15">
        <f>IF(OR($G152="FN",$G152="Partial"),1,0)</f>
        <v/>
      </c>
      <c r="O152" s="15">
        <f>IF($L140=1,$I140,0)</f>
        <v/>
      </c>
      <c r="P152" s="15">
        <f>IF($M140=1,$I140,0)</f>
        <v/>
      </c>
      <c r="Q152" s="15">
        <f>IF($N140=1,$I140,0)</f>
        <v/>
      </c>
      <c r="R152" s="20" t="n"/>
      <c r="S152" s="20" t="n"/>
      <c r="T152" s="20" t="n"/>
    </row>
    <row r="153" ht="18.75" customHeight="1">
      <c r="A153" s="12" t="n"/>
      <c r="B153" s="31" t="n"/>
      <c r="C153" s="12" t="n"/>
      <c r="D153" s="12" t="n"/>
      <c r="E153" s="12" t="n"/>
      <c r="F153" s="31" t="n"/>
      <c r="G153" s="12" t="n"/>
      <c r="H153" s="14">
        <f>IFERROR(VLOOKUP($B153,$A$25:$N$62,7,FALSE),"")</f>
        <v/>
      </c>
      <c r="I153" s="15">
        <f>IF($H141="Minor",1,IF($H141="Moderate",2,IF($H141="Major",3,IF($H141="Critical",4,""))))</f>
        <v/>
      </c>
      <c r="J153" s="16" t="n"/>
      <c r="K153" s="16" t="n"/>
      <c r="L153" s="15">
        <f>IF(OR($G153="Exact TP",$G153="Equivalent TP"),1,0)</f>
        <v/>
      </c>
      <c r="M153" s="15">
        <f>IF(OR($G153="FP Extra",$G153="Harmful FP"),1,0)</f>
        <v/>
      </c>
      <c r="N153" s="15">
        <f>IF(OR($G153="FN",$G153="Partial"),1,0)</f>
        <v/>
      </c>
      <c r="O153" s="15">
        <f>IF($L141=1,$I141,0)</f>
        <v/>
      </c>
      <c r="P153" s="15">
        <f>IF($M141=1,$I141,0)</f>
        <v/>
      </c>
      <c r="Q153" s="15">
        <f>IF($N141=1,$I141,0)</f>
        <v/>
      </c>
      <c r="R153" s="20" t="n"/>
      <c r="S153" s="20" t="n"/>
      <c r="T153" s="20" t="n"/>
    </row>
    <row r="154" ht="18.75" customHeight="1">
      <c r="A154" s="12" t="n"/>
      <c r="B154" s="31" t="n"/>
      <c r="C154" s="12" t="n"/>
      <c r="D154" s="12" t="n"/>
      <c r="E154" s="12" t="n"/>
      <c r="F154" s="31" t="n"/>
      <c r="G154" s="12" t="n"/>
      <c r="H154" s="14">
        <f>IFERROR(VLOOKUP($B154,$A$25:$N$62,7,FALSE),"")</f>
        <v/>
      </c>
      <c r="I154" s="15">
        <f>IF($H142="Minor",1,IF($H142="Moderate",2,IF($H142="Major",3,IF($H142="Critical",4,""))))</f>
        <v/>
      </c>
      <c r="J154" s="16" t="n"/>
      <c r="K154" s="16" t="n"/>
      <c r="L154" s="15">
        <f>IF(OR($G154="Exact TP",$G154="Equivalent TP"),1,0)</f>
        <v/>
      </c>
      <c r="M154" s="15">
        <f>IF(OR($G154="FP Extra",$G154="Harmful FP"),1,0)</f>
        <v/>
      </c>
      <c r="N154" s="15">
        <f>IF(OR($G154="FN",$G154="Partial"),1,0)</f>
        <v/>
      </c>
      <c r="O154" s="15">
        <f>IF($L142=1,$I142,0)</f>
        <v/>
      </c>
      <c r="P154" s="15">
        <f>IF($M142=1,$I142,0)</f>
        <v/>
      </c>
      <c r="Q154" s="15">
        <f>IF($N142=1,$I142,0)</f>
        <v/>
      </c>
      <c r="R154" s="20" t="n"/>
      <c r="S154" s="20" t="n"/>
      <c r="T154" s="20" t="n"/>
    </row>
    <row r="155" ht="18.75" customHeight="1">
      <c r="A155" s="12" t="n"/>
      <c r="B155" s="31" t="n"/>
      <c r="C155" s="12" t="n"/>
      <c r="D155" s="12" t="n"/>
      <c r="E155" s="12" t="n"/>
      <c r="F155" s="31" t="n"/>
      <c r="G155" s="12" t="n"/>
      <c r="H155" s="14">
        <f>IFERROR(VLOOKUP($B155,$A$25:$N$62,7,FALSE),"")</f>
        <v/>
      </c>
      <c r="I155" s="15">
        <f>IF($H143="Minor",1,IF($H143="Moderate",2,IF($H143="Major",3,IF($H143="Critical",4,""))))</f>
        <v/>
      </c>
      <c r="J155" s="16" t="n"/>
      <c r="K155" s="16" t="n"/>
      <c r="L155" s="15">
        <f>IF(OR($G155="Exact TP",$G155="Equivalent TP"),1,0)</f>
        <v/>
      </c>
      <c r="M155" s="15">
        <f>IF(OR($G155="FP Extra",$G155="Harmful FP"),1,0)</f>
        <v/>
      </c>
      <c r="N155" s="15">
        <f>IF(OR($G155="FN",$G155="Partial"),1,0)</f>
        <v/>
      </c>
      <c r="O155" s="15">
        <f>IF($L143=1,$I143,0)</f>
        <v/>
      </c>
      <c r="P155" s="15">
        <f>IF($M143=1,$I143,0)</f>
        <v/>
      </c>
      <c r="Q155" s="15">
        <f>IF($N143=1,$I143,0)</f>
        <v/>
      </c>
      <c r="R155" s="20" t="n"/>
      <c r="S155" s="20" t="n"/>
      <c r="T155" s="20" t="n"/>
    </row>
    <row r="156" ht="18.75" customHeight="1">
      <c r="A156" s="12" t="n"/>
      <c r="B156" s="31" t="n"/>
      <c r="C156" s="12" t="n"/>
      <c r="D156" s="12" t="n"/>
      <c r="E156" s="12" t="n"/>
      <c r="F156" s="31" t="n"/>
      <c r="G156" s="12" t="n"/>
      <c r="H156" s="14">
        <f>IFERROR(VLOOKUP($B156,$A$25:$N$62,7,FALSE),"")</f>
        <v/>
      </c>
      <c r="I156" s="15">
        <f>IF($H144="Minor",1,IF($H144="Moderate",2,IF($H144="Major",3,IF($H144="Critical",4,""))))</f>
        <v/>
      </c>
      <c r="J156" s="16" t="n"/>
      <c r="K156" s="16" t="n"/>
      <c r="L156" s="15">
        <f>IF(OR($G156="Exact TP",$G156="Equivalent TP"),1,0)</f>
        <v/>
      </c>
      <c r="M156" s="15">
        <f>IF(OR($G156="FP Extra",$G156="Harmful FP"),1,0)</f>
        <v/>
      </c>
      <c r="N156" s="15">
        <f>IF(OR($G156="FN",$G156="Partial"),1,0)</f>
        <v/>
      </c>
      <c r="O156" s="15">
        <f>IF($L144=1,$I144,0)</f>
        <v/>
      </c>
      <c r="P156" s="15">
        <f>IF($M144=1,$I144,0)</f>
        <v/>
      </c>
      <c r="Q156" s="15">
        <f>IF($N144=1,$I144,0)</f>
        <v/>
      </c>
      <c r="R156" s="20" t="n"/>
      <c r="S156" s="20" t="n"/>
      <c r="T156" s="20" t="n"/>
    </row>
    <row r="157" ht="18.75" customHeight="1">
      <c r="A157" s="12" t="n"/>
      <c r="B157" s="31" t="n"/>
      <c r="C157" s="12" t="n"/>
      <c r="D157" s="12" t="n"/>
      <c r="E157" s="12" t="n"/>
      <c r="F157" s="31" t="n"/>
      <c r="G157" s="12" t="n"/>
      <c r="H157" s="14">
        <f>IFERROR(VLOOKUP($B157,$A$25:$N$62,7,FALSE),"")</f>
        <v/>
      </c>
      <c r="I157" s="15">
        <f>IF($H145="Minor",1,IF($H145="Moderate",2,IF($H145="Major",3,IF($H145="Critical",4,""))))</f>
        <v/>
      </c>
      <c r="J157" s="16" t="n"/>
      <c r="K157" s="16" t="n"/>
      <c r="L157" s="15">
        <f>IF(OR($G157="Exact TP",$G157="Equivalent TP"),1,0)</f>
        <v/>
      </c>
      <c r="M157" s="15">
        <f>IF(OR($G157="FP Extra",$G157="Harmful FP"),1,0)</f>
        <v/>
      </c>
      <c r="N157" s="15">
        <f>IF(OR($G157="FN",$G157="Partial"),1,0)</f>
        <v/>
      </c>
      <c r="O157" s="15">
        <f>IF($L145=1,$I145,0)</f>
        <v/>
      </c>
      <c r="P157" s="15">
        <f>IF($M145=1,$I145,0)</f>
        <v/>
      </c>
      <c r="Q157" s="15">
        <f>IF($N145=1,$I145,0)</f>
        <v/>
      </c>
      <c r="R157" s="20" t="n"/>
      <c r="S157" s="20" t="n"/>
      <c r="T157" s="20" t="n"/>
    </row>
    <row r="158" ht="18.75" customHeight="1">
      <c r="A158" s="12" t="n"/>
      <c r="B158" s="31" t="n"/>
      <c r="C158" s="12" t="n"/>
      <c r="D158" s="12" t="n"/>
      <c r="E158" s="12" t="n"/>
      <c r="F158" s="31" t="n"/>
      <c r="G158" s="12" t="n"/>
      <c r="H158" s="14">
        <f>IFERROR(VLOOKUP($B158,$A$25:$N$62,7,FALSE),"")</f>
        <v/>
      </c>
      <c r="I158" s="15">
        <f>IF($H146="Minor",1,IF($H146="Moderate",2,IF($H146="Major",3,IF($H146="Critical",4,""))))</f>
        <v/>
      </c>
      <c r="J158" s="16" t="n"/>
      <c r="K158" s="16" t="n"/>
      <c r="L158" s="15">
        <f>IF(OR($G158="Exact TP",$G158="Equivalent TP"),1,0)</f>
        <v/>
      </c>
      <c r="M158" s="15">
        <f>IF(OR($G158="FP Extra",$G158="Harmful FP"),1,0)</f>
        <v/>
      </c>
      <c r="N158" s="15">
        <f>IF(OR($G158="FN",$G158="Partial"),1,0)</f>
        <v/>
      </c>
      <c r="O158" s="15">
        <f>IF($L146=1,$I146,0)</f>
        <v/>
      </c>
      <c r="P158" s="15">
        <f>IF($M146=1,$I146,0)</f>
        <v/>
      </c>
      <c r="Q158" s="15">
        <f>IF($N146=1,$I146,0)</f>
        <v/>
      </c>
      <c r="R158" s="20" t="n"/>
      <c r="S158" s="20" t="n"/>
      <c r="T158" s="20" t="n"/>
    </row>
    <row r="159" ht="18.75" customHeight="1">
      <c r="A159" s="12" t="n"/>
      <c r="B159" s="31" t="n"/>
      <c r="C159" s="12" t="n"/>
      <c r="D159" s="12" t="n"/>
      <c r="E159" s="12" t="n"/>
      <c r="F159" s="31" t="n"/>
      <c r="G159" s="12" t="n"/>
      <c r="H159" s="14">
        <f>IFERROR(VLOOKUP($B159,$A$25:$N$62,7,FALSE),"")</f>
        <v/>
      </c>
      <c r="I159" s="15">
        <f>IF($H147="Minor",1,IF($H147="Moderate",2,IF($H147="Major",3,IF($H147="Critical",4,""))))</f>
        <v/>
      </c>
      <c r="J159" s="16" t="n"/>
      <c r="K159" s="16" t="n"/>
      <c r="L159" s="15">
        <f>IF(OR($G159="Exact TP",$G159="Equivalent TP"),1,0)</f>
        <v/>
      </c>
      <c r="M159" s="15">
        <f>IF(OR($G159="FP Extra",$G159="Harmful FP"),1,0)</f>
        <v/>
      </c>
      <c r="N159" s="15">
        <f>IF(OR($G159="FN",$G159="Partial"),1,0)</f>
        <v/>
      </c>
      <c r="O159" s="15">
        <f>IF($L147=1,$I147,0)</f>
        <v/>
      </c>
      <c r="P159" s="15">
        <f>IF($M147=1,$I147,0)</f>
        <v/>
      </c>
      <c r="Q159" s="15">
        <f>IF($N147=1,$I147,0)</f>
        <v/>
      </c>
      <c r="R159" s="20" t="n"/>
      <c r="S159" s="20" t="n"/>
      <c r="T159" s="20" t="n"/>
    </row>
    <row r="160" ht="18.75" customHeight="1">
      <c r="A160" s="12" t="n"/>
      <c r="B160" s="31" t="n"/>
      <c r="C160" s="12" t="n"/>
      <c r="D160" s="12" t="n"/>
      <c r="E160" s="12" t="n"/>
      <c r="F160" s="31" t="n"/>
      <c r="G160" s="12" t="n"/>
      <c r="H160" s="14">
        <f>IFERROR(VLOOKUP($B160,$A$25:$N$62,7,FALSE),"")</f>
        <v/>
      </c>
      <c r="I160" s="15">
        <f>IF($H148="Minor",1,IF($H148="Moderate",2,IF($H148="Major",3,IF($H148="Critical",4,""))))</f>
        <v/>
      </c>
      <c r="J160" s="16" t="n"/>
      <c r="K160" s="16" t="n"/>
      <c r="L160" s="15">
        <f>IF(OR($G160="Exact TP",$G160="Equivalent TP"),1,0)</f>
        <v/>
      </c>
      <c r="M160" s="15">
        <f>IF(OR($G160="FP Extra",$G160="Harmful FP"),1,0)</f>
        <v/>
      </c>
      <c r="N160" s="15">
        <f>IF(OR($G160="FN",$G160="Partial"),1,0)</f>
        <v/>
      </c>
      <c r="O160" s="15">
        <f>IF($L148=1,$I148,0)</f>
        <v/>
      </c>
      <c r="P160" s="15">
        <f>IF($M148=1,$I148,0)</f>
        <v/>
      </c>
      <c r="Q160" s="15">
        <f>IF($N148=1,$I148,0)</f>
        <v/>
      </c>
      <c r="R160" s="20" t="n"/>
      <c r="S160" s="20" t="n"/>
      <c r="T160" s="20" t="n"/>
    </row>
    <row r="161" ht="18.75" customHeight="1">
      <c r="A161" s="12" t="n"/>
      <c r="B161" s="31" t="n"/>
      <c r="C161" s="12" t="n"/>
      <c r="D161" s="12" t="n"/>
      <c r="E161" s="12" t="n"/>
      <c r="F161" s="31" t="n"/>
      <c r="G161" s="12" t="n"/>
      <c r="H161" s="14">
        <f>IFERROR(VLOOKUP($B161,$A$25:$N$62,7,FALSE),"")</f>
        <v/>
      </c>
      <c r="I161" s="15">
        <f>IF($H149="Minor",1,IF($H149="Moderate",2,IF($H149="Major",3,IF($H149="Critical",4,""))))</f>
        <v/>
      </c>
      <c r="J161" s="16" t="n"/>
      <c r="K161" s="16" t="n"/>
      <c r="L161" s="15">
        <f>IF(OR($G161="Exact TP",$G161="Equivalent TP"),1,0)</f>
        <v/>
      </c>
      <c r="M161" s="15">
        <f>IF(OR($G161="FP Extra",$G161="Harmful FP"),1,0)</f>
        <v/>
      </c>
      <c r="N161" s="15">
        <f>IF(OR($G161="FN",$G161="Partial"),1,0)</f>
        <v/>
      </c>
      <c r="O161" s="15">
        <f>IF($L149=1,$I149,0)</f>
        <v/>
      </c>
      <c r="P161" s="15">
        <f>IF($M149=1,$I149,0)</f>
        <v/>
      </c>
      <c r="Q161" s="15">
        <f>IF($N149=1,$I149,0)</f>
        <v/>
      </c>
      <c r="R161" s="20" t="n"/>
      <c r="S161" s="20" t="n"/>
      <c r="T161" s="20" t="n"/>
    </row>
    <row r="162" ht="18.75" customHeight="1">
      <c r="A162" s="12" t="n"/>
      <c r="B162" s="31" t="n"/>
      <c r="C162" s="12" t="n"/>
      <c r="D162" s="12" t="n"/>
      <c r="E162" s="12" t="n"/>
      <c r="F162" s="31" t="n"/>
      <c r="G162" s="12" t="n"/>
      <c r="H162" s="14">
        <f>IFERROR(VLOOKUP($B162,$A$25:$N$62,7,FALSE),"")</f>
        <v/>
      </c>
      <c r="I162" s="15">
        <f>IF($H150="Minor",1,IF($H150="Moderate",2,IF($H150="Major",3,IF($H150="Critical",4,""))))</f>
        <v/>
      </c>
      <c r="J162" s="16" t="n"/>
      <c r="K162" s="16" t="n"/>
      <c r="L162" s="15">
        <f>IF(OR($G162="Exact TP",$G162="Equivalent TP"),1,0)</f>
        <v/>
      </c>
      <c r="M162" s="15">
        <f>IF(OR($G162="FP Extra",$G162="Harmful FP"),1,0)</f>
        <v/>
      </c>
      <c r="N162" s="15">
        <f>IF(OR($G162="FN",$G162="Partial"),1,0)</f>
        <v/>
      </c>
      <c r="O162" s="15">
        <f>IF($L150=1,$I150,0)</f>
        <v/>
      </c>
      <c r="P162" s="15">
        <f>IF($M150=1,$I150,0)</f>
        <v/>
      </c>
      <c r="Q162" s="15">
        <f>IF($N150=1,$I150,0)</f>
        <v/>
      </c>
      <c r="R162" s="20" t="n"/>
      <c r="S162" s="20" t="n"/>
      <c r="T162" s="20" t="n"/>
    </row>
    <row r="163" ht="18.75" customHeight="1">
      <c r="A163" s="12" t="n"/>
      <c r="B163" s="31" t="n"/>
      <c r="C163" s="12" t="n"/>
      <c r="D163" s="12" t="n"/>
      <c r="E163" s="12" t="n"/>
      <c r="F163" s="31" t="n"/>
      <c r="G163" s="12" t="n"/>
      <c r="H163" s="14">
        <f>IFERROR(VLOOKUP($B163,$A$25:$N$62,7,FALSE),"")</f>
        <v/>
      </c>
      <c r="I163" s="15">
        <f>IF($H151="Minor",1,IF($H151="Moderate",2,IF($H151="Major",3,IF($H151="Critical",4,""))))</f>
        <v/>
      </c>
      <c r="J163" s="16" t="n"/>
      <c r="K163" s="16" t="n"/>
      <c r="L163" s="15">
        <f>IF(OR($G163="Exact TP",$G163="Equivalent TP"),1,0)</f>
        <v/>
      </c>
      <c r="M163" s="15">
        <f>IF(OR($G163="FP Extra",$G163="Harmful FP"),1,0)</f>
        <v/>
      </c>
      <c r="N163" s="15">
        <f>IF(OR($G163="FN",$G163="Partial"),1,0)</f>
        <v/>
      </c>
      <c r="O163" s="15">
        <f>IF($L151=1,$I151,0)</f>
        <v/>
      </c>
      <c r="P163" s="15">
        <f>IF($M151=1,$I151,0)</f>
        <v/>
      </c>
      <c r="Q163" s="15">
        <f>IF($N151=1,$I151,0)</f>
        <v/>
      </c>
      <c r="R163" s="20" t="n"/>
      <c r="S163" s="20" t="n"/>
      <c r="T163" s="20" t="n"/>
    </row>
    <row r="164" ht="18.75" customHeight="1">
      <c r="A164" s="12" t="n"/>
      <c r="B164" s="31" t="n"/>
      <c r="C164" s="12" t="n"/>
      <c r="D164" s="12" t="n"/>
      <c r="E164" s="12" t="n"/>
      <c r="F164" s="31" t="n"/>
      <c r="G164" s="12" t="n"/>
      <c r="H164" s="14">
        <f>IFERROR(VLOOKUP($B164,$A$25:$N$62,7,FALSE),"")</f>
        <v/>
      </c>
      <c r="I164" s="15">
        <f>IF($H152="Minor",1,IF($H152="Moderate",2,IF($H152="Major",3,IF($H152="Critical",4,""))))</f>
        <v/>
      </c>
      <c r="J164" s="16" t="n"/>
      <c r="K164" s="16" t="n"/>
      <c r="L164" s="15">
        <f>IF(OR($G164="Exact TP",$G164="Equivalent TP"),1,0)</f>
        <v/>
      </c>
      <c r="M164" s="15">
        <f>IF(OR($G164="FP Extra",$G164="Harmful FP"),1,0)</f>
        <v/>
      </c>
      <c r="N164" s="15">
        <f>IF(OR($G164="FN",$G164="Partial"),1,0)</f>
        <v/>
      </c>
      <c r="O164" s="15">
        <f>IF($L152=1,$I152,0)</f>
        <v/>
      </c>
      <c r="P164" s="15">
        <f>IF($M152=1,$I152,0)</f>
        <v/>
      </c>
      <c r="Q164" s="15">
        <f>IF($N152=1,$I152,0)</f>
        <v/>
      </c>
      <c r="R164" s="20" t="n"/>
      <c r="S164" s="20" t="n"/>
      <c r="T164" s="20" t="n"/>
    </row>
    <row r="165" ht="18.75" customHeight="1">
      <c r="A165" s="12" t="n"/>
      <c r="B165" s="31" t="n"/>
      <c r="C165" s="12" t="n"/>
      <c r="D165" s="12" t="n"/>
      <c r="E165" s="12" t="n"/>
      <c r="F165" s="31" t="n"/>
      <c r="G165" s="12" t="n"/>
      <c r="H165" s="14">
        <f>IFERROR(VLOOKUP($B165,$A$25:$N$62,7,FALSE),"")</f>
        <v/>
      </c>
      <c r="I165" s="15">
        <f>IF($H153="Minor",1,IF($H153="Moderate",2,IF($H153="Major",3,IF($H153="Critical",4,""))))</f>
        <v/>
      </c>
      <c r="J165" s="16" t="n"/>
      <c r="K165" s="16" t="n"/>
      <c r="L165" s="15">
        <f>IF(OR($G165="Exact TP",$G165="Equivalent TP"),1,0)</f>
        <v/>
      </c>
      <c r="M165" s="15">
        <f>IF(OR($G165="FP Extra",$G165="Harmful FP"),1,0)</f>
        <v/>
      </c>
      <c r="N165" s="15">
        <f>IF(OR($G165="FN",$G165="Partial"),1,0)</f>
        <v/>
      </c>
      <c r="O165" s="15">
        <f>IF($L153=1,$I153,0)</f>
        <v/>
      </c>
      <c r="P165" s="15">
        <f>IF($M153=1,$I153,0)</f>
        <v/>
      </c>
      <c r="Q165" s="15">
        <f>IF($N153=1,$I153,0)</f>
        <v/>
      </c>
      <c r="R165" s="20" t="n"/>
      <c r="S165" s="20" t="n"/>
      <c r="T165" s="20" t="n"/>
    </row>
    <row r="166" ht="18.75" customHeight="1">
      <c r="A166" s="12" t="n"/>
      <c r="B166" s="31" t="n"/>
      <c r="C166" s="12" t="n"/>
      <c r="D166" s="12" t="n"/>
      <c r="E166" s="12" t="n"/>
      <c r="F166" s="31" t="n"/>
      <c r="G166" s="12" t="n"/>
      <c r="H166" s="14">
        <f>IFERROR(VLOOKUP($B166,$A$25:$N$62,7,FALSE),"")</f>
        <v/>
      </c>
      <c r="I166" s="15">
        <f>IF($H154="Minor",1,IF($H154="Moderate",2,IF($H154="Major",3,IF($H154="Critical",4,""))))</f>
        <v/>
      </c>
      <c r="J166" s="16" t="n"/>
      <c r="K166" s="16" t="n"/>
      <c r="L166" s="15">
        <f>IF(OR($G166="Exact TP",$G166="Equivalent TP"),1,0)</f>
        <v/>
      </c>
      <c r="M166" s="15">
        <f>IF(OR($G166="FP Extra",$G166="Harmful FP"),1,0)</f>
        <v/>
      </c>
      <c r="N166" s="15">
        <f>IF(OR($G166="FN",$G166="Partial"),1,0)</f>
        <v/>
      </c>
      <c r="O166" s="15">
        <f>IF($L154=1,$I154,0)</f>
        <v/>
      </c>
      <c r="P166" s="15">
        <f>IF($M154=1,$I154,0)</f>
        <v/>
      </c>
      <c r="Q166" s="15">
        <f>IF($N154=1,$I154,0)</f>
        <v/>
      </c>
      <c r="R166" s="20" t="n"/>
      <c r="S166" s="20" t="n"/>
      <c r="T166" s="20" t="n"/>
    </row>
    <row r="167" ht="18.75" customHeight="1">
      <c r="A167" s="12" t="n"/>
      <c r="B167" s="31" t="n"/>
      <c r="C167" s="12" t="n"/>
      <c r="D167" s="12" t="n"/>
      <c r="E167" s="12" t="n"/>
      <c r="F167" s="31" t="n"/>
      <c r="G167" s="12" t="n"/>
      <c r="H167" s="14">
        <f>IFERROR(VLOOKUP($B167,$A$25:$N$62,7,FALSE),"")</f>
        <v/>
      </c>
      <c r="I167" s="15">
        <f>IF($H155="Minor",1,IF($H155="Moderate",2,IF($H155="Major",3,IF($H155="Critical",4,""))))</f>
        <v/>
      </c>
      <c r="J167" s="16" t="n"/>
      <c r="K167" s="16" t="n"/>
      <c r="L167" s="15">
        <f>IF(OR($G167="Exact TP",$G167="Equivalent TP"),1,0)</f>
        <v/>
      </c>
      <c r="M167" s="15">
        <f>IF(OR($G167="FP Extra",$G167="Harmful FP"),1,0)</f>
        <v/>
      </c>
      <c r="N167" s="15">
        <f>IF(OR($G167="FN",$G167="Partial"),1,0)</f>
        <v/>
      </c>
      <c r="O167" s="15">
        <f>IF($L155=1,$I155,0)</f>
        <v/>
      </c>
      <c r="P167" s="15">
        <f>IF($M155=1,$I155,0)</f>
        <v/>
      </c>
      <c r="Q167" s="15">
        <f>IF($N155=1,$I155,0)</f>
        <v/>
      </c>
      <c r="R167" s="20" t="n"/>
      <c r="S167" s="20" t="n"/>
      <c r="T167" s="20" t="n"/>
    </row>
    <row r="168" ht="18.75" customHeight="1">
      <c r="A168" s="12" t="n"/>
      <c r="B168" s="31" t="n"/>
      <c r="C168" s="12" t="n"/>
      <c r="D168" s="12" t="n"/>
      <c r="E168" s="12" t="n"/>
      <c r="F168" s="31" t="n"/>
      <c r="G168" s="12" t="n"/>
      <c r="H168" s="14">
        <f>IFERROR(VLOOKUP($B168,$A$25:$N$62,7,FALSE),"")</f>
        <v/>
      </c>
      <c r="I168" s="15">
        <f>IF($H156="Minor",1,IF($H156="Moderate",2,IF($H156="Major",3,IF($H156="Critical",4,""))))</f>
        <v/>
      </c>
      <c r="J168" s="16" t="n"/>
      <c r="K168" s="16" t="n"/>
      <c r="L168" s="15">
        <f>IF(OR($G168="Exact TP",$G168="Equivalent TP"),1,0)</f>
        <v/>
      </c>
      <c r="M168" s="15">
        <f>IF(OR($G168="FP Extra",$G168="Harmful FP"),1,0)</f>
        <v/>
      </c>
      <c r="N168" s="15">
        <f>IF(OR($G168="FN",$G168="Partial"),1,0)</f>
        <v/>
      </c>
      <c r="O168" s="15">
        <f>IF($L156=1,$I156,0)</f>
        <v/>
      </c>
      <c r="P168" s="15">
        <f>IF($M156=1,$I156,0)</f>
        <v/>
      </c>
      <c r="Q168" s="15">
        <f>IF($N156=1,$I156,0)</f>
        <v/>
      </c>
      <c r="R168" s="20" t="n"/>
      <c r="S168" s="20" t="n"/>
      <c r="T168" s="20" t="n"/>
    </row>
    <row r="169" ht="18.75" customHeight="1">
      <c r="A169" s="12" t="n"/>
      <c r="B169" s="31" t="n"/>
      <c r="C169" s="12" t="n"/>
      <c r="D169" s="12" t="n"/>
      <c r="E169" s="12" t="n"/>
      <c r="F169" s="31" t="n"/>
      <c r="G169" s="12" t="n"/>
      <c r="H169" s="14">
        <f>IFERROR(VLOOKUP($B169,$A$25:$N$62,7,FALSE),"")</f>
        <v/>
      </c>
      <c r="I169" s="15">
        <f>IF($H157="Minor",1,IF($H157="Moderate",2,IF($H157="Major",3,IF($H157="Critical",4,""))))</f>
        <v/>
      </c>
      <c r="J169" s="16" t="n"/>
      <c r="K169" s="16" t="n"/>
      <c r="L169" s="15">
        <f>IF(OR($G169="Exact TP",$G169="Equivalent TP"),1,0)</f>
        <v/>
      </c>
      <c r="M169" s="15">
        <f>IF(OR($G169="FP Extra",$G169="Harmful FP"),1,0)</f>
        <v/>
      </c>
      <c r="N169" s="15">
        <f>IF(OR($G169="FN",$G169="Partial"),1,0)</f>
        <v/>
      </c>
      <c r="O169" s="15">
        <f>IF($L157=1,$I157,0)</f>
        <v/>
      </c>
      <c r="P169" s="15">
        <f>IF($M157=1,$I157,0)</f>
        <v/>
      </c>
      <c r="Q169" s="15">
        <f>IF($N157=1,$I157,0)</f>
        <v/>
      </c>
      <c r="R169" s="20" t="n"/>
      <c r="S169" s="20" t="n"/>
      <c r="T169" s="20" t="n"/>
    </row>
    <row r="170" ht="18.75" customHeight="1">
      <c r="A170" s="12" t="n"/>
      <c r="B170" s="31" t="n"/>
      <c r="C170" s="12" t="n"/>
      <c r="D170" s="12" t="n"/>
      <c r="E170" s="12" t="n"/>
      <c r="F170" s="31" t="n"/>
      <c r="G170" s="12" t="n"/>
      <c r="H170" s="14">
        <f>IFERROR(VLOOKUP($B170,$A$25:$N$62,7,FALSE),"")</f>
        <v/>
      </c>
      <c r="I170" s="15">
        <f>IF($H158="Minor",1,IF($H158="Moderate",2,IF($H158="Major",3,IF($H158="Critical",4,""))))</f>
        <v/>
      </c>
      <c r="J170" s="16" t="n"/>
      <c r="K170" s="16" t="n"/>
      <c r="L170" s="15">
        <f>IF(OR($G170="Exact TP",$G170="Equivalent TP"),1,0)</f>
        <v/>
      </c>
      <c r="M170" s="15">
        <f>IF(OR($G170="FP Extra",$G170="Harmful FP"),1,0)</f>
        <v/>
      </c>
      <c r="N170" s="15">
        <f>IF(OR($G170="FN",$G170="Partial"),1,0)</f>
        <v/>
      </c>
      <c r="O170" s="15">
        <f>IF($L158=1,$I158,0)</f>
        <v/>
      </c>
      <c r="P170" s="15">
        <f>IF($M158=1,$I158,0)</f>
        <v/>
      </c>
      <c r="Q170" s="15">
        <f>IF($N158=1,$I158,0)</f>
        <v/>
      </c>
      <c r="R170" s="20" t="n"/>
      <c r="S170" s="20" t="n"/>
      <c r="T170" s="20" t="n"/>
    </row>
    <row r="171" ht="18.75" customHeight="1">
      <c r="A171" s="12" t="n"/>
      <c r="B171" s="31" t="n"/>
      <c r="C171" s="12" t="n"/>
      <c r="D171" s="12" t="n"/>
      <c r="E171" s="12" t="n"/>
      <c r="F171" s="31" t="n"/>
      <c r="G171" s="12" t="n"/>
      <c r="H171" s="14">
        <f>IFERROR(VLOOKUP($B171,$A$25:$N$62,7,FALSE),"")</f>
        <v/>
      </c>
      <c r="I171" s="15">
        <f>IF($H159="Minor",1,IF($H159="Moderate",2,IF($H159="Major",3,IF($H159="Critical",4,""))))</f>
        <v/>
      </c>
      <c r="J171" s="16" t="n"/>
      <c r="K171" s="16" t="n"/>
      <c r="L171" s="15">
        <f>IF(OR($G171="Exact TP",$G171="Equivalent TP"),1,0)</f>
        <v/>
      </c>
      <c r="M171" s="15">
        <f>IF(OR($G171="FP Extra",$G171="Harmful FP"),1,0)</f>
        <v/>
      </c>
      <c r="N171" s="15">
        <f>IF(OR($G171="FN",$G171="Partial"),1,0)</f>
        <v/>
      </c>
      <c r="O171" s="15">
        <f>IF($L159=1,$I159,0)</f>
        <v/>
      </c>
      <c r="P171" s="15">
        <f>IF($M159=1,$I159,0)</f>
        <v/>
      </c>
      <c r="Q171" s="15">
        <f>IF($N159=1,$I159,0)</f>
        <v/>
      </c>
      <c r="R171" s="20" t="n"/>
      <c r="S171" s="20" t="n"/>
      <c r="T171" s="20" t="n"/>
    </row>
    <row r="172" ht="18.75" customHeight="1">
      <c r="A172" s="12" t="n"/>
      <c r="B172" s="31" t="n"/>
      <c r="C172" s="12" t="n"/>
      <c r="D172" s="12" t="n"/>
      <c r="E172" s="12" t="n"/>
      <c r="F172" s="31" t="n"/>
      <c r="G172" s="12" t="n"/>
      <c r="H172" s="14">
        <f>IFERROR(VLOOKUP($B172,$A$25:$N$62,7,FALSE),"")</f>
        <v/>
      </c>
      <c r="I172" s="15">
        <f>IF($H160="Minor",1,IF($H160="Moderate",2,IF($H160="Major",3,IF($H160="Critical",4,""))))</f>
        <v/>
      </c>
      <c r="J172" s="16" t="n"/>
      <c r="K172" s="16" t="n"/>
      <c r="L172" s="15">
        <f>IF(OR($G172="Exact TP",$G172="Equivalent TP"),1,0)</f>
        <v/>
      </c>
      <c r="M172" s="15">
        <f>IF(OR($G172="FP Extra",$G172="Harmful FP"),1,0)</f>
        <v/>
      </c>
      <c r="N172" s="15">
        <f>IF(OR($G172="FN",$G172="Partial"),1,0)</f>
        <v/>
      </c>
      <c r="O172" s="15">
        <f>IF($L160=1,$I160,0)</f>
        <v/>
      </c>
      <c r="P172" s="15">
        <f>IF($M160=1,$I160,0)</f>
        <v/>
      </c>
      <c r="Q172" s="15">
        <f>IF($N160=1,$I160,0)</f>
        <v/>
      </c>
      <c r="R172" s="20" t="n"/>
      <c r="S172" s="20" t="n"/>
      <c r="T172" s="20" t="n"/>
    </row>
    <row r="173" ht="18.75" customHeight="1">
      <c r="A173" s="12" t="n"/>
      <c r="B173" s="31" t="n"/>
      <c r="C173" s="12" t="n"/>
      <c r="D173" s="12" t="n"/>
      <c r="E173" s="12" t="n"/>
      <c r="F173" s="31" t="n"/>
      <c r="G173" s="12" t="n"/>
      <c r="H173" s="14">
        <f>IFERROR(VLOOKUP($B173,$A$25:$N$62,7,FALSE),"")</f>
        <v/>
      </c>
      <c r="I173" s="15">
        <f>IF($H161="Minor",1,IF($H161="Moderate",2,IF($H161="Major",3,IF($H161="Critical",4,""))))</f>
        <v/>
      </c>
      <c r="J173" s="16" t="n"/>
      <c r="K173" s="16" t="n"/>
      <c r="L173" s="15">
        <f>IF(OR($G173="Exact TP",$G173="Equivalent TP"),1,0)</f>
        <v/>
      </c>
      <c r="M173" s="15">
        <f>IF(OR($G173="FP Extra",$G173="Harmful FP"),1,0)</f>
        <v/>
      </c>
      <c r="N173" s="15">
        <f>IF(OR($G173="FN",$G173="Partial"),1,0)</f>
        <v/>
      </c>
      <c r="O173" s="15">
        <f>IF($L161=1,$I161,0)</f>
        <v/>
      </c>
      <c r="P173" s="15">
        <f>IF($M161=1,$I161,0)</f>
        <v/>
      </c>
      <c r="Q173" s="15">
        <f>IF($N161=1,$I161,0)</f>
        <v/>
      </c>
      <c r="R173" s="20" t="n"/>
      <c r="S173" s="20" t="n"/>
      <c r="T173" s="20" t="n"/>
    </row>
    <row r="174" ht="18.75" customHeight="1">
      <c r="A174" s="12" t="n"/>
      <c r="B174" s="31" t="n"/>
      <c r="C174" s="12" t="n"/>
      <c r="D174" s="12" t="n"/>
      <c r="E174" s="12" t="n"/>
      <c r="F174" s="31" t="n"/>
      <c r="G174" s="12" t="n"/>
      <c r="H174" s="14">
        <f>IFERROR(VLOOKUP($B174,$A$25:$N$62,7,FALSE),"")</f>
        <v/>
      </c>
      <c r="I174" s="15">
        <f>IF($H162="Minor",1,IF($H162="Moderate",2,IF($H162="Major",3,IF($H162="Critical",4,""))))</f>
        <v/>
      </c>
      <c r="J174" s="16" t="n"/>
      <c r="K174" s="16" t="n"/>
      <c r="L174" s="15">
        <f>IF(OR($G174="Exact TP",$G174="Equivalent TP"),1,0)</f>
        <v/>
      </c>
      <c r="M174" s="15">
        <f>IF(OR($G174="FP Extra",$G174="Harmful FP"),1,0)</f>
        <v/>
      </c>
      <c r="N174" s="15">
        <f>IF(OR($G174="FN",$G174="Partial"),1,0)</f>
        <v/>
      </c>
      <c r="O174" s="15">
        <f>IF($L162=1,$I162,0)</f>
        <v/>
      </c>
      <c r="P174" s="15">
        <f>IF($M162=1,$I162,0)</f>
        <v/>
      </c>
      <c r="Q174" s="15">
        <f>IF($N162=1,$I162,0)</f>
        <v/>
      </c>
      <c r="R174" s="20" t="n"/>
      <c r="S174" s="20" t="n"/>
      <c r="T174" s="20" t="n"/>
    </row>
    <row r="175" ht="18.75" customHeight="1">
      <c r="A175" s="12" t="n"/>
      <c r="B175" s="31" t="n"/>
      <c r="C175" s="12" t="n"/>
      <c r="D175" s="12" t="n"/>
      <c r="E175" s="12" t="n"/>
      <c r="F175" s="31" t="n"/>
      <c r="G175" s="12" t="n"/>
      <c r="H175" s="14">
        <f>IFERROR(VLOOKUP($B175,$A$25:$N$62,7,FALSE),"")</f>
        <v/>
      </c>
      <c r="I175" s="15">
        <f>IF($H163="Minor",1,IF($H163="Moderate",2,IF($H163="Major",3,IF($H163="Critical",4,""))))</f>
        <v/>
      </c>
      <c r="J175" s="16" t="n"/>
      <c r="K175" s="16" t="n"/>
      <c r="L175" s="15">
        <f>IF(OR($G175="Exact TP",$G175="Equivalent TP"),1,0)</f>
        <v/>
      </c>
      <c r="M175" s="15">
        <f>IF(OR($G175="FP Extra",$G175="Harmful FP"),1,0)</f>
        <v/>
      </c>
      <c r="N175" s="15">
        <f>IF(OR($G175="FN",$G175="Partial"),1,0)</f>
        <v/>
      </c>
      <c r="O175" s="15">
        <f>IF($L163=1,$I163,0)</f>
        <v/>
      </c>
      <c r="P175" s="15">
        <f>IF($M163=1,$I163,0)</f>
        <v/>
      </c>
      <c r="Q175" s="15">
        <f>IF($N163=1,$I163,0)</f>
        <v/>
      </c>
      <c r="R175" s="20" t="n"/>
      <c r="S175" s="20" t="n"/>
      <c r="T175" s="20" t="n"/>
    </row>
    <row r="176" ht="18.75" customHeight="1">
      <c r="A176" s="12" t="n"/>
      <c r="B176" s="31" t="n"/>
      <c r="C176" s="12" t="n"/>
      <c r="D176" s="12" t="n"/>
      <c r="E176" s="12" t="n"/>
      <c r="F176" s="31" t="n"/>
      <c r="G176" s="12" t="n"/>
      <c r="H176" s="14">
        <f>IFERROR(VLOOKUP($B176,$A$25:$N$62,7,FALSE),"")</f>
        <v/>
      </c>
      <c r="I176" s="15">
        <f>IF($H164="Minor",1,IF($H164="Moderate",2,IF($H164="Major",3,IF($H164="Critical",4,""))))</f>
        <v/>
      </c>
      <c r="J176" s="16" t="n"/>
      <c r="K176" s="16" t="n"/>
      <c r="L176" s="15">
        <f>IF(OR($G176="Exact TP",$G176="Equivalent TP"),1,0)</f>
        <v/>
      </c>
      <c r="M176" s="15">
        <f>IF(OR($G176="FP Extra",$G176="Harmful FP"),1,0)</f>
        <v/>
      </c>
      <c r="N176" s="15">
        <f>IF(OR($G176="FN",$G176="Partial"),1,0)</f>
        <v/>
      </c>
      <c r="O176" s="15">
        <f>IF($L164=1,$I164,0)</f>
        <v/>
      </c>
      <c r="P176" s="15">
        <f>IF($M164=1,$I164,0)</f>
        <v/>
      </c>
      <c r="Q176" s="15">
        <f>IF($N164=1,$I164,0)</f>
        <v/>
      </c>
      <c r="R176" s="20" t="n"/>
      <c r="S176" s="20" t="n"/>
      <c r="T176" s="20" t="n"/>
    </row>
    <row r="177" ht="18.75" customHeight="1">
      <c r="A177" s="12" t="n"/>
      <c r="B177" s="31" t="n"/>
      <c r="C177" s="12" t="n"/>
      <c r="D177" s="12" t="n"/>
      <c r="E177" s="12" t="n"/>
      <c r="F177" s="31" t="n"/>
      <c r="G177" s="12" t="n"/>
      <c r="H177" s="14">
        <f>IFERROR(VLOOKUP($B177,$A$25:$N$62,7,FALSE),"")</f>
        <v/>
      </c>
      <c r="I177" s="15">
        <f>IF($H165="Minor",1,IF($H165="Moderate",2,IF($H165="Major",3,IF($H165="Critical",4,""))))</f>
        <v/>
      </c>
      <c r="J177" s="16" t="n"/>
      <c r="K177" s="16" t="n"/>
      <c r="L177" s="15">
        <f>IF(OR($G177="Exact TP",$G177="Equivalent TP"),1,0)</f>
        <v/>
      </c>
      <c r="M177" s="15">
        <f>IF(OR($G177="FP Extra",$G177="Harmful FP"),1,0)</f>
        <v/>
      </c>
      <c r="N177" s="15">
        <f>IF(OR($G177="FN",$G177="Partial"),1,0)</f>
        <v/>
      </c>
      <c r="O177" s="15">
        <f>IF($L165=1,$I165,0)</f>
        <v/>
      </c>
      <c r="P177" s="15">
        <f>IF($M165=1,$I165,0)</f>
        <v/>
      </c>
      <c r="Q177" s="15">
        <f>IF($N165=1,$I165,0)</f>
        <v/>
      </c>
      <c r="R177" s="20" t="n"/>
      <c r="S177" s="20" t="n"/>
      <c r="T177" s="20" t="n"/>
    </row>
    <row r="178" ht="18.75" customHeight="1">
      <c r="A178" s="12" t="n"/>
      <c r="B178" s="31" t="n"/>
      <c r="C178" s="12" t="n"/>
      <c r="D178" s="12" t="n"/>
      <c r="E178" s="12" t="n"/>
      <c r="F178" s="31" t="n"/>
      <c r="G178" s="12" t="n"/>
      <c r="H178" s="14">
        <f>IFERROR(VLOOKUP($B178,$A$25:$N$62,7,FALSE),"")</f>
        <v/>
      </c>
      <c r="I178" s="15">
        <f>IF($H166="Minor",1,IF($H166="Moderate",2,IF($H166="Major",3,IF($H166="Critical",4,""))))</f>
        <v/>
      </c>
      <c r="J178" s="16" t="n"/>
      <c r="K178" s="16" t="n"/>
      <c r="L178" s="15">
        <f>IF(OR($G178="Exact TP",$G178="Equivalent TP"),1,0)</f>
        <v/>
      </c>
      <c r="M178" s="15">
        <f>IF(OR($G178="FP Extra",$G178="Harmful FP"),1,0)</f>
        <v/>
      </c>
      <c r="N178" s="15">
        <f>IF(OR($G178="FN",$G178="Partial"),1,0)</f>
        <v/>
      </c>
      <c r="O178" s="15">
        <f>IF($L166=1,$I166,0)</f>
        <v/>
      </c>
      <c r="P178" s="15">
        <f>IF($M166=1,$I166,0)</f>
        <v/>
      </c>
      <c r="Q178" s="15">
        <f>IF($N166=1,$I166,0)</f>
        <v/>
      </c>
      <c r="R178" s="20" t="n"/>
      <c r="S178" s="20" t="n"/>
      <c r="T178" s="20" t="n"/>
    </row>
    <row r="179" ht="18.75" customHeight="1">
      <c r="A179" s="12" t="n"/>
      <c r="B179" s="31" t="n"/>
      <c r="C179" s="12" t="n"/>
      <c r="D179" s="12" t="n"/>
      <c r="E179" s="12" t="n"/>
      <c r="F179" s="31" t="n"/>
      <c r="G179" s="12" t="n"/>
      <c r="H179" s="14">
        <f>IFERROR(VLOOKUP($B179,$A$25:$N$62,7,FALSE),"")</f>
        <v/>
      </c>
      <c r="I179" s="15">
        <f>IF($H167="Minor",1,IF($H167="Moderate",2,IF($H167="Major",3,IF($H167="Critical",4,""))))</f>
        <v/>
      </c>
      <c r="J179" s="16" t="n"/>
      <c r="K179" s="16" t="n"/>
      <c r="L179" s="15">
        <f>IF(OR($G179="Exact TP",$G179="Equivalent TP"),1,0)</f>
        <v/>
      </c>
      <c r="M179" s="15">
        <f>IF(OR($G179="FP Extra",$G179="Harmful FP"),1,0)</f>
        <v/>
      </c>
      <c r="N179" s="15">
        <f>IF(OR($G179="FN",$G179="Partial"),1,0)</f>
        <v/>
      </c>
      <c r="O179" s="15">
        <f>IF($L167=1,$I167,0)</f>
        <v/>
      </c>
      <c r="P179" s="15">
        <f>IF($M167=1,$I167,0)</f>
        <v/>
      </c>
      <c r="Q179" s="15">
        <f>IF($N167=1,$I167,0)</f>
        <v/>
      </c>
      <c r="R179" s="20" t="n"/>
      <c r="S179" s="20" t="n"/>
      <c r="T179" s="20" t="n"/>
    </row>
    <row r="180" ht="18.75" customHeight="1">
      <c r="A180" s="12" t="n"/>
      <c r="B180" s="31" t="n"/>
      <c r="C180" s="12" t="n"/>
      <c r="D180" s="12" t="n"/>
      <c r="E180" s="12" t="n"/>
      <c r="F180" s="31" t="n"/>
      <c r="G180" s="12" t="n"/>
      <c r="H180" s="14">
        <f>IFERROR(VLOOKUP($B180,$A$25:$N$62,7,FALSE),"")</f>
        <v/>
      </c>
      <c r="I180" s="15">
        <f>IF($H168="Minor",1,IF($H168="Moderate",2,IF($H168="Major",3,IF($H168="Critical",4,""))))</f>
        <v/>
      </c>
      <c r="J180" s="16" t="n"/>
      <c r="K180" s="16" t="n"/>
      <c r="L180" s="15">
        <f>IF(OR($G180="Exact TP",$G180="Equivalent TP"),1,0)</f>
        <v/>
      </c>
      <c r="M180" s="15">
        <f>IF(OR($G180="FP Extra",$G180="Harmful FP"),1,0)</f>
        <v/>
      </c>
      <c r="N180" s="15">
        <f>IF(OR($G180="FN",$G180="Partial"),1,0)</f>
        <v/>
      </c>
      <c r="O180" s="15">
        <f>IF($L168=1,$I168,0)</f>
        <v/>
      </c>
      <c r="P180" s="15">
        <f>IF($M168=1,$I168,0)</f>
        <v/>
      </c>
      <c r="Q180" s="15">
        <f>IF($N168=1,$I168,0)</f>
        <v/>
      </c>
      <c r="R180" s="20" t="n"/>
      <c r="S180" s="20" t="n"/>
      <c r="T180" s="20" t="n"/>
    </row>
    <row r="181" ht="18.75" customHeight="1">
      <c r="A181" s="12" t="n"/>
      <c r="B181" s="31" t="n"/>
      <c r="C181" s="12" t="n"/>
      <c r="D181" s="12" t="n"/>
      <c r="E181" s="12" t="n"/>
      <c r="F181" s="31" t="n"/>
      <c r="G181" s="12" t="n"/>
      <c r="H181" s="14">
        <f>IFERROR(VLOOKUP($B181,$A$25:$N$62,7,FALSE),"")</f>
        <v/>
      </c>
      <c r="I181" s="15">
        <f>IF($H169="Minor",1,IF($H169="Moderate",2,IF($H169="Major",3,IF($H169="Critical",4,""))))</f>
        <v/>
      </c>
      <c r="J181" s="16" t="n"/>
      <c r="K181" s="16" t="n"/>
      <c r="L181" s="15">
        <f>IF(OR($G181="Exact TP",$G181="Equivalent TP"),1,0)</f>
        <v/>
      </c>
      <c r="M181" s="15">
        <f>IF(OR($G181="FP Extra",$G181="Harmful FP"),1,0)</f>
        <v/>
      </c>
      <c r="N181" s="15">
        <f>IF(OR($G181="FN",$G181="Partial"),1,0)</f>
        <v/>
      </c>
      <c r="O181" s="15">
        <f>IF($L169=1,$I169,0)</f>
        <v/>
      </c>
      <c r="P181" s="15">
        <f>IF($M169=1,$I169,0)</f>
        <v/>
      </c>
      <c r="Q181" s="15">
        <f>IF($N169=1,$I169,0)</f>
        <v/>
      </c>
      <c r="R181" s="20" t="n"/>
      <c r="S181" s="20" t="n"/>
      <c r="T181" s="20" t="n"/>
    </row>
    <row r="182" ht="18.75" customHeight="1">
      <c r="A182" s="12" t="n"/>
      <c r="B182" s="31" t="n"/>
      <c r="C182" s="12" t="n"/>
      <c r="D182" s="12" t="n"/>
      <c r="E182" s="12" t="n"/>
      <c r="F182" s="31" t="n"/>
      <c r="G182" s="12" t="n"/>
      <c r="H182" s="14">
        <f>IFERROR(VLOOKUP($B182,$A$25:$N$62,7,FALSE),"")</f>
        <v/>
      </c>
      <c r="I182" s="15">
        <f>IF($H170="Minor",1,IF($H170="Moderate",2,IF($H170="Major",3,IF($H170="Critical",4,""))))</f>
        <v/>
      </c>
      <c r="J182" s="16" t="n"/>
      <c r="K182" s="16" t="n"/>
      <c r="L182" s="15">
        <f>IF(OR($G182="Exact TP",$G182="Equivalent TP"),1,0)</f>
        <v/>
      </c>
      <c r="M182" s="15">
        <f>IF(OR($G182="FP Extra",$G182="Harmful FP"),1,0)</f>
        <v/>
      </c>
      <c r="N182" s="15">
        <f>IF(OR($G182="FN",$G182="Partial"),1,0)</f>
        <v/>
      </c>
      <c r="O182" s="15">
        <f>IF($L170=1,$I170,0)</f>
        <v/>
      </c>
      <c r="P182" s="15">
        <f>IF($M170=1,$I170,0)</f>
        <v/>
      </c>
      <c r="Q182" s="15">
        <f>IF($N170=1,$I170,0)</f>
        <v/>
      </c>
      <c r="R182" s="20" t="n"/>
      <c r="S182" s="20" t="n"/>
      <c r="T182" s="20" t="n"/>
    </row>
    <row r="183" ht="18.75" customHeight="1">
      <c r="A183" s="12" t="n"/>
      <c r="B183" s="31" t="n"/>
      <c r="C183" s="12" t="n"/>
      <c r="D183" s="12" t="n"/>
      <c r="E183" s="12" t="n"/>
      <c r="F183" s="31" t="n"/>
      <c r="G183" s="12" t="n"/>
      <c r="H183" s="14">
        <f>IFERROR(VLOOKUP($B183,$A$25:$N$62,7,FALSE),"")</f>
        <v/>
      </c>
      <c r="I183" s="15">
        <f>IF($H171="Minor",1,IF($H171="Moderate",2,IF($H171="Major",3,IF($H171="Critical",4,""))))</f>
        <v/>
      </c>
      <c r="J183" s="16" t="n"/>
      <c r="K183" s="16" t="n"/>
      <c r="L183" s="15">
        <f>IF(OR($G183="Exact TP",$G183="Equivalent TP"),1,0)</f>
        <v/>
      </c>
      <c r="M183" s="15">
        <f>IF(OR($G183="FP Extra",$G183="Harmful FP"),1,0)</f>
        <v/>
      </c>
      <c r="N183" s="15">
        <f>IF(OR($G183="FN",$G183="Partial"),1,0)</f>
        <v/>
      </c>
      <c r="O183" s="15">
        <f>IF($L171=1,$I171,0)</f>
        <v/>
      </c>
      <c r="P183" s="15">
        <f>IF($M171=1,$I171,0)</f>
        <v/>
      </c>
      <c r="Q183" s="15">
        <f>IF($N171=1,$I171,0)</f>
        <v/>
      </c>
      <c r="R183" s="20" t="n"/>
      <c r="S183" s="20" t="n"/>
      <c r="T183" s="20" t="n"/>
    </row>
    <row r="184" ht="18.75" customHeight="1">
      <c r="A184" s="12" t="n"/>
      <c r="B184" s="31" t="n"/>
      <c r="C184" s="12" t="n"/>
      <c r="D184" s="12" t="n"/>
      <c r="E184" s="12" t="n"/>
      <c r="F184" s="31" t="n"/>
      <c r="G184" s="12" t="n"/>
      <c r="H184" s="14">
        <f>IFERROR(VLOOKUP($B184,$A$25:$N$62,7,FALSE),"")</f>
        <v/>
      </c>
      <c r="I184" s="15">
        <f>IF($H172="Minor",1,IF($H172="Moderate",2,IF($H172="Major",3,IF($H172="Critical",4,""))))</f>
        <v/>
      </c>
      <c r="J184" s="16" t="n"/>
      <c r="K184" s="16" t="n"/>
      <c r="L184" s="15">
        <f>IF(OR($G184="Exact TP",$G184="Equivalent TP"),1,0)</f>
        <v/>
      </c>
      <c r="M184" s="15">
        <f>IF(OR($G184="FP Extra",$G184="Harmful FP"),1,0)</f>
        <v/>
      </c>
      <c r="N184" s="15">
        <f>IF(OR($G184="FN",$G184="Partial"),1,0)</f>
        <v/>
      </c>
      <c r="O184" s="15">
        <f>IF($L172=1,$I172,0)</f>
        <v/>
      </c>
      <c r="P184" s="15">
        <f>IF($M172=1,$I172,0)</f>
        <v/>
      </c>
      <c r="Q184" s="15">
        <f>IF($N172=1,$I172,0)</f>
        <v/>
      </c>
      <c r="R184" s="20" t="n"/>
      <c r="S184" s="20" t="n"/>
      <c r="T184" s="20" t="n"/>
    </row>
    <row r="185" ht="18.75" customHeight="1">
      <c r="A185" s="12" t="n"/>
      <c r="B185" s="31" t="n"/>
      <c r="C185" s="12" t="n"/>
      <c r="D185" s="12" t="n"/>
      <c r="E185" s="12" t="n"/>
      <c r="F185" s="31" t="n"/>
      <c r="G185" s="12" t="n"/>
      <c r="H185" s="14">
        <f>IFERROR(VLOOKUP($B185,$A$25:$N$62,7,FALSE),"")</f>
        <v/>
      </c>
      <c r="I185" s="15">
        <f>IF($H173="Minor",1,IF($H173="Moderate",2,IF($H173="Major",3,IF($H173="Critical",4,""))))</f>
        <v/>
      </c>
      <c r="J185" s="16" t="n"/>
      <c r="K185" s="16" t="n"/>
      <c r="L185" s="15">
        <f>IF(OR($G185="Exact TP",$G185="Equivalent TP"),1,0)</f>
        <v/>
      </c>
      <c r="M185" s="15">
        <f>IF(OR($G185="FP Extra",$G185="Harmful FP"),1,0)</f>
        <v/>
      </c>
      <c r="N185" s="15">
        <f>IF(OR($G185="FN",$G185="Partial"),1,0)</f>
        <v/>
      </c>
      <c r="O185" s="15">
        <f>IF($L173=1,$I173,0)</f>
        <v/>
      </c>
      <c r="P185" s="15">
        <f>IF($M173=1,$I173,0)</f>
        <v/>
      </c>
      <c r="Q185" s="15">
        <f>IF($N173=1,$I173,0)</f>
        <v/>
      </c>
      <c r="R185" s="20" t="n"/>
      <c r="S185" s="20" t="n"/>
      <c r="T185" s="20" t="n"/>
    </row>
    <row r="186" ht="18.75" customHeight="1">
      <c r="A186" s="12" t="n"/>
      <c r="B186" s="31" t="n"/>
      <c r="C186" s="12" t="n"/>
      <c r="D186" s="12" t="n"/>
      <c r="E186" s="12" t="n"/>
      <c r="F186" s="31" t="n"/>
      <c r="G186" s="12" t="n"/>
      <c r="H186" s="14">
        <f>IFERROR(VLOOKUP($B186,$A$25:$N$62,7,FALSE),"")</f>
        <v/>
      </c>
      <c r="I186" s="15">
        <f>IF($H174="Minor",1,IF($H174="Moderate",2,IF($H174="Major",3,IF($H174="Critical",4,""))))</f>
        <v/>
      </c>
      <c r="J186" s="16" t="n"/>
      <c r="K186" s="16" t="n"/>
      <c r="L186" s="15">
        <f>IF(OR($G186="Exact TP",$G186="Equivalent TP"),1,0)</f>
        <v/>
      </c>
      <c r="M186" s="15">
        <f>IF(OR($G186="FP Extra",$G186="Harmful FP"),1,0)</f>
        <v/>
      </c>
      <c r="N186" s="15">
        <f>IF(OR($G186="FN",$G186="Partial"),1,0)</f>
        <v/>
      </c>
      <c r="O186" s="15">
        <f>IF($L174=1,$I174,0)</f>
        <v/>
      </c>
      <c r="P186" s="15">
        <f>IF($M174=1,$I174,0)</f>
        <v/>
      </c>
      <c r="Q186" s="15">
        <f>IF($N174=1,$I174,0)</f>
        <v/>
      </c>
      <c r="R186" s="20" t="n"/>
      <c r="S186" s="20" t="n"/>
      <c r="T186" s="20" t="n"/>
    </row>
    <row r="187" ht="18.75" customHeight="1">
      <c r="A187" s="12" t="n"/>
      <c r="B187" s="31" t="n"/>
      <c r="C187" s="12" t="n"/>
      <c r="D187" s="12" t="n"/>
      <c r="E187" s="12" t="n"/>
      <c r="F187" s="31" t="n"/>
      <c r="G187" s="12" t="n"/>
      <c r="H187" s="14">
        <f>IFERROR(VLOOKUP($B187,$A$25:$N$62,7,FALSE),"")</f>
        <v/>
      </c>
      <c r="I187" s="15">
        <f>IF($H175="Minor",1,IF($H175="Moderate",2,IF($H175="Major",3,IF($H175="Critical",4,""))))</f>
        <v/>
      </c>
      <c r="J187" s="16" t="n"/>
      <c r="K187" s="16" t="n"/>
      <c r="L187" s="15">
        <f>IF(OR($G187="Exact TP",$G187="Equivalent TP"),1,0)</f>
        <v/>
      </c>
      <c r="M187" s="15">
        <f>IF(OR($G187="FP Extra",$G187="Harmful FP"),1,0)</f>
        <v/>
      </c>
      <c r="N187" s="15">
        <f>IF(OR($G187="FN",$G187="Partial"),1,0)</f>
        <v/>
      </c>
      <c r="O187" s="15">
        <f>IF($L175=1,$I175,0)</f>
        <v/>
      </c>
      <c r="P187" s="15">
        <f>IF($M175=1,$I175,0)</f>
        <v/>
      </c>
      <c r="Q187" s="15">
        <f>IF($N175=1,$I175,0)</f>
        <v/>
      </c>
      <c r="R187" s="20" t="n"/>
      <c r="S187" s="20" t="n"/>
      <c r="T187" s="20" t="n"/>
    </row>
    <row r="188" ht="18.75" customHeight="1">
      <c r="A188" s="12" t="n"/>
      <c r="B188" s="31" t="n"/>
      <c r="C188" s="12" t="n"/>
      <c r="D188" s="12" t="n"/>
      <c r="E188" s="12" t="n"/>
      <c r="F188" s="31" t="n"/>
      <c r="G188" s="12" t="n"/>
      <c r="H188" s="14">
        <f>IFERROR(VLOOKUP($B188,$A$25:$N$62,7,FALSE),"")</f>
        <v/>
      </c>
      <c r="I188" s="15">
        <f>IF($H176="Minor",1,IF($H176="Moderate",2,IF($H176="Major",3,IF($H176="Critical",4,""))))</f>
        <v/>
      </c>
      <c r="J188" s="16" t="n"/>
      <c r="K188" s="16" t="n"/>
      <c r="L188" s="15">
        <f>IF(OR($G188="Exact TP",$G188="Equivalent TP"),1,0)</f>
        <v/>
      </c>
      <c r="M188" s="15">
        <f>IF(OR($G188="FP Extra",$G188="Harmful FP"),1,0)</f>
        <v/>
      </c>
      <c r="N188" s="15">
        <f>IF(OR($G188="FN",$G188="Partial"),1,0)</f>
        <v/>
      </c>
      <c r="O188" s="15">
        <f>IF($L176=1,$I176,0)</f>
        <v/>
      </c>
      <c r="P188" s="15">
        <f>IF($M176=1,$I176,0)</f>
        <v/>
      </c>
      <c r="Q188" s="15">
        <f>IF($N176=1,$I176,0)</f>
        <v/>
      </c>
      <c r="R188" s="20" t="n"/>
      <c r="S188" s="20" t="n"/>
      <c r="T188" s="20" t="n"/>
    </row>
    <row r="189" ht="18.75" customHeight="1">
      <c r="A189" s="12" t="n"/>
      <c r="B189" s="31" t="n"/>
      <c r="C189" s="12" t="n"/>
      <c r="D189" s="12" t="n"/>
      <c r="E189" s="12" t="n"/>
      <c r="F189" s="31" t="n"/>
      <c r="G189" s="12" t="n"/>
      <c r="H189" s="14">
        <f>IFERROR(VLOOKUP($B189,$A$25:$N$62,7,FALSE),"")</f>
        <v/>
      </c>
      <c r="I189" s="15">
        <f>IF($H177="Minor",1,IF($H177="Moderate",2,IF($H177="Major",3,IF($H177="Critical",4,""))))</f>
        <v/>
      </c>
      <c r="J189" s="16" t="n"/>
      <c r="K189" s="16" t="n"/>
      <c r="L189" s="15">
        <f>IF(OR($G189="Exact TP",$G189="Equivalent TP"),1,0)</f>
        <v/>
      </c>
      <c r="M189" s="15">
        <f>IF(OR($G189="FP Extra",$G189="Harmful FP"),1,0)</f>
        <v/>
      </c>
      <c r="N189" s="15">
        <f>IF(OR($G189="FN",$G189="Partial"),1,0)</f>
        <v/>
      </c>
      <c r="O189" s="15">
        <f>IF($L177=1,$I177,0)</f>
        <v/>
      </c>
      <c r="P189" s="15">
        <f>IF($M177=1,$I177,0)</f>
        <v/>
      </c>
      <c r="Q189" s="15">
        <f>IF($N177=1,$I177,0)</f>
        <v/>
      </c>
      <c r="R189" s="20" t="n"/>
      <c r="S189" s="20" t="n"/>
      <c r="T189" s="20" t="n"/>
    </row>
    <row r="190" ht="18.75" customHeight="1">
      <c r="A190" s="12" t="n"/>
      <c r="B190" s="31" t="n"/>
      <c r="C190" s="12" t="n"/>
      <c r="D190" s="12" t="n"/>
      <c r="E190" s="12" t="n"/>
      <c r="F190" s="31" t="n"/>
      <c r="G190" s="12" t="n"/>
      <c r="H190" s="14">
        <f>IFERROR(VLOOKUP($B190,$A$25:$N$62,7,FALSE),"")</f>
        <v/>
      </c>
      <c r="I190" s="15">
        <f>IF($H178="Minor",1,IF($H178="Moderate",2,IF($H178="Major",3,IF($H178="Critical",4,""))))</f>
        <v/>
      </c>
      <c r="J190" s="16" t="n"/>
      <c r="K190" s="16" t="n"/>
      <c r="L190" s="15">
        <f>IF(OR($G190="Exact TP",$G190="Equivalent TP"),1,0)</f>
        <v/>
      </c>
      <c r="M190" s="15">
        <f>IF(OR($G190="FP Extra",$G190="Harmful FP"),1,0)</f>
        <v/>
      </c>
      <c r="N190" s="15">
        <f>IF(OR($G190="FN",$G190="Partial"),1,0)</f>
        <v/>
      </c>
      <c r="O190" s="15">
        <f>IF($L178=1,$I178,0)</f>
        <v/>
      </c>
      <c r="P190" s="15">
        <f>IF($M178=1,$I178,0)</f>
        <v/>
      </c>
      <c r="Q190" s="15">
        <f>IF($N178=1,$I178,0)</f>
        <v/>
      </c>
      <c r="R190" s="20" t="n"/>
      <c r="S190" s="20" t="n"/>
      <c r="T190" s="20" t="n"/>
    </row>
    <row r="191" ht="18.75" customHeight="1">
      <c r="A191" s="12" t="n"/>
      <c r="B191" s="31" t="n"/>
      <c r="C191" s="12" t="n"/>
      <c r="D191" s="12" t="n"/>
      <c r="E191" s="12" t="n"/>
      <c r="F191" s="31" t="n"/>
      <c r="G191" s="12" t="n"/>
      <c r="H191" s="14">
        <f>IFERROR(VLOOKUP($B191,$A$25:$N$62,7,FALSE),"")</f>
        <v/>
      </c>
      <c r="I191" s="15">
        <f>IF($H179="Minor",1,IF($H179="Moderate",2,IF($H179="Major",3,IF($H179="Critical",4,""))))</f>
        <v/>
      </c>
      <c r="J191" s="16" t="n"/>
      <c r="K191" s="16" t="n"/>
      <c r="L191" s="15">
        <f>IF(OR($G191="Exact TP",$G191="Equivalent TP"),1,0)</f>
        <v/>
      </c>
      <c r="M191" s="15">
        <f>IF(OR($G191="FP Extra",$G191="Harmful FP"),1,0)</f>
        <v/>
      </c>
      <c r="N191" s="15">
        <f>IF(OR($G191="FN",$G191="Partial"),1,0)</f>
        <v/>
      </c>
      <c r="O191" s="15">
        <f>IF($L179=1,$I179,0)</f>
        <v/>
      </c>
      <c r="P191" s="15">
        <f>IF($M179=1,$I179,0)</f>
        <v/>
      </c>
      <c r="Q191" s="15">
        <f>IF($N179=1,$I179,0)</f>
        <v/>
      </c>
      <c r="R191" s="20" t="n"/>
      <c r="S191" s="20" t="n"/>
      <c r="T191" s="20" t="n"/>
    </row>
    <row r="192" ht="18.75" customHeight="1">
      <c r="A192" s="12" t="n"/>
      <c r="B192" s="31" t="n"/>
      <c r="C192" s="12" t="n"/>
      <c r="D192" s="12" t="n"/>
      <c r="E192" s="12" t="n"/>
      <c r="F192" s="31" t="n"/>
      <c r="G192" s="12" t="n"/>
      <c r="H192" s="14">
        <f>IFERROR(VLOOKUP($B192,$A$25:$N$62,7,FALSE),"")</f>
        <v/>
      </c>
      <c r="I192" s="15">
        <f>IF($H180="Minor",1,IF($H180="Moderate",2,IF($H180="Major",3,IF($H180="Critical",4,""))))</f>
        <v/>
      </c>
      <c r="J192" s="16" t="n"/>
      <c r="K192" s="16" t="n"/>
      <c r="L192" s="15">
        <f>IF(OR($G192="Exact TP",$G192="Equivalent TP"),1,0)</f>
        <v/>
      </c>
      <c r="M192" s="15">
        <f>IF(OR($G192="FP Extra",$G192="Harmful FP"),1,0)</f>
        <v/>
      </c>
      <c r="N192" s="15">
        <f>IF(OR($G192="FN",$G192="Partial"),1,0)</f>
        <v/>
      </c>
      <c r="O192" s="15">
        <f>IF($L180=1,$I180,0)</f>
        <v/>
      </c>
      <c r="P192" s="15">
        <f>IF($M180=1,$I180,0)</f>
        <v/>
      </c>
      <c r="Q192" s="15">
        <f>IF($N180=1,$I180,0)</f>
        <v/>
      </c>
      <c r="R192" s="20" t="n"/>
      <c r="S192" s="20" t="n"/>
      <c r="T192" s="20" t="n"/>
    </row>
    <row r="193" ht="18.75" customHeight="1">
      <c r="A193" s="12" t="n"/>
      <c r="B193" s="31" t="n"/>
      <c r="C193" s="12" t="n"/>
      <c r="D193" s="12" t="n"/>
      <c r="E193" s="12" t="n"/>
      <c r="F193" s="31" t="n"/>
      <c r="G193" s="12" t="n"/>
      <c r="H193" s="14">
        <f>IFERROR(VLOOKUP($B193,$A$25:$N$62,7,FALSE),"")</f>
        <v/>
      </c>
      <c r="I193" s="15">
        <f>IF($H181="Minor",1,IF($H181="Moderate",2,IF($H181="Major",3,IF($H181="Critical",4,""))))</f>
        <v/>
      </c>
      <c r="J193" s="16" t="n"/>
      <c r="K193" s="16" t="n"/>
      <c r="L193" s="15">
        <f>IF(OR($G193="Exact TP",$G193="Equivalent TP"),1,0)</f>
        <v/>
      </c>
      <c r="M193" s="15">
        <f>IF(OR($G193="FP Extra",$G193="Harmful FP"),1,0)</f>
        <v/>
      </c>
      <c r="N193" s="15">
        <f>IF(OR($G193="FN",$G193="Partial"),1,0)</f>
        <v/>
      </c>
      <c r="O193" s="15">
        <f>IF($L181=1,$I181,0)</f>
        <v/>
      </c>
      <c r="P193" s="15">
        <f>IF($M181=1,$I181,0)</f>
        <v/>
      </c>
      <c r="Q193" s="15">
        <f>IF($N181=1,$I181,0)</f>
        <v/>
      </c>
      <c r="R193" s="20" t="n"/>
      <c r="S193" s="20" t="n"/>
      <c r="T193" s="20" t="n"/>
    </row>
    <row r="194" ht="18.75" customHeight="1">
      <c r="A194" s="12" t="n"/>
      <c r="B194" s="31" t="n"/>
      <c r="C194" s="12" t="n"/>
      <c r="D194" s="12" t="n"/>
      <c r="E194" s="12" t="n"/>
      <c r="F194" s="31" t="n"/>
      <c r="G194" s="12" t="n"/>
      <c r="H194" s="14">
        <f>IFERROR(VLOOKUP($B194,$A$25:$N$62,7,FALSE),"")</f>
        <v/>
      </c>
      <c r="I194" s="15">
        <f>IF($H182="Minor",1,IF($H182="Moderate",2,IF($H182="Major",3,IF($H182="Critical",4,""))))</f>
        <v/>
      </c>
      <c r="J194" s="16" t="n"/>
      <c r="K194" s="16" t="n"/>
      <c r="L194" s="15">
        <f>IF(OR($G194="Exact TP",$G194="Equivalent TP"),1,0)</f>
        <v/>
      </c>
      <c r="M194" s="15">
        <f>IF(OR($G194="FP Extra",$G194="Harmful FP"),1,0)</f>
        <v/>
      </c>
      <c r="N194" s="15">
        <f>IF(OR($G194="FN",$G194="Partial"),1,0)</f>
        <v/>
      </c>
      <c r="O194" s="15">
        <f>IF($L182=1,$I182,0)</f>
        <v/>
      </c>
      <c r="P194" s="15">
        <f>IF($M182=1,$I182,0)</f>
        <v/>
      </c>
      <c r="Q194" s="15">
        <f>IF($N182=1,$I182,0)</f>
        <v/>
      </c>
      <c r="R194" s="20" t="n"/>
      <c r="S194" s="20" t="n"/>
      <c r="T194" s="20" t="n"/>
    </row>
    <row r="195" ht="18.75" customHeight="1">
      <c r="A195" s="12" t="n"/>
      <c r="B195" s="31" t="n"/>
      <c r="C195" s="12" t="n"/>
      <c r="D195" s="12" t="n"/>
      <c r="E195" s="12" t="n"/>
      <c r="F195" s="31" t="n"/>
      <c r="G195" s="12" t="n"/>
      <c r="H195" s="14">
        <f>IFERROR(VLOOKUP($B195,$A$25:$N$62,7,FALSE),"")</f>
        <v/>
      </c>
      <c r="I195" s="15">
        <f>IF($H183="Minor",1,IF($H183="Moderate",2,IF($H183="Major",3,IF($H183="Critical",4,""))))</f>
        <v/>
      </c>
      <c r="J195" s="16" t="n"/>
      <c r="K195" s="16" t="n"/>
      <c r="L195" s="15">
        <f>IF(OR($G195="Exact TP",$G195="Equivalent TP"),1,0)</f>
        <v/>
      </c>
      <c r="M195" s="15">
        <f>IF(OR($G195="FP Extra",$G195="Harmful FP"),1,0)</f>
        <v/>
      </c>
      <c r="N195" s="15">
        <f>IF(OR($G195="FN",$G195="Partial"),1,0)</f>
        <v/>
      </c>
      <c r="O195" s="15">
        <f>IF($L183=1,$I183,0)</f>
        <v/>
      </c>
      <c r="P195" s="15">
        <f>IF($M183=1,$I183,0)</f>
        <v/>
      </c>
      <c r="Q195" s="15">
        <f>IF($N183=1,$I183,0)</f>
        <v/>
      </c>
      <c r="R195" s="20" t="n"/>
      <c r="S195" s="20" t="n"/>
      <c r="T195" s="20" t="n"/>
    </row>
    <row r="196" ht="18.75" customHeight="1">
      <c r="A196" s="12" t="n"/>
      <c r="B196" s="31" t="n"/>
      <c r="C196" s="12" t="n"/>
      <c r="D196" s="12" t="n"/>
      <c r="E196" s="12" t="n"/>
      <c r="F196" s="31" t="n"/>
      <c r="G196" s="12" t="n"/>
      <c r="H196" s="14">
        <f>IFERROR(VLOOKUP($B196,$A$25:$N$62,7,FALSE),"")</f>
        <v/>
      </c>
      <c r="I196" s="15">
        <f>IF($H184="Minor",1,IF($H184="Moderate",2,IF($H184="Major",3,IF($H184="Critical",4,""))))</f>
        <v/>
      </c>
      <c r="J196" s="16" t="n"/>
      <c r="K196" s="16" t="n"/>
      <c r="L196" s="15">
        <f>IF(OR($G196="Exact TP",$G196="Equivalent TP"),1,0)</f>
        <v/>
      </c>
      <c r="M196" s="15">
        <f>IF(OR($G196="FP Extra",$G196="Harmful FP"),1,0)</f>
        <v/>
      </c>
      <c r="N196" s="15">
        <f>IF(OR($G196="FN",$G196="Partial"),1,0)</f>
        <v/>
      </c>
      <c r="O196" s="15">
        <f>IF($L184=1,$I184,0)</f>
        <v/>
      </c>
      <c r="P196" s="15">
        <f>IF($M184=1,$I184,0)</f>
        <v/>
      </c>
      <c r="Q196" s="15">
        <f>IF($N184=1,$I184,0)</f>
        <v/>
      </c>
      <c r="R196" s="20" t="n"/>
      <c r="S196" s="20" t="n"/>
      <c r="T196" s="20" t="n"/>
    </row>
    <row r="197" ht="18.75" customHeight="1">
      <c r="A197" s="12" t="n"/>
      <c r="B197" s="31" t="n"/>
      <c r="C197" s="12" t="n"/>
      <c r="D197" s="12" t="n"/>
      <c r="E197" s="12" t="n"/>
      <c r="F197" s="31" t="n"/>
      <c r="G197" s="12" t="n"/>
      <c r="H197" s="14">
        <f>IFERROR(VLOOKUP($B197,$A$25:$N$62,7,FALSE),"")</f>
        <v/>
      </c>
      <c r="I197" s="15">
        <f>IF($H185="Minor",1,IF($H185="Moderate",2,IF($H185="Major",3,IF($H185="Critical",4,""))))</f>
        <v/>
      </c>
      <c r="J197" s="16" t="n"/>
      <c r="K197" s="16" t="n"/>
      <c r="L197" s="15">
        <f>IF(OR($G197="Exact TP",$G197="Equivalent TP"),1,0)</f>
        <v/>
      </c>
      <c r="M197" s="15">
        <f>IF(OR($G197="FP Extra",$G197="Harmful FP"),1,0)</f>
        <v/>
      </c>
      <c r="N197" s="15">
        <f>IF(OR($G197="FN",$G197="Partial"),1,0)</f>
        <v/>
      </c>
      <c r="O197" s="15">
        <f>IF($L185=1,$I185,0)</f>
        <v/>
      </c>
      <c r="P197" s="15">
        <f>IF($M185=1,$I185,0)</f>
        <v/>
      </c>
      <c r="Q197" s="15">
        <f>IF($N185=1,$I185,0)</f>
        <v/>
      </c>
      <c r="R197" s="20" t="n"/>
      <c r="S197" s="20" t="n"/>
      <c r="T197" s="20" t="n"/>
    </row>
    <row r="198" ht="18.75" customHeight="1">
      <c r="A198" s="12" t="n"/>
      <c r="B198" s="31" t="n"/>
      <c r="C198" s="12" t="n"/>
      <c r="D198" s="12" t="n"/>
      <c r="E198" s="12" t="n"/>
      <c r="F198" s="31" t="n"/>
      <c r="G198" s="12" t="n"/>
      <c r="H198" s="14">
        <f>IFERROR(VLOOKUP($B198,$A$25:$N$62,7,FALSE),"")</f>
        <v/>
      </c>
      <c r="I198" s="15">
        <f>IF($H186="Minor",1,IF($H186="Moderate",2,IF($H186="Major",3,IF($H186="Critical",4,""))))</f>
        <v/>
      </c>
      <c r="J198" s="16" t="n"/>
      <c r="K198" s="16" t="n"/>
      <c r="L198" s="15">
        <f>IF(OR($G198="Exact TP",$G198="Equivalent TP"),1,0)</f>
        <v/>
      </c>
      <c r="M198" s="15">
        <f>IF(OR($G198="FP Extra",$G198="Harmful FP"),1,0)</f>
        <v/>
      </c>
      <c r="N198" s="15">
        <f>IF(OR($G198="FN",$G198="Partial"),1,0)</f>
        <v/>
      </c>
      <c r="O198" s="15">
        <f>IF($L186=1,$I186,0)</f>
        <v/>
      </c>
      <c r="P198" s="15">
        <f>IF($M186=1,$I186,0)</f>
        <v/>
      </c>
      <c r="Q198" s="15">
        <f>IF($N186=1,$I186,0)</f>
        <v/>
      </c>
      <c r="R198" s="20" t="n"/>
      <c r="S198" s="20" t="n"/>
      <c r="T198" s="20" t="n"/>
    </row>
    <row r="199" ht="18.75" customHeight="1">
      <c r="A199" s="12" t="n"/>
      <c r="B199" s="31" t="n"/>
      <c r="C199" s="12" t="n"/>
      <c r="D199" s="12" t="n"/>
      <c r="E199" s="12" t="n"/>
      <c r="F199" s="31" t="n"/>
      <c r="G199" s="12" t="n"/>
      <c r="H199" s="14">
        <f>IFERROR(VLOOKUP($B199,$A$25:$N$62,7,FALSE),"")</f>
        <v/>
      </c>
      <c r="I199" s="15">
        <f>IF($H187="Minor",1,IF($H187="Moderate",2,IF($H187="Major",3,IF($H187="Critical",4,""))))</f>
        <v/>
      </c>
      <c r="J199" s="16" t="n"/>
      <c r="K199" s="16" t="n"/>
      <c r="L199" s="15">
        <f>IF(OR($G199="Exact TP",$G199="Equivalent TP"),1,0)</f>
        <v/>
      </c>
      <c r="M199" s="15">
        <f>IF(OR($G199="FP Extra",$G199="Harmful FP"),1,0)</f>
        <v/>
      </c>
      <c r="N199" s="15">
        <f>IF(OR($G199="FN",$G199="Partial"),1,0)</f>
        <v/>
      </c>
      <c r="O199" s="15">
        <f>IF($L187=1,$I187,0)</f>
        <v/>
      </c>
      <c r="P199" s="15">
        <f>IF($M187=1,$I187,0)</f>
        <v/>
      </c>
      <c r="Q199" s="15">
        <f>IF($N187=1,$I187,0)</f>
        <v/>
      </c>
      <c r="R199" s="20" t="n"/>
      <c r="S199" s="20" t="n"/>
      <c r="T199" s="20" t="n"/>
    </row>
    <row r="200" ht="18.75" customHeight="1">
      <c r="A200" s="12" t="n"/>
      <c r="B200" s="31" t="n"/>
      <c r="C200" s="12" t="n"/>
      <c r="D200" s="12" t="n"/>
      <c r="E200" s="12" t="n"/>
      <c r="F200" s="31" t="n"/>
      <c r="G200" s="12" t="n"/>
      <c r="H200" s="14">
        <f>IFERROR(VLOOKUP($B200,$A$25:$N$62,7,FALSE),"")</f>
        <v/>
      </c>
      <c r="I200" s="15">
        <f>IF($H188="Minor",1,IF($H188="Moderate",2,IF($H188="Major",3,IF($H188="Critical",4,""))))</f>
        <v/>
      </c>
      <c r="J200" s="16" t="n"/>
      <c r="K200" s="16" t="n"/>
      <c r="L200" s="15">
        <f>IF(OR($G200="Exact TP",$G200="Equivalent TP"),1,0)</f>
        <v/>
      </c>
      <c r="M200" s="15">
        <f>IF(OR($G200="FP Extra",$G200="Harmful FP"),1,0)</f>
        <v/>
      </c>
      <c r="N200" s="15">
        <f>IF(OR($G200="FN",$G200="Partial"),1,0)</f>
        <v/>
      </c>
      <c r="O200" s="15">
        <f>IF($L188=1,$I188,0)</f>
        <v/>
      </c>
      <c r="P200" s="15">
        <f>IF($M188=1,$I188,0)</f>
        <v/>
      </c>
      <c r="Q200" s="15">
        <f>IF($N188=1,$I188,0)</f>
        <v/>
      </c>
      <c r="R200" s="20" t="n"/>
      <c r="S200" s="20" t="n"/>
      <c r="T200" s="20" t="n"/>
    </row>
    <row r="201" ht="18.75" customHeight="1">
      <c r="A201" s="12" t="n"/>
      <c r="B201" s="31" t="n"/>
      <c r="C201" s="12" t="n"/>
      <c r="D201" s="12" t="n"/>
      <c r="E201" s="12" t="n"/>
      <c r="F201" s="31" t="n"/>
      <c r="G201" s="12" t="n"/>
      <c r="H201" s="14">
        <f>IFERROR(VLOOKUP($B201,$A$25:$N$62,7,FALSE),"")</f>
        <v/>
      </c>
      <c r="I201" s="15">
        <f>IF($H189="Minor",1,IF($H189="Moderate",2,IF($H189="Major",3,IF($H189="Critical",4,""))))</f>
        <v/>
      </c>
      <c r="J201" s="16" t="n"/>
      <c r="K201" s="16" t="n"/>
      <c r="L201" s="15">
        <f>IF(OR($G201="Exact TP",$G201="Equivalent TP"),1,0)</f>
        <v/>
      </c>
      <c r="M201" s="15">
        <f>IF(OR($G201="FP Extra",$G201="Harmful FP"),1,0)</f>
        <v/>
      </c>
      <c r="N201" s="15">
        <f>IF(OR($G201="FN",$G201="Partial"),1,0)</f>
        <v/>
      </c>
      <c r="O201" s="15">
        <f>IF($L189=1,$I189,0)</f>
        <v/>
      </c>
      <c r="P201" s="15">
        <f>IF($M189=1,$I189,0)</f>
        <v/>
      </c>
      <c r="Q201" s="15">
        <f>IF($N189=1,$I189,0)</f>
        <v/>
      </c>
      <c r="R201" s="20" t="n"/>
      <c r="S201" s="20" t="n"/>
      <c r="T201" s="20" t="n"/>
    </row>
    <row r="202" ht="18.75" customHeight="1">
      <c r="A202" s="12" t="n"/>
      <c r="B202" s="31" t="n"/>
      <c r="C202" s="12" t="n"/>
      <c r="D202" s="12" t="n"/>
      <c r="E202" s="12" t="n"/>
      <c r="F202" s="31" t="n"/>
      <c r="G202" s="12" t="n"/>
      <c r="H202" s="14">
        <f>IFERROR(VLOOKUP($B202,$A$25:$N$62,7,FALSE),"")</f>
        <v/>
      </c>
      <c r="I202" s="15">
        <f>IF($H190="Minor",1,IF($H190="Moderate",2,IF($H190="Major",3,IF($H190="Critical",4,""))))</f>
        <v/>
      </c>
      <c r="J202" s="16" t="n"/>
      <c r="K202" s="16" t="n"/>
      <c r="L202" s="15">
        <f>IF(OR($G202="Exact TP",$G202="Equivalent TP"),1,0)</f>
        <v/>
      </c>
      <c r="M202" s="15">
        <f>IF(OR($G202="FP Extra",$G202="Harmful FP"),1,0)</f>
        <v/>
      </c>
      <c r="N202" s="15">
        <f>IF(OR($G202="FN",$G202="Partial"),1,0)</f>
        <v/>
      </c>
      <c r="O202" s="15">
        <f>IF($L190=1,$I190,0)</f>
        <v/>
      </c>
      <c r="P202" s="15">
        <f>IF($M190=1,$I190,0)</f>
        <v/>
      </c>
      <c r="Q202" s="15">
        <f>IF($N190=1,$I190,0)</f>
        <v/>
      </c>
      <c r="R202" s="20" t="n"/>
      <c r="S202" s="20" t="n"/>
      <c r="T202" s="20" t="n"/>
    </row>
    <row r="203" ht="18.75" customHeight="1">
      <c r="A203" s="12" t="n"/>
      <c r="B203" s="31" t="n"/>
      <c r="C203" s="12" t="n"/>
      <c r="D203" s="12" t="n"/>
      <c r="E203" s="12" t="n"/>
      <c r="F203" s="31" t="n"/>
      <c r="G203" s="12" t="n"/>
      <c r="H203" s="14">
        <f>IFERROR(VLOOKUP($B203,$A$25:$N$62,7,FALSE),"")</f>
        <v/>
      </c>
      <c r="I203" s="15">
        <f>IF($H191="Minor",1,IF($H191="Moderate",2,IF($H191="Major",3,IF($H191="Critical",4,""))))</f>
        <v/>
      </c>
      <c r="J203" s="16" t="n"/>
      <c r="K203" s="16" t="n"/>
      <c r="L203" s="15">
        <f>IF(OR($G203="Exact TP",$G203="Equivalent TP"),1,0)</f>
        <v/>
      </c>
      <c r="M203" s="15">
        <f>IF(OR($G203="FP Extra",$G203="Harmful FP"),1,0)</f>
        <v/>
      </c>
      <c r="N203" s="15">
        <f>IF(OR($G203="FN",$G203="Partial"),1,0)</f>
        <v/>
      </c>
      <c r="O203" s="15">
        <f>IF($L191=1,$I191,0)</f>
        <v/>
      </c>
      <c r="P203" s="15">
        <f>IF($M191=1,$I191,0)</f>
        <v/>
      </c>
      <c r="Q203" s="15">
        <f>IF($N191=1,$I191,0)</f>
        <v/>
      </c>
      <c r="R203" s="20" t="n"/>
      <c r="S203" s="20" t="n"/>
      <c r="T203" s="20" t="n"/>
    </row>
    <row r="204" ht="18.75" customHeight="1">
      <c r="A204" s="12" t="n"/>
      <c r="B204" s="31" t="n"/>
      <c r="C204" s="12" t="n"/>
      <c r="D204" s="12" t="n"/>
      <c r="E204" s="12" t="n"/>
      <c r="F204" s="31" t="n"/>
      <c r="G204" s="12" t="n"/>
      <c r="H204" s="14">
        <f>IFERROR(VLOOKUP($B204,$A$25:$N$62,7,FALSE),"")</f>
        <v/>
      </c>
      <c r="I204" s="15">
        <f>IF($H192="Minor",1,IF($H192="Moderate",2,IF($H192="Major",3,IF($H192="Critical",4,""))))</f>
        <v/>
      </c>
      <c r="J204" s="16" t="n"/>
      <c r="K204" s="16" t="n"/>
      <c r="L204" s="15">
        <f>IF(OR($G204="Exact TP",$G204="Equivalent TP"),1,0)</f>
        <v/>
      </c>
      <c r="M204" s="15">
        <f>IF(OR($G204="FP Extra",$G204="Harmful FP"),1,0)</f>
        <v/>
      </c>
      <c r="N204" s="15">
        <f>IF(OR($G204="FN",$G204="Partial"),1,0)</f>
        <v/>
      </c>
      <c r="O204" s="15">
        <f>IF($L192=1,$I192,0)</f>
        <v/>
      </c>
      <c r="P204" s="15">
        <f>IF($M192=1,$I192,0)</f>
        <v/>
      </c>
      <c r="Q204" s="15">
        <f>IF($N192=1,$I192,0)</f>
        <v/>
      </c>
      <c r="R204" s="20" t="n"/>
      <c r="S204" s="20" t="n"/>
      <c r="T204" s="20" t="n"/>
    </row>
    <row r="205" ht="18.75" customHeight="1">
      <c r="A205" s="12" t="n"/>
      <c r="B205" s="31" t="n"/>
      <c r="C205" s="12" t="n"/>
      <c r="D205" s="12" t="n"/>
      <c r="E205" s="12" t="n"/>
      <c r="F205" s="31" t="n"/>
      <c r="G205" s="12" t="n"/>
      <c r="H205" s="14">
        <f>IFERROR(VLOOKUP($B205,$A$25:$N$62,7,FALSE),"")</f>
        <v/>
      </c>
      <c r="I205" s="15">
        <f>IF($H193="Minor",1,IF($H193="Moderate",2,IF($H193="Major",3,IF($H193="Critical",4,""))))</f>
        <v/>
      </c>
      <c r="J205" s="16" t="n"/>
      <c r="K205" s="16" t="n"/>
      <c r="L205" s="15">
        <f>IF(OR($G205="Exact TP",$G205="Equivalent TP"),1,0)</f>
        <v/>
      </c>
      <c r="M205" s="15">
        <f>IF(OR($G205="FP Extra",$G205="Harmful FP"),1,0)</f>
        <v/>
      </c>
      <c r="N205" s="15">
        <f>IF(OR($G205="FN",$G205="Partial"),1,0)</f>
        <v/>
      </c>
      <c r="O205" s="15">
        <f>IF($L193=1,$I193,0)</f>
        <v/>
      </c>
      <c r="P205" s="15">
        <f>IF($M193=1,$I193,0)</f>
        <v/>
      </c>
      <c r="Q205" s="15">
        <f>IF($N193=1,$I193,0)</f>
        <v/>
      </c>
      <c r="R205" s="20" t="n"/>
      <c r="S205" s="20" t="n"/>
      <c r="T205" s="20" t="n"/>
    </row>
    <row r="206" ht="18.75" customHeight="1">
      <c r="A206" s="12" t="n"/>
      <c r="B206" s="31" t="n"/>
      <c r="C206" s="12" t="n"/>
      <c r="D206" s="12" t="n"/>
      <c r="E206" s="12" t="n"/>
      <c r="F206" s="31" t="n"/>
      <c r="G206" s="12" t="n"/>
      <c r="H206" s="14">
        <f>IFERROR(VLOOKUP($B206,$A$25:$N$62,7,FALSE),"")</f>
        <v/>
      </c>
      <c r="I206" s="15">
        <f>IF($H194="Minor",1,IF($H194="Moderate",2,IF($H194="Major",3,IF($H194="Critical",4,""))))</f>
        <v/>
      </c>
      <c r="J206" s="16" t="n"/>
      <c r="K206" s="16" t="n"/>
      <c r="L206" s="15">
        <f>IF(OR($G206="Exact TP",$G206="Equivalent TP"),1,0)</f>
        <v/>
      </c>
      <c r="M206" s="15">
        <f>IF(OR($G206="FP Extra",$G206="Harmful FP"),1,0)</f>
        <v/>
      </c>
      <c r="N206" s="15">
        <f>IF(OR($G206="FN",$G206="Partial"),1,0)</f>
        <v/>
      </c>
      <c r="O206" s="15">
        <f>IF($L194=1,$I194,0)</f>
        <v/>
      </c>
      <c r="P206" s="15">
        <f>IF($M194=1,$I194,0)</f>
        <v/>
      </c>
      <c r="Q206" s="15">
        <f>IF($N194=1,$I194,0)</f>
        <v/>
      </c>
      <c r="R206" s="20" t="n"/>
      <c r="S206" s="20" t="n"/>
      <c r="T206" s="20" t="n"/>
    </row>
    <row r="207" ht="18.75" customHeight="1">
      <c r="A207" s="12" t="n"/>
      <c r="B207" s="31" t="n"/>
      <c r="C207" s="12" t="n"/>
      <c r="D207" s="12" t="n"/>
      <c r="E207" s="12" t="n"/>
      <c r="F207" s="31" t="n"/>
      <c r="G207" s="12" t="n"/>
      <c r="H207" s="14">
        <f>IFERROR(VLOOKUP($B207,$A$25:$N$62,7,FALSE),"")</f>
        <v/>
      </c>
      <c r="I207" s="15">
        <f>IF($H195="Minor",1,IF($H195="Moderate",2,IF($H195="Major",3,IF($H195="Critical",4,""))))</f>
        <v/>
      </c>
      <c r="J207" s="16" t="n"/>
      <c r="K207" s="16" t="n"/>
      <c r="L207" s="15">
        <f>IF(OR($G207="Exact TP",$G207="Equivalent TP"),1,0)</f>
        <v/>
      </c>
      <c r="M207" s="15">
        <f>IF(OR($G207="FP Extra",$G207="Harmful FP"),1,0)</f>
        <v/>
      </c>
      <c r="N207" s="15">
        <f>IF(OR($G207="FN",$G207="Partial"),1,0)</f>
        <v/>
      </c>
      <c r="O207" s="15">
        <f>IF($L195=1,$I195,0)</f>
        <v/>
      </c>
      <c r="P207" s="15">
        <f>IF($M195=1,$I195,0)</f>
        <v/>
      </c>
      <c r="Q207" s="15">
        <f>IF($N195=1,$I195,0)</f>
        <v/>
      </c>
      <c r="R207" s="20" t="n"/>
      <c r="S207" s="20" t="n"/>
      <c r="T207" s="20" t="n"/>
    </row>
    <row r="208" ht="18.75" customHeight="1">
      <c r="A208" s="12" t="n"/>
      <c r="B208" s="31" t="n"/>
      <c r="C208" s="12" t="n"/>
      <c r="D208" s="12" t="n"/>
      <c r="E208" s="12" t="n"/>
      <c r="F208" s="31" t="n"/>
      <c r="G208" s="12" t="n"/>
      <c r="H208" s="14">
        <f>IFERROR(VLOOKUP($B208,$A$25:$N$62,7,FALSE),"")</f>
        <v/>
      </c>
      <c r="I208" s="15">
        <f>IF($H196="Minor",1,IF($H196="Moderate",2,IF($H196="Major",3,IF($H196="Critical",4,""))))</f>
        <v/>
      </c>
      <c r="J208" s="16" t="n"/>
      <c r="K208" s="16" t="n"/>
      <c r="L208" s="15">
        <f>IF(OR($G208="Exact TP",$G208="Equivalent TP"),1,0)</f>
        <v/>
      </c>
      <c r="M208" s="15">
        <f>IF(OR($G208="FP Extra",$G208="Harmful FP"),1,0)</f>
        <v/>
      </c>
      <c r="N208" s="15">
        <f>IF(OR($G208="FN",$G208="Partial"),1,0)</f>
        <v/>
      </c>
      <c r="O208" s="15">
        <f>IF($L196=1,$I196,0)</f>
        <v/>
      </c>
      <c r="P208" s="15">
        <f>IF($M196=1,$I196,0)</f>
        <v/>
      </c>
      <c r="Q208" s="15">
        <f>IF($N196=1,$I196,0)</f>
        <v/>
      </c>
      <c r="R208" s="20" t="n"/>
      <c r="S208" s="20" t="n"/>
      <c r="T208" s="20" t="n"/>
    </row>
    <row r="209" ht="18.75" customHeight="1">
      <c r="A209" s="12" t="n"/>
      <c r="B209" s="31" t="n"/>
      <c r="C209" s="12" t="n"/>
      <c r="D209" s="12" t="n"/>
      <c r="E209" s="12" t="n"/>
      <c r="F209" s="31" t="n"/>
      <c r="G209" s="12" t="n"/>
      <c r="H209" s="14">
        <f>IFERROR(VLOOKUP($B209,$A$25:$N$62,7,FALSE),"")</f>
        <v/>
      </c>
      <c r="I209" s="15">
        <f>IF($H197="Minor",1,IF($H197="Moderate",2,IF($H197="Major",3,IF($H197="Critical",4,""))))</f>
        <v/>
      </c>
      <c r="J209" s="16" t="n"/>
      <c r="K209" s="16" t="n"/>
      <c r="L209" s="15">
        <f>IF(OR($G209="Exact TP",$G209="Equivalent TP"),1,0)</f>
        <v/>
      </c>
      <c r="M209" s="15">
        <f>IF(OR($G209="FP Extra",$G209="Harmful FP"),1,0)</f>
        <v/>
      </c>
      <c r="N209" s="15">
        <f>IF(OR($G209="FN",$G209="Partial"),1,0)</f>
        <v/>
      </c>
      <c r="O209" s="15">
        <f>IF($L197=1,$I197,0)</f>
        <v/>
      </c>
      <c r="P209" s="15">
        <f>IF($M197=1,$I197,0)</f>
        <v/>
      </c>
      <c r="Q209" s="15">
        <f>IF($N197=1,$I197,0)</f>
        <v/>
      </c>
      <c r="R209" s="20" t="n"/>
      <c r="S209" s="20" t="n"/>
      <c r="T209" s="20" t="n"/>
    </row>
    <row r="210" ht="18.75" customHeight="1">
      <c r="A210" s="12" t="n"/>
      <c r="B210" s="31" t="n"/>
      <c r="C210" s="12" t="n"/>
      <c r="D210" s="12" t="n"/>
      <c r="E210" s="12" t="n"/>
      <c r="F210" s="31" t="n"/>
      <c r="G210" s="12" t="n"/>
      <c r="H210" s="14">
        <f>IFERROR(VLOOKUP($B210,$A$25:$N$62,7,FALSE),"")</f>
        <v/>
      </c>
      <c r="I210" s="15">
        <f>IF($H198="Minor",1,IF($H198="Moderate",2,IF($H198="Major",3,IF($H198="Critical",4,""))))</f>
        <v/>
      </c>
      <c r="J210" s="16" t="n"/>
      <c r="K210" s="16" t="n"/>
      <c r="L210" s="15">
        <f>IF(OR($G210="Exact TP",$G210="Equivalent TP"),1,0)</f>
        <v/>
      </c>
      <c r="M210" s="15">
        <f>IF(OR($G210="FP Extra",$G210="Harmful FP"),1,0)</f>
        <v/>
      </c>
      <c r="N210" s="15">
        <f>IF(OR($G210="FN",$G210="Partial"),1,0)</f>
        <v/>
      </c>
      <c r="O210" s="15">
        <f>IF($L198=1,$I198,0)</f>
        <v/>
      </c>
      <c r="P210" s="15">
        <f>IF($M198=1,$I198,0)</f>
        <v/>
      </c>
      <c r="Q210" s="15">
        <f>IF($N198=1,$I198,0)</f>
        <v/>
      </c>
      <c r="R210" s="20" t="n"/>
      <c r="S210" s="20" t="n"/>
      <c r="T210" s="20" t="n"/>
    </row>
    <row r="211" ht="18.75" customHeight="1">
      <c r="A211" s="12" t="n"/>
      <c r="B211" s="31" t="n"/>
      <c r="C211" s="12" t="n"/>
      <c r="D211" s="12" t="n"/>
      <c r="E211" s="12" t="n"/>
      <c r="F211" s="31" t="n"/>
      <c r="G211" s="12" t="n"/>
      <c r="H211" s="14">
        <f>IFERROR(VLOOKUP($B211,$A$25:$N$62,7,FALSE),"")</f>
        <v/>
      </c>
      <c r="I211" s="15">
        <f>IF($H199="Minor",1,IF($H199="Moderate",2,IF($H199="Major",3,IF($H199="Critical",4,""))))</f>
        <v/>
      </c>
      <c r="J211" s="16" t="n"/>
      <c r="K211" s="16" t="n"/>
      <c r="L211" s="15">
        <f>IF(OR($G211="Exact TP",$G211="Equivalent TP"),1,0)</f>
        <v/>
      </c>
      <c r="M211" s="15">
        <f>IF(OR($G211="FP Extra",$G211="Harmful FP"),1,0)</f>
        <v/>
      </c>
      <c r="N211" s="15">
        <f>IF(OR($G211="FN",$G211="Partial"),1,0)</f>
        <v/>
      </c>
      <c r="O211" s="15">
        <f>IF($L199=1,$I199,0)</f>
        <v/>
      </c>
      <c r="P211" s="15">
        <f>IF($M199=1,$I199,0)</f>
        <v/>
      </c>
      <c r="Q211" s="15">
        <f>IF($N199=1,$I199,0)</f>
        <v/>
      </c>
      <c r="R211" s="20" t="n"/>
      <c r="S211" s="20" t="n"/>
      <c r="T211" s="20" t="n"/>
    </row>
    <row r="212" ht="18.75" customHeight="1">
      <c r="A212" s="12" t="n"/>
      <c r="B212" s="31" t="n"/>
      <c r="C212" s="12" t="n"/>
      <c r="D212" s="12" t="n"/>
      <c r="E212" s="12" t="n"/>
      <c r="F212" s="31" t="n"/>
      <c r="G212" s="12" t="n"/>
      <c r="H212" s="14">
        <f>IFERROR(VLOOKUP($B212,$A$25:$N$62,7,FALSE),"")</f>
        <v/>
      </c>
      <c r="I212" s="15">
        <f>IF($H200="Minor",1,IF($H200="Moderate",2,IF($H200="Major",3,IF($H200="Critical",4,""))))</f>
        <v/>
      </c>
      <c r="J212" s="16" t="n"/>
      <c r="K212" s="16" t="n"/>
      <c r="L212" s="15">
        <f>IF(OR($G212="Exact TP",$G212="Equivalent TP"),1,0)</f>
        <v/>
      </c>
      <c r="M212" s="15">
        <f>IF(OR($G212="FP Extra",$G212="Harmful FP"),1,0)</f>
        <v/>
      </c>
      <c r="N212" s="15">
        <f>IF(OR($G212="FN",$G212="Partial"),1,0)</f>
        <v/>
      </c>
      <c r="O212" s="15">
        <f>IF($L200=1,$I200,0)</f>
        <v/>
      </c>
      <c r="P212" s="15">
        <f>IF($M200=1,$I200,0)</f>
        <v/>
      </c>
      <c r="Q212" s="15">
        <f>IF($N200=1,$I200,0)</f>
        <v/>
      </c>
      <c r="R212" s="20" t="n"/>
      <c r="S212" s="20" t="n"/>
      <c r="T212" s="20" t="n"/>
    </row>
    <row r="213" ht="18.75" customHeight="1">
      <c r="A213" s="12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15">
        <f>IF($N201=1,$I201,0)</f>
        <v/>
      </c>
      <c r="R213" s="20" t="n"/>
      <c r="S213" s="20" t="n"/>
      <c r="T213" s="20" t="n"/>
    </row>
    <row r="214" ht="18.75" customFormat="1" customHeight="1" s="4">
      <c r="A214" s="12" t="n"/>
      <c r="B214" s="31" t="n"/>
      <c r="C214" s="12" t="n"/>
      <c r="D214" s="12" t="n"/>
      <c r="E214" s="12" t="n"/>
      <c r="F214" s="31" t="n"/>
      <c r="G214" s="12" t="n"/>
      <c r="H214" s="14">
        <f>IFERROR(VLOOKUP($B214,$A$25:$N$62,7,FALSE),"")</f>
        <v/>
      </c>
      <c r="I214" s="15">
        <f>IF($H202="Minor",1,IF($H202="Moderate",2,IF($H202="Major",3,IF($H202="Critical",4,""))))</f>
        <v/>
      </c>
      <c r="J214" s="16" t="n"/>
      <c r="K214" s="16" t="n"/>
      <c r="L214" s="15">
        <f>IF(OR($G214="Exact TP",$G214="Equivalent TP"),1,0)</f>
        <v/>
      </c>
      <c r="M214" s="15">
        <f>IF(OR($G214="FP Extra",$G214="Harmful FP"),1,0)</f>
        <v/>
      </c>
      <c r="N214" s="15">
        <f>IF(OR($G214="FN",$G214="Partial"),1,0)</f>
        <v/>
      </c>
      <c r="O214" s="15">
        <f>IF($L202=1,$I202,0)</f>
        <v/>
      </c>
      <c r="P214" s="15">
        <f>IF($M202=1,$I202,0)</f>
        <v/>
      </c>
      <c r="Q214" s="15">
        <f>IF($N202=1,$I202,0)</f>
        <v/>
      </c>
      <c r="R214" s="20" t="n"/>
      <c r="S214" s="20" t="n"/>
      <c r="T214" s="20" t="n"/>
    </row>
    <row r="215" ht="18.75" customHeight="1">
      <c r="A215" s="12" t="n"/>
      <c r="B215" s="31" t="n"/>
      <c r="C215" s="12" t="n"/>
      <c r="D215" s="12" t="n"/>
      <c r="E215" s="12" t="n"/>
      <c r="F215" s="31" t="n"/>
      <c r="G215" s="12" t="n"/>
      <c r="H215" s="14">
        <f>IFERROR(VLOOKUP($B215,$A$25:$N$62,7,FALSE),"")</f>
        <v/>
      </c>
      <c r="I215" s="15">
        <f>IF($H203="Minor",1,IF($H203="Moderate",2,IF($H203="Major",3,IF($H203="Critical",4,""))))</f>
        <v/>
      </c>
      <c r="J215" s="16" t="n"/>
      <c r="K215" s="16" t="n"/>
      <c r="L215" s="15">
        <f>IF(OR($G215="Exact TP",$G215="Equivalent TP"),1,0)</f>
        <v/>
      </c>
      <c r="M215" s="15">
        <f>IF(OR($G215="FP Extra",$G215="Harmful FP"),1,0)</f>
        <v/>
      </c>
      <c r="N215" s="15">
        <f>IF(OR($G215="FN",$G215="Partial"),1,0)</f>
        <v/>
      </c>
      <c r="O215" s="15">
        <f>IF($L203=1,$I203,0)</f>
        <v/>
      </c>
      <c r="P215" s="15">
        <f>IF($M203=1,$I203,0)</f>
        <v/>
      </c>
      <c r="Q215" s="15">
        <f>IF($N203=1,$I203,0)</f>
        <v/>
      </c>
      <c r="R215" s="20" t="n"/>
      <c r="S215" s="20" t="n"/>
      <c r="T215" s="20" t="n"/>
    </row>
    <row r="216" ht="18.75" customHeight="1">
      <c r="A216" s="12" t="n"/>
      <c r="B216" s="31" t="n"/>
      <c r="C216" s="12" t="n"/>
      <c r="D216" s="12" t="n"/>
      <c r="E216" s="12" t="n"/>
      <c r="F216" s="31" t="n"/>
      <c r="G216" s="12" t="n"/>
      <c r="H216" s="14">
        <f>IFERROR(VLOOKUP($B216,$A$25:$N$62,7,FALSE),"")</f>
        <v/>
      </c>
      <c r="I216" s="15">
        <f>IF($H204="Minor",1,IF($H204="Moderate",2,IF($H204="Major",3,IF($H204="Critical",4,""))))</f>
        <v/>
      </c>
      <c r="J216" s="16" t="n"/>
      <c r="K216" s="16" t="n"/>
      <c r="L216" s="15">
        <f>IF(OR($G216="Exact TP",$G216="Equivalent TP"),1,0)</f>
        <v/>
      </c>
      <c r="M216" s="15">
        <f>IF(OR($G216="FP Extra",$G216="Harmful FP"),1,0)</f>
        <v/>
      </c>
      <c r="N216" s="15">
        <f>IF(OR($G216="FN",$G216="Partial"),1,0)</f>
        <v/>
      </c>
      <c r="O216" s="15">
        <f>IF($L204=1,$I204,0)</f>
        <v/>
      </c>
      <c r="P216" s="15">
        <f>IF($M204=1,$I204,0)</f>
        <v/>
      </c>
      <c r="Q216" s="15">
        <f>IF($N204=1,$I204,0)</f>
        <v/>
      </c>
      <c r="R216" s="20" t="n"/>
      <c r="S216" s="20" t="n"/>
      <c r="T216" s="20" t="n"/>
    </row>
    <row r="217" ht="18.75" customHeight="1">
      <c r="A217" s="12" t="n"/>
      <c r="B217" s="31" t="n"/>
      <c r="C217" s="12" t="n"/>
      <c r="D217" s="12" t="n"/>
      <c r="E217" s="12" t="n"/>
      <c r="F217" s="31" t="n"/>
      <c r="G217" s="12" t="n"/>
      <c r="H217" s="14">
        <f>IFERROR(VLOOKUP($B217,$A$25:$N$62,7,FALSE),"")</f>
        <v/>
      </c>
      <c r="I217" s="15">
        <f>IF($H205="Minor",1,IF($H205="Moderate",2,IF($H205="Major",3,IF($H205="Critical",4,""))))</f>
        <v/>
      </c>
      <c r="J217" s="16" t="n"/>
      <c r="K217" s="16" t="n"/>
      <c r="L217" s="15">
        <f>IF(OR($G217="Exact TP",$G217="Equivalent TP"),1,0)</f>
        <v/>
      </c>
      <c r="M217" s="15">
        <f>IF(OR($G217="FP Extra",$G217="Harmful FP"),1,0)</f>
        <v/>
      </c>
      <c r="N217" s="15">
        <f>IF(OR($G217="FN",$G217="Partial"),1,0)</f>
        <v/>
      </c>
      <c r="O217" s="15">
        <f>IF($L205=1,$I205,0)</f>
        <v/>
      </c>
      <c r="P217" s="15">
        <f>IF($M205=1,$I205,0)</f>
        <v/>
      </c>
      <c r="Q217" s="15">
        <f>IF($N205=1,$I205,0)</f>
        <v/>
      </c>
      <c r="R217" s="20" t="n"/>
      <c r="S217" s="20" t="n"/>
      <c r="T217" s="20" t="n"/>
    </row>
    <row r="218" ht="18.75" customHeight="1">
      <c r="A218" s="12" t="n"/>
      <c r="B218" s="31" t="n"/>
      <c r="C218" s="12" t="n"/>
      <c r="D218" s="12" t="n"/>
      <c r="E218" s="12" t="n"/>
      <c r="F218" s="31" t="n"/>
      <c r="G218" s="12" t="n"/>
      <c r="H218" s="14">
        <f>IFERROR(VLOOKUP($B218,$A$25:$N$62,7,FALSE),"")</f>
        <v/>
      </c>
      <c r="I218" s="15">
        <f>IF($H206="Minor",1,IF($H206="Moderate",2,IF($H206="Major",3,IF($H206="Critical",4,""))))</f>
        <v/>
      </c>
      <c r="J218" s="16" t="n"/>
      <c r="K218" s="16" t="n"/>
      <c r="L218" s="15">
        <f>IF(OR($G218="Exact TP",$G218="Equivalent TP"),1,0)</f>
        <v/>
      </c>
      <c r="M218" s="15">
        <f>IF(OR($G218="FP Extra",$G218="Harmful FP"),1,0)</f>
        <v/>
      </c>
      <c r="N218" s="15">
        <f>IF(OR($G218="FN",$G218="Partial"),1,0)</f>
        <v/>
      </c>
      <c r="O218" s="15">
        <f>IF($L206=1,$I206,0)</f>
        <v/>
      </c>
      <c r="P218" s="15">
        <f>IF($M206=1,$I206,0)</f>
        <v/>
      </c>
      <c r="Q218" s="15">
        <f>IF($N206=1,$I206,0)</f>
        <v/>
      </c>
      <c r="R218" s="20" t="n"/>
      <c r="S218" s="20" t="n"/>
      <c r="T218" s="20" t="n"/>
    </row>
    <row r="219" ht="18.75" customHeight="1">
      <c r="A219" s="12" t="n"/>
      <c r="B219" s="31" t="n"/>
      <c r="C219" s="12" t="n"/>
      <c r="D219" s="12" t="n"/>
      <c r="E219" s="12" t="n"/>
      <c r="F219" s="31" t="n"/>
      <c r="G219" s="12" t="n"/>
      <c r="H219" s="14">
        <f>IFERROR(VLOOKUP($B219,$A$25:$N$62,7,FALSE),"")</f>
        <v/>
      </c>
      <c r="I219" s="15">
        <f>IF($H207="Minor",1,IF($H207="Moderate",2,IF($H207="Major",3,IF($H207="Critical",4,""))))</f>
        <v/>
      </c>
      <c r="J219" s="16" t="n"/>
      <c r="K219" s="16" t="n"/>
      <c r="L219" s="15">
        <f>IF(OR($G219="Exact TP",$G219="Equivalent TP"),1,0)</f>
        <v/>
      </c>
      <c r="M219" s="15">
        <f>IF(OR($G219="FP Extra",$G219="Harmful FP"),1,0)</f>
        <v/>
      </c>
      <c r="N219" s="15">
        <f>IF(OR($G219="FN",$G219="Partial"),1,0)</f>
        <v/>
      </c>
      <c r="O219" s="15">
        <f>IF($L207=1,$I207,0)</f>
        <v/>
      </c>
      <c r="P219" s="15">
        <f>IF($M207=1,$I207,0)</f>
        <v/>
      </c>
      <c r="Q219" s="15">
        <f>IF($N207=1,$I207,0)</f>
        <v/>
      </c>
      <c r="R219" s="20" t="n"/>
      <c r="S219" s="20" t="n"/>
      <c r="T219" s="20" t="n"/>
    </row>
    <row r="220" ht="18.75" customHeight="1">
      <c r="A220" s="12" t="n"/>
      <c r="B220" s="31" t="n"/>
      <c r="C220" s="12" t="n"/>
      <c r="D220" s="12" t="n"/>
      <c r="E220" s="12" t="n"/>
      <c r="F220" s="31" t="n"/>
      <c r="G220" s="12" t="n"/>
      <c r="H220" s="14">
        <f>IFERROR(VLOOKUP($B220,$A$25:$N$62,7,FALSE),"")</f>
        <v/>
      </c>
      <c r="I220" s="15">
        <f>IF($H208="Minor",1,IF($H208="Moderate",2,IF($H208="Major",3,IF($H208="Critical",4,""))))</f>
        <v/>
      </c>
      <c r="J220" s="16" t="n"/>
      <c r="K220" s="16" t="n"/>
      <c r="L220" s="15">
        <f>IF(OR($G220="Exact TP",$G220="Equivalent TP"),1,0)</f>
        <v/>
      </c>
      <c r="M220" s="15">
        <f>IF(OR($G220="FP Extra",$G220="Harmful FP"),1,0)</f>
        <v/>
      </c>
      <c r="N220" s="15">
        <f>IF(OR($G220="FN",$G220="Partial"),1,0)</f>
        <v/>
      </c>
      <c r="O220" s="15">
        <f>IF($L208=1,$I208,0)</f>
        <v/>
      </c>
      <c r="P220" s="15">
        <f>IF($M208=1,$I208,0)</f>
        <v/>
      </c>
      <c r="Q220" s="15">
        <f>IF($N208=1,$I208,0)</f>
        <v/>
      </c>
      <c r="R220" s="20" t="n"/>
      <c r="S220" s="20" t="n"/>
      <c r="T220" s="20" t="n"/>
    </row>
    <row r="221" ht="18.75" customHeight="1">
      <c r="A221" s="12" t="n"/>
      <c r="B221" s="31" t="n"/>
      <c r="C221" s="12" t="n"/>
      <c r="D221" s="12" t="n"/>
      <c r="E221" s="12" t="n"/>
      <c r="F221" s="31" t="n"/>
      <c r="G221" s="12" t="n"/>
      <c r="H221" s="14">
        <f>IFERROR(VLOOKUP($B221,$A$25:$N$62,7,FALSE),"")</f>
        <v/>
      </c>
      <c r="I221" s="15">
        <f>IF($H209="Minor",1,IF($H209="Moderate",2,IF($H209="Major",3,IF($H209="Critical",4,""))))</f>
        <v/>
      </c>
      <c r="J221" s="16" t="n"/>
      <c r="K221" s="16" t="n"/>
      <c r="L221" s="15">
        <f>IF(OR($G221="Exact TP",$G221="Equivalent TP"),1,0)</f>
        <v/>
      </c>
      <c r="M221" s="15">
        <f>IF(OR($G221="FP Extra",$G221="Harmful FP"),1,0)</f>
        <v/>
      </c>
      <c r="N221" s="15">
        <f>IF(OR($G221="FN",$G221="Partial"),1,0)</f>
        <v/>
      </c>
      <c r="O221" s="15">
        <f>IF($L209=1,$I209,0)</f>
        <v/>
      </c>
      <c r="P221" s="15">
        <f>IF($M209=1,$I209,0)</f>
        <v/>
      </c>
      <c r="Q221" s="15">
        <f>IF($N209=1,$I209,0)</f>
        <v/>
      </c>
      <c r="R221" s="20" t="n"/>
      <c r="S221" s="20" t="n"/>
      <c r="T221" s="20" t="n"/>
    </row>
    <row r="222" ht="18.75" customHeight="1">
      <c r="A222" s="12" t="n"/>
      <c r="B222" s="44" t="n"/>
      <c r="C222" s="44" t="n"/>
      <c r="D222" s="44" t="n"/>
      <c r="E222" s="44" t="n"/>
      <c r="F222" s="44" t="n"/>
      <c r="G222" s="44" t="n"/>
      <c r="H222" s="44" t="n"/>
      <c r="I222" s="15">
        <f>IF($H210="Minor",1,IF($H210="Moderate",2,IF($H210="Major",3,IF($H210="Critical",4,""))))</f>
        <v/>
      </c>
      <c r="J222" s="16" t="n"/>
      <c r="K222" s="16" t="n"/>
      <c r="L222" s="15">
        <f>IF(OR($G222="Exact TP",$G222="Equivalent TP"),1,0)</f>
        <v/>
      </c>
      <c r="M222" s="15">
        <f>IF(OR($G222="FP Extra",$G222="Harmful FP"),1,0)</f>
        <v/>
      </c>
      <c r="N222" s="15">
        <f>IF(OR($G222="FN",$G222="Partial"),1,0)</f>
        <v/>
      </c>
      <c r="O222" s="15">
        <f>IF($L210=1,$I210,0)</f>
        <v/>
      </c>
      <c r="P222" s="15">
        <f>IF($M210=1,$I210,0)</f>
        <v/>
      </c>
      <c r="Q222" s="15">
        <f>IF($N210=1,$I210,0)</f>
        <v/>
      </c>
      <c r="R222" s="20" t="n"/>
      <c r="S222" s="20" t="n"/>
      <c r="T222" s="20" t="n"/>
    </row>
    <row r="223" ht="18.75" customFormat="1" customHeight="1" s="4">
      <c r="A223" s="20" t="n"/>
      <c r="B223" s="36" t="n"/>
      <c r="C223" s="21" t="n"/>
      <c r="D223" s="21" t="n"/>
      <c r="E223" s="20" t="n"/>
      <c r="F223" s="37" t="n"/>
      <c r="G223" s="21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</row>
    <row r="224" ht="18.75" customFormat="1" customHeight="1" s="4">
      <c r="A224" s="20" t="n"/>
      <c r="B224" s="36" t="n"/>
      <c r="C224" s="21" t="n"/>
      <c r="D224" s="21" t="n"/>
      <c r="E224" s="20" t="n"/>
      <c r="F224" s="37" t="n"/>
      <c r="G224" s="21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</row>
    <row r="225" ht="18.75" customFormat="1" customHeight="1" s="4">
      <c r="A225" s="1" t="inlineStr">
        <is>
          <t>7. Behavioral and Quality Evaluation by Treatment</t>
        </is>
      </c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2" t="n"/>
      <c r="Q225" s="20" t="n"/>
      <c r="R225" s="20" t="n"/>
      <c r="S225" s="20" t="n"/>
      <c r="T225" s="20" t="n"/>
    </row>
    <row r="226" ht="18.75" customFormat="1" customHeight="1" s="4">
      <c r="A226" s="8" t="inlineStr">
        <is>
          <t>Treatment</t>
        </is>
      </c>
      <c r="B226" s="26" t="inlineStr">
        <is>
          <t>Build Status</t>
        </is>
      </c>
      <c r="C226" s="8" t="inlineStr">
        <is>
          <t>Tests Total</t>
        </is>
      </c>
      <c r="D226" s="8" t="inlineStr">
        <is>
          <t>Tests Passed</t>
        </is>
      </c>
      <c r="E226" s="8" t="inlineStr">
        <is>
          <t>Test Pass Rate</t>
        </is>
      </c>
      <c r="F226" s="26" t="inlineStr">
        <is>
          <t>Behavior Score</t>
        </is>
      </c>
      <c r="G226" s="8" t="inlineStr">
        <is>
          <t>Runtime Issues</t>
        </is>
      </c>
      <c r="H226" s="8" t="inlineStr">
        <is>
          <t>Smells Before</t>
        </is>
      </c>
      <c r="I226" s="8" t="inlineStr">
        <is>
          <t>Smells After</t>
        </is>
      </c>
      <c r="J226" s="8" t="inlineStr">
        <is>
          <t>Smell Red.%</t>
        </is>
      </c>
      <c r="K226" s="8" t="inlineStr">
        <is>
          <t>Complexity Before</t>
        </is>
      </c>
      <c r="L226" s="8" t="inlineStr">
        <is>
          <t>Complexity After</t>
        </is>
      </c>
      <c r="M226" s="8" t="inlineStr">
        <is>
          <t>Complexity Red.%</t>
        </is>
      </c>
      <c r="N226" s="8" t="inlineStr">
        <is>
          <t>MI Before</t>
        </is>
      </c>
      <c r="O226" s="8" t="inlineStr">
        <is>
          <t>MI After</t>
        </is>
      </c>
      <c r="P226" s="8" t="inlineStr">
        <is>
          <t>MI Change</t>
        </is>
      </c>
      <c r="Q226" s="8" t="inlineStr">
        <is>
          <t>Repair Effort (hrs)</t>
        </is>
      </c>
      <c r="R226" s="8" t="inlineStr">
        <is>
          <t>Integration Readiness</t>
        </is>
      </c>
      <c r="S226" s="8" t="inlineStr">
        <is>
          <t>Notes</t>
        </is>
      </c>
      <c r="T226" s="21" t="n"/>
    </row>
    <row r="227" ht="18.75" customFormat="1" customHeight="1" s="4">
      <c r="A227" s="27" t="inlineStr">
        <is>
          <t>M1_AIA_v1</t>
        </is>
      </c>
      <c r="B227" s="28" t="inlineStr">
        <is>
          <t>AI-Assisted</t>
        </is>
      </c>
      <c r="C227" s="29" t="inlineStr">
        <is>
          <t>Yes</t>
        </is>
      </c>
      <c r="D227" s="29" t="inlineStr">
        <is>
          <t>All endpoint behaviors preserved; URL patterns maintained; notification logic intact</t>
        </is>
      </c>
      <c r="E227" s="17">
        <f>IFERROR(D215/C215,"")</f>
        <v/>
      </c>
      <c r="F227" s="28" t="inlineStr">
        <is>
          <t>Significant</t>
        </is>
      </c>
      <c r="G227" s="29" t="inlineStr">
        <is>
          <t>From monolithic 1038-line views.py to layered architecture: views (474 LOC) + services (485 LOC) + selectors (236 LOC) + permissions (64 LOC)</t>
        </is>
      </c>
      <c r="H227" s="29" t="inlineStr">
        <is>
          <t>Full</t>
        </is>
      </c>
      <c r="I227" s="29" t="inlineStr">
        <is>
          <t>Strict views-&gt;services-&gt;selectors layering achieved; DRF permission classes; serializer validation</t>
        </is>
      </c>
      <c r="J227" s="17">
        <f>IFERROR((H215-I215)/H215,"")</f>
        <v/>
      </c>
      <c r="K227" s="29" t="inlineStr">
        <is>
          <t>0% -&gt; meaningful</t>
        </is>
      </c>
      <c r="L227" s="29" t="inlineStr">
        <is>
          <t>30+ unit tests covering services, serializers, permissions, and constants</t>
        </is>
      </c>
      <c r="M227" s="17">
        <f>IFERROR((K215-L215)/K215,"")</f>
        <v/>
      </c>
      <c r="N227" s="29" t="inlineStr">
        <is>
          <t>None</t>
        </is>
      </c>
      <c r="O227" s="29" t="inlineStr">
        <is>
          <t>RR-23 (class meta) intentionally deferred to avoid migration risk</t>
        </is>
      </c>
      <c r="P227" s="19">
        <f>IFERROR(O215-N215,"")</f>
        <v/>
      </c>
      <c r="Q227" s="18" t="n"/>
      <c r="R227" s="12" t="n"/>
      <c r="S227" s="12" t="n"/>
      <c r="T227" s="20" t="n"/>
    </row>
    <row r="228" ht="18.75" customFormat="1" customHeight="1" s="4">
      <c r="A228" s="6" t="n"/>
      <c r="B228" s="31" t="n"/>
      <c r="C228" s="12" t="n"/>
      <c r="D228" s="12" t="n"/>
      <c r="E228" s="17">
        <f>IFERROR(D216/C216,"")</f>
        <v/>
      </c>
      <c r="F228" s="18" t="n"/>
      <c r="G228" s="12" t="n"/>
      <c r="H228" s="12" t="n"/>
      <c r="I228" s="12" t="n"/>
      <c r="J228" s="17">
        <f>IFERROR((H216-I216)/H216,"")</f>
        <v/>
      </c>
      <c r="K228" s="12" t="n"/>
      <c r="L228" s="12" t="n"/>
      <c r="M228" s="17">
        <f>IFERROR((K216-L216)/K216,"")</f>
        <v/>
      </c>
      <c r="N228" s="12" t="n"/>
      <c r="O228" s="12" t="n"/>
      <c r="P228" s="19">
        <f>IFERROR(O216-N216,"")</f>
        <v/>
      </c>
      <c r="Q228" s="18" t="n"/>
      <c r="R228" s="12" t="n"/>
      <c r="S228" s="12" t="n"/>
      <c r="T228" s="20" t="n"/>
    </row>
    <row r="229" ht="18.75" customFormat="1" customHeight="1" s="4">
      <c r="A229" s="6" t="n"/>
      <c r="B229" s="31" t="n"/>
      <c r="C229" s="12" t="n"/>
      <c r="D229" s="12" t="n"/>
      <c r="E229" s="17">
        <f>IFERROR(D217/C217,"")</f>
        <v/>
      </c>
      <c r="F229" s="18" t="n"/>
      <c r="G229" s="12" t="n"/>
      <c r="H229" s="12" t="n"/>
      <c r="I229" s="12" t="n"/>
      <c r="J229" s="17">
        <f>IFERROR((H217-I217)/H217,"")</f>
        <v/>
      </c>
      <c r="K229" s="12" t="n"/>
      <c r="L229" s="12" t="n"/>
      <c r="M229" s="17">
        <f>IFERROR((K217-L217)/K217,"")</f>
        <v/>
      </c>
      <c r="N229" s="12" t="n"/>
      <c r="O229" s="12" t="n"/>
      <c r="P229" s="19">
        <f>IFERROR(O217-N217,"")</f>
        <v/>
      </c>
      <c r="Q229" s="18" t="n"/>
      <c r="R229" s="12" t="n"/>
      <c r="S229" s="12" t="n"/>
      <c r="T229" s="20" t="n"/>
    </row>
    <row r="230" ht="18.75" customFormat="1" customHeight="1" s="4">
      <c r="A230" s="6" t="n"/>
      <c r="B230" s="31" t="n"/>
      <c r="C230" s="12" t="n"/>
      <c r="D230" s="12" t="n"/>
      <c r="E230" s="17">
        <f>IFERROR(D218/C218,"")</f>
        <v/>
      </c>
      <c r="F230" s="18" t="n"/>
      <c r="G230" s="12" t="n"/>
      <c r="H230" s="12" t="n"/>
      <c r="I230" s="12" t="n"/>
      <c r="J230" s="17">
        <f>IFERROR((H218-I218)/H218,"")</f>
        <v/>
      </c>
      <c r="K230" s="12" t="n"/>
      <c r="L230" s="12" t="n"/>
      <c r="M230" s="17">
        <f>IFERROR((K218-L218)/K218,"")</f>
        <v/>
      </c>
      <c r="N230" s="12" t="n"/>
      <c r="O230" s="12" t="n"/>
      <c r="P230" s="19">
        <f>IFERROR(O218-N218,"")</f>
        <v/>
      </c>
      <c r="Q230" s="18" t="n"/>
      <c r="R230" s="12" t="n"/>
      <c r="S230" s="12" t="n"/>
      <c r="T230" s="20" t="n"/>
    </row>
    <row r="231">
      <c r="A231" s="20" t="n"/>
      <c r="B231" s="36" t="n"/>
      <c r="C231" s="21" t="n"/>
      <c r="D231" s="21" t="n"/>
      <c r="E231" s="20" t="n"/>
      <c r="F231" s="37" t="n"/>
      <c r="G231" s="21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</row>
    <row r="232">
      <c r="A232" s="20" t="n"/>
      <c r="B232" s="36" t="n"/>
      <c r="C232" s="21" t="n"/>
      <c r="D232" s="21" t="n"/>
      <c r="E232" s="20" t="n"/>
      <c r="F232" s="37" t="n"/>
      <c r="G232" s="21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</row>
    <row r="233">
      <c r="A233" s="20" t="n"/>
      <c r="B233" s="36" t="n"/>
      <c r="C233" s="21" t="n"/>
      <c r="D233" s="21" t="n"/>
      <c r="E233" s="20" t="n"/>
      <c r="F233" s="37" t="n"/>
      <c r="G233" s="21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</row>
    <row r="234">
      <c r="A234" s="1" t="inlineStr">
        <is>
          <t>8. Representative Examples / Notes</t>
        </is>
      </c>
      <c r="B234" s="41" t="n"/>
      <c r="C234" s="41" t="n"/>
      <c r="D234" s="41" t="n"/>
      <c r="E234" s="41" t="n"/>
      <c r="F234" s="41" t="n"/>
      <c r="G234" s="41" t="n"/>
      <c r="H234" s="42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</row>
    <row r="235">
      <c r="A235" s="8" t="inlineStr">
        <is>
          <t>Treatment</t>
        </is>
      </c>
      <c r="B235" s="26" t="inlineStr">
        <is>
          <t>RR_ID</t>
        </is>
      </c>
      <c r="C235" s="8" t="inlineStr">
        <is>
          <t>GA_ID</t>
        </is>
      </c>
      <c r="D235" s="8" t="inlineStr">
        <is>
          <t>Short Label</t>
        </is>
      </c>
      <c r="E235" s="8" t="inlineStr">
        <is>
          <t>Why Representative</t>
        </is>
      </c>
      <c r="F235" s="26" t="inlineStr">
        <is>
          <t>Outcome Summary</t>
        </is>
      </c>
      <c r="G235" s="8" t="inlineStr">
        <is>
          <t>Code Pointer / Diff Ref</t>
        </is>
      </c>
      <c r="H235" s="8" t="inlineStr">
        <is>
          <t>Notes</t>
        </is>
      </c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</row>
    <row r="236">
      <c r="A236" s="29" t="inlineStr">
        <is>
          <t>Best Match</t>
        </is>
      </c>
      <c r="B236" s="33" t="inlineStr">
        <is>
          <t>RR-03 -&gt; GA-03</t>
        </is>
      </c>
      <c r="C236" s="29" t="inlineStr">
        <is>
          <t>lodge_complaint() unifies 3 duplicated 65-line lodge flows into single service function with notify_single parameter</t>
        </is>
      </c>
      <c r="D236" s="34" t="inlineStr">
        <is>
          <t>Critical duplication eliminated; single source of truth for complaint creation, date calculation, designation lookup, and notification</t>
        </is>
      </c>
      <c r="E236" s="29" t="inlineStr">
        <is>
          <t>services.py:lodge_complaint()</t>
        </is>
      </c>
      <c r="F236" s="33" t="inlineStr">
        <is>
          <t>views.py:UserComplaintView.post, CaretakerLodgeView.post, ServiceProviderLodgeView.post</t>
        </is>
      </c>
      <c r="G236" s="29" t="inlineStr">
        <is>
          <t>Full</t>
        </is>
      </c>
      <c r="H236" s="34" t="inlineStr">
        <is>
          <t>Demonstrates maximum deduplication impact</t>
        </is>
      </c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</row>
    <row r="237">
      <c r="A237" s="29" t="inlineStr">
        <is>
          <t>Security Fix</t>
        </is>
      </c>
      <c r="B237" s="33" t="inlineStr">
        <is>
          <t>RR-13 -&gt; GA-13</t>
        </is>
      </c>
      <c r="C237" s="29" t="inlineStr">
        <is>
          <t>Added ownership/role authorization to DeleteComplaintView via permission class + service-layer check</t>
        </is>
      </c>
      <c r="D237" s="34" t="inlineStr">
        <is>
          <t>Any authenticated user could previously delete any complaint; now requires ownership or caretaker/admin role</t>
        </is>
      </c>
      <c r="E237" s="29" t="inlineStr">
        <is>
          <t>permissions.py:IsComplaintOwnerOrStaff + services.py:delete_complaint()</t>
        </is>
      </c>
      <c r="F237" s="33" t="inlineStr">
        <is>
          <t>views.py:DeleteComplaintView.post</t>
        </is>
      </c>
      <c r="G237" s="29" t="inlineStr">
        <is>
          <t>Full</t>
        </is>
      </c>
      <c r="H237" s="34" t="inlineStr">
        <is>
          <t>Security vulnerability closed</t>
        </is>
      </c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</row>
    <row r="238">
      <c r="A238" s="29" t="inlineStr">
        <is>
          <t>Bug Fix</t>
        </is>
      </c>
      <c r="B238" s="33" t="inlineStr">
        <is>
          <t>RR-20 -&gt; GA-20</t>
        </is>
      </c>
      <c r="C238" s="29" t="inlineStr">
        <is>
          <t>Fixed worker_detail.objects.get() -&gt; Workers.objects.get() via selector delegation</t>
        </is>
      </c>
      <c r="D238" s="34" t="inlineStr">
        <is>
          <t>Runtime NameError on any complaint with an assigned worker; was impossible to view complaint details</t>
        </is>
      </c>
      <c r="E238" s="29" t="inlineStr">
        <is>
          <t>services.py:get_complaint_detail_for_api() -&gt; selectors.get_worker_by_id()</t>
        </is>
      </c>
      <c r="F238" s="33" t="inlineStr">
        <is>
          <t>api/views.py:complaint_details_api line 26</t>
        </is>
      </c>
      <c r="G238" s="29" t="inlineStr">
        <is>
          <t>Full</t>
        </is>
      </c>
      <c r="H238" s="34" t="inlineStr">
        <is>
          <t>Critical bug that crashed the API</t>
        </is>
      </c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</row>
    <row r="239">
      <c r="A239" s="29" t="inlineStr">
        <is>
          <t>Partial Match</t>
        </is>
      </c>
      <c r="B239" s="33" t="inlineStr">
        <is>
          <t>RR-23 -&gt; GA-23</t>
        </is>
      </c>
      <c r="C239" s="29" t="inlineStr">
        <is>
          <t>Identified class meta (lowercase) on StudentComplain but did not fix</t>
        </is>
      </c>
      <c r="D239" s="34" t="inlineStr">
        <is>
          <t>Fixing requires Django migration; deferred to avoid breaking existing database schema</t>
        </is>
      </c>
      <c r="E239" s="29" t="inlineStr">
        <is>
          <t>N/A (documented only)</t>
        </is>
      </c>
      <c r="F239" s="33" t="inlineStr">
        <is>
          <t>models.py:StudentComplain line 98</t>
        </is>
      </c>
      <c r="G239" s="29" t="inlineStr">
        <is>
          <t>Partial</t>
        </is>
      </c>
      <c r="H239" s="34" t="inlineStr">
        <is>
          <t>Intentional deferral — migration risk outweighs benefit in refactoring scope</t>
        </is>
      </c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</row>
    <row r="240">
      <c r="A240" s="12" t="n"/>
      <c r="B240" s="35" t="n"/>
      <c r="C240" s="12" t="n"/>
      <c r="D240" s="13" t="n"/>
      <c r="E240" s="12" t="n"/>
      <c r="F240" s="35" t="n"/>
      <c r="G240" s="12" t="n"/>
      <c r="H240" s="13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</row>
    <row r="241">
      <c r="A241" s="12" t="n"/>
      <c r="B241" s="35" t="n"/>
      <c r="C241" s="12" t="n"/>
      <c r="D241" s="13" t="n"/>
      <c r="E241" s="12" t="n"/>
      <c r="F241" s="35" t="n"/>
      <c r="G241" s="12" t="n"/>
      <c r="H241" s="13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</row>
    <row r="242">
      <c r="A242" s="12" t="n"/>
      <c r="B242" s="35" t="n"/>
      <c r="C242" s="12" t="n"/>
      <c r="D242" s="13" t="n"/>
      <c r="E242" s="12" t="n"/>
      <c r="F242" s="35" t="n"/>
      <c r="G242" s="12" t="n"/>
      <c r="H242" s="13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</row>
  </sheetData>
  <mergeCells count="9">
    <mergeCell ref="A1:T1"/>
    <mergeCell ref="A89:Q89"/>
    <mergeCell ref="H4:T4"/>
    <mergeCell ref="A14:J14"/>
    <mergeCell ref="A57:K57"/>
    <mergeCell ref="A222:H222"/>
    <mergeCell ref="A4:F4"/>
    <mergeCell ref="A23:N23"/>
    <mergeCell ref="A213:P2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0"/>
    <pageSetUpPr/>
  </sheetPr>
  <dimension ref="A1:T295"/>
  <sheetViews>
    <sheetView workbookViewId="0">
      <selection activeCell="A1" sqref="A1"/>
    </sheetView>
  </sheetViews>
  <sheetFormatPr baseColWidth="8" defaultRowHeight="15"/>
  <cols>
    <col width="18.005" bestFit="1" customWidth="1" style="20" min="1" max="1"/>
    <col width="18.005" bestFit="1" customWidth="1" style="20" min="2" max="2"/>
    <col width="24.005" bestFit="1" customWidth="1" style="21" min="3" max="3"/>
    <col width="24.005" bestFit="1" customWidth="1" style="21" min="4" max="4"/>
    <col width="18.005" bestFit="1" customWidth="1" style="20" min="5" max="5"/>
    <col width="18.005" bestFit="1" customWidth="1" style="21" min="6" max="6"/>
    <col width="14.005" bestFit="1" customWidth="1" style="21" min="7" max="7"/>
    <col width="14.005" bestFit="1" customWidth="1" style="20" min="8" max="8"/>
    <col width="14.005" bestFit="1" customWidth="1" style="20" min="9" max="9"/>
    <col width="18.005" bestFit="1" customWidth="1" style="20" min="10" max="10"/>
    <col width="18.005" bestFit="1" customWidth="1" style="20" min="11" max="11"/>
    <col width="14.005" bestFit="1" customWidth="1" style="20" min="12" max="12"/>
    <col width="14.005" bestFit="1" customWidth="1" style="20" min="13" max="13"/>
    <col width="18.005" bestFit="1" customWidth="1" style="20" min="14" max="14"/>
    <col width="14.005" bestFit="1" customWidth="1" style="20" min="15" max="15"/>
    <col width="14.005" bestFit="1" customWidth="1" style="20" min="16" max="16"/>
    <col width="14.005" bestFit="1" customWidth="1" style="20" min="17" max="17"/>
    <col width="14.005" bestFit="1" customWidth="1" style="20" min="18" max="18"/>
    <col width="14.005" bestFit="1" customWidth="1" style="20" min="19" max="19"/>
    <col width="14.005" bestFit="1" customWidth="1" style="20" min="20" max="20"/>
  </cols>
  <sheetData>
    <row r="1" ht="18.75" customHeight="1">
      <c r="A1" s="1" t="inlineStr">
        <is>
          <t>Module_M2 — Data Collection Sheet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18.75" customFormat="1" customHeight="1" s="4">
      <c r="A2" s="5" t="inlineStr">
        <is>
          <t>Blue-font cells are for input. Black-font cells contain formulas. Replace placeholders only where appropriate.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ht="18.75" customHeight="1">
      <c r="A3" s="20" t="n"/>
      <c r="B3" s="20" t="n"/>
      <c r="C3" s="21" t="n"/>
      <c r="D3" s="21" t="n"/>
      <c r="E3" s="20" t="n"/>
      <c r="F3" s="21" t="n"/>
      <c r="G3" s="21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8.75" customHeight="1">
      <c r="A4" s="1" t="inlineStr">
        <is>
          <t>1. Module Metadata</t>
        </is>
      </c>
      <c r="B4" s="41" t="n"/>
      <c r="C4" s="41" t="n"/>
      <c r="D4" s="41" t="n"/>
      <c r="E4" s="41" t="n"/>
      <c r="F4" s="42" t="n"/>
      <c r="G4" s="21" t="n"/>
      <c r="H4" s="1" t="inlineStr">
        <is>
          <t>2. Auto-Calculated Summary by Treatment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2" t="n"/>
    </row>
    <row r="5" ht="18.75" customHeight="1">
      <c r="A5" s="6" t="inlineStr">
        <is>
          <t>Module ID</t>
        </is>
      </c>
      <c r="B5" s="7" t="inlineStr">
        <is>
          <t>M2</t>
        </is>
      </c>
      <c r="C5" s="21" t="n"/>
      <c r="D5" s="21" t="n"/>
      <c r="E5" s="20" t="n"/>
      <c r="F5" s="21" t="n"/>
      <c r="G5" s="21" t="n"/>
      <c r="H5" s="8" t="inlineStr">
        <is>
          <t>Treatment</t>
        </is>
      </c>
      <c r="I5" s="8" t="inlineStr">
        <is>
          <t>TP</t>
        </is>
      </c>
      <c r="J5" s="8" t="inlineStr">
        <is>
          <t>Partial</t>
        </is>
      </c>
      <c r="K5" s="8" t="inlineStr">
        <is>
          <t>FP</t>
        </is>
      </c>
      <c r="L5" s="8" t="inlineStr">
        <is>
          <t>FN</t>
        </is>
      </c>
      <c r="M5" s="8" t="inlineStr">
        <is>
          <t>Precision</t>
        </is>
      </c>
      <c r="N5" s="8" t="inlineStr">
        <is>
          <t>Recall</t>
        </is>
      </c>
      <c r="O5" s="8" t="inlineStr">
        <is>
          <t>F1</t>
        </is>
      </c>
      <c r="P5" s="8" t="inlineStr">
        <is>
          <t>Weighted F1</t>
        </is>
      </c>
      <c r="Q5" s="8" t="inlineStr">
        <is>
          <t>Behavior Score</t>
        </is>
      </c>
      <c r="R5" s="8" t="inlineStr">
        <is>
          <t>Smell Red.%</t>
        </is>
      </c>
      <c r="S5" s="8" t="inlineStr">
        <is>
          <t>Integration</t>
        </is>
      </c>
      <c r="T5" s="20" t="n"/>
    </row>
    <row r="6" ht="18.75" customHeight="1">
      <c r="A6" s="6" t="inlineStr">
        <is>
          <t>Module Name</t>
        </is>
      </c>
      <c r="B6" s="7" t="n"/>
      <c r="C6" s="21" t="n"/>
      <c r="D6" s="21" t="n"/>
      <c r="E6" s="20" t="n"/>
      <c r="F6" s="21" t="n"/>
      <c r="G6" s="21" t="n"/>
      <c r="H6" s="6" t="inlineStr">
        <is>
          <t>AI-Assisted</t>
        </is>
      </c>
      <c r="I6" s="9">
        <f>SUMIFS($L$89:$L$210,$A$89:$A$210,$H6)</f>
        <v/>
      </c>
      <c r="J6" s="9">
        <f>COUNTIFS($A$89:$A$210,$H6,$G$89:$G$210,"Partial")</f>
        <v/>
      </c>
      <c r="K6" s="9">
        <f>SUMIFS($M$89:$M$210,$A$89:$A$210,$H6)</f>
        <v/>
      </c>
      <c r="L6" s="9">
        <f>SUMIFS($N$89:$N$210,$A$89:$A$210,$H6)</f>
        <v/>
      </c>
      <c r="M6" s="10">
        <f>IFERROR(I6/(I6+K6),"")</f>
        <v/>
      </c>
      <c r="N6" s="10">
        <f>IFERROR(I6/(I6+L6),"")</f>
        <v/>
      </c>
      <c r="O6" s="10">
        <f>IFERROR(2*M6*N6/(M6+N6),"")</f>
        <v/>
      </c>
      <c r="P6" s="10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9">
        <f>IFERROR(INDEX($F$215:$F$218,MATCH($H6,$A$215:$A$218,0)),"")</f>
        <v/>
      </c>
      <c r="R6" s="10">
        <f>IFERROR(INDEX($J$215:$J$218,MATCH($H6,$A$215:$A$218,0)),"")</f>
        <v/>
      </c>
      <c r="S6" s="11">
        <f>IFERROR(INDEX($R$215:$R$218,MATCH($H6,$A$215:$A$218,0)),"")</f>
        <v/>
      </c>
      <c r="T6" s="20" t="n"/>
    </row>
    <row r="7" ht="18.75" customHeight="1">
      <c r="A7" s="6" t="inlineStr">
        <is>
          <t>Functional Area</t>
        </is>
      </c>
      <c r="B7" s="7" t="n"/>
      <c r="C7" s="21" t="n"/>
      <c r="D7" s="21" t="n"/>
      <c r="E7" s="20" t="n"/>
      <c r="F7" s="21" t="n"/>
      <c r="G7" s="21" t="n"/>
      <c r="H7" s="6" t="inlineStr">
        <is>
          <t>Auto Tool A</t>
        </is>
      </c>
      <c r="I7" s="9">
        <f>SUMIFS($L$89:$L$210,$A$89:$A$210,$H7)</f>
        <v/>
      </c>
      <c r="J7" s="9">
        <f>COUNTIFS($A$89:$A$210,$H7,$G$89:$G$210,"Partial")</f>
        <v/>
      </c>
      <c r="K7" s="9">
        <f>SUMIFS($M$89:$M$210,$A$89:$A$210,$H7)</f>
        <v/>
      </c>
      <c r="L7" s="9">
        <f>SUMIFS($N$89:$N$210,$A$89:$A$210,$H7)</f>
        <v/>
      </c>
      <c r="M7" s="10">
        <f>IFERROR(I7/(I7+K7),"")</f>
        <v/>
      </c>
      <c r="N7" s="10">
        <f>IFERROR(I7/(I7+L7),"")</f>
        <v/>
      </c>
      <c r="O7" s="10">
        <f>IFERROR(2*M7*N7/(M7+N7),"")</f>
        <v/>
      </c>
      <c r="P7" s="10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9">
        <f>IFERROR(INDEX($F$215:$F$218,MATCH($H7,$A$215:$A$218,0)),"")</f>
        <v/>
      </c>
      <c r="R7" s="10">
        <f>IFERROR(INDEX($J$215:$J$218,MATCH($H7,$A$215:$A$218,0)),"")</f>
        <v/>
      </c>
      <c r="S7" s="11">
        <f>IFERROR(INDEX($R$215:$R$218,MATCH($H7,$A$215:$A$218,0)),"")</f>
        <v/>
      </c>
      <c r="T7" s="20" t="n"/>
    </row>
    <row r="8" ht="18.75" customHeight="1">
      <c r="A8" s="6" t="inlineStr">
        <is>
          <t>Complexity Level</t>
        </is>
      </c>
      <c r="B8" s="7" t="n"/>
      <c r="C8" s="21" t="n"/>
      <c r="D8" s="21" t="n"/>
      <c r="E8" s="20" t="n"/>
      <c r="F8" s="21" t="n"/>
      <c r="G8" s="21" t="n"/>
      <c r="H8" s="6" t="inlineStr">
        <is>
          <t>Auto Tool B</t>
        </is>
      </c>
      <c r="I8" s="9">
        <f>SUMIFS($L$89:$L$210,$A$89:$A$210,$H8)</f>
        <v/>
      </c>
      <c r="J8" s="9">
        <f>COUNTIFS($A$89:$A$210,$H8,$G$89:$G$210,"Partial")</f>
        <v/>
      </c>
      <c r="K8" s="9">
        <f>SUMIFS($M$89:$M$210,$A$89:$A$210,$H8)</f>
        <v/>
      </c>
      <c r="L8" s="9">
        <f>SUMIFS($N$89:$N$210,$A$89:$A$210,$H8)</f>
        <v/>
      </c>
      <c r="M8" s="10">
        <f>IFERROR(I8/(I8+K8),"")</f>
        <v/>
      </c>
      <c r="N8" s="10">
        <f>IFERROR(I8/(I8+L8),"")</f>
        <v/>
      </c>
      <c r="O8" s="10">
        <f>IFERROR(2*M8*N8/(M8+N8),"")</f>
        <v/>
      </c>
      <c r="P8" s="10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9">
        <f>IFERROR(INDEX($F$215:$F$218,MATCH($H8,$A$215:$A$218,0)),"")</f>
        <v/>
      </c>
      <c r="R8" s="10">
        <f>IFERROR(INDEX($J$215:$J$218,MATCH($H8,$A$215:$A$218,0)),"")</f>
        <v/>
      </c>
      <c r="S8" s="11">
        <f>IFERROR(INDEX($R$215:$R$218,MATCH($H8,$A$215:$A$218,0)),"")</f>
        <v/>
      </c>
      <c r="T8" s="20" t="n"/>
    </row>
    <row r="9" ht="18.75" customHeight="1">
      <c r="A9" s="6" t="inlineStr">
        <is>
          <t>Approx. LOC</t>
        </is>
      </c>
      <c r="B9" s="7" t="n"/>
      <c r="C9" s="21" t="n"/>
      <c r="D9" s="21" t="n"/>
      <c r="E9" s="20" t="n"/>
      <c r="F9" s="21" t="n"/>
      <c r="G9" s="21" t="n"/>
      <c r="H9" s="6" t="inlineStr">
        <is>
          <t>Auto Tool C</t>
        </is>
      </c>
      <c r="I9" s="9">
        <f>SUMIFS($L$89:$L$210,$A$89:$A$210,$H9)</f>
        <v/>
      </c>
      <c r="J9" s="9">
        <f>COUNTIFS($A$89:$A$210,$H9,$G$89:$G$210,"Partial")</f>
        <v/>
      </c>
      <c r="K9" s="9">
        <f>SUMIFS($M$89:$M$210,$A$89:$A$210,$H9)</f>
        <v/>
      </c>
      <c r="L9" s="9">
        <f>SUMIFS($N$89:$N$210,$A$89:$A$210,$H9)</f>
        <v/>
      </c>
      <c r="M9" s="10">
        <f>IFERROR(I9/(I9+K9),"")</f>
        <v/>
      </c>
      <c r="N9" s="10">
        <f>IFERROR(I9/(I9+L9),"")</f>
        <v/>
      </c>
      <c r="O9" s="10">
        <f>IFERROR(2*M9*N9/(M9+N9),"")</f>
        <v/>
      </c>
      <c r="P9" s="10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9">
        <f>IFERROR(INDEX($F$215:$F$218,MATCH($H9,$A$215:$A$218,0)),"")</f>
        <v/>
      </c>
      <c r="R9" s="10">
        <f>IFERROR(INDEX($J$215:$J$218,MATCH($H9,$A$215:$A$218,0)),"")</f>
        <v/>
      </c>
      <c r="S9" s="11">
        <f>IFERROR(INDEX($R$215:$R$218,MATCH($H9,$A$215:$A$218,0)),"")</f>
        <v/>
      </c>
      <c r="T9" s="20" t="n"/>
    </row>
    <row r="10" ht="18.75" customHeight="1">
      <c r="A10" s="6" t="inlineStr">
        <is>
          <t>Python Files</t>
        </is>
      </c>
      <c r="B10" s="7" t="n"/>
      <c r="C10" s="21" t="n"/>
      <c r="D10" s="21" t="n"/>
      <c r="E10" s="20" t="n"/>
      <c r="F10" s="21" t="n"/>
      <c r="G10" s="21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8.75" customHeight="1">
      <c r="A11" s="6" t="inlineStr">
        <is>
          <t>Initial Smell Count</t>
        </is>
      </c>
      <c r="B11" s="7" t="n"/>
      <c r="C11" s="21" t="n"/>
      <c r="D11" s="21" t="n"/>
      <c r="E11" s="20" t="n"/>
      <c r="F11" s="21" t="n"/>
      <c r="G11" s="21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18.75" customHeight="1">
      <c r="A12" s="6" t="inlineStr">
        <is>
          <t>Evaluator(s)</t>
        </is>
      </c>
      <c r="B12" s="7" t="n"/>
      <c r="C12" s="21" t="n"/>
      <c r="D12" s="21" t="n"/>
      <c r="E12" s="20" t="n"/>
      <c r="F12" s="21" t="n"/>
      <c r="G12" s="21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8.75" customHeight="1">
      <c r="A13" s="20" t="n"/>
      <c r="B13" s="20" t="n"/>
      <c r="C13" s="21" t="n"/>
      <c r="D13" s="21" t="n"/>
      <c r="E13" s="20" t="n"/>
      <c r="F13" s="21" t="n"/>
      <c r="G13" s="21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18.75" customHeight="1">
      <c r="A14" s="1" t="inlineStr">
        <is>
          <t>3. Treatment Run Log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8.75" customFormat="1" customHeight="1" s="4">
      <c r="A15" s="8" t="inlineStr">
        <is>
          <t>Treatment</t>
        </is>
      </c>
      <c r="B15" s="8" t="inlineStr">
        <is>
          <t>Tool / Workflow</t>
        </is>
      </c>
      <c r="C15" s="8" t="inlineStr">
        <is>
          <t>Model Version</t>
        </is>
      </c>
      <c r="D15" s="8" t="inlineStr">
        <is>
          <t>Prompt Template</t>
        </is>
      </c>
      <c r="E15" s="8" t="inlineStr">
        <is>
          <t>Run Date</t>
        </is>
      </c>
      <c r="F15" s="8" t="inlineStr">
        <is>
          <t>Human Iterations</t>
        </is>
      </c>
      <c r="G15" s="8" t="inlineStr">
        <is>
          <t>Output ID</t>
        </is>
      </c>
      <c r="H15" s="8" t="inlineStr">
        <is>
          <t>Files Changed</t>
        </is>
      </c>
      <c r="I15" s="8" t="inlineStr">
        <is>
          <t>LOC Changed</t>
        </is>
      </c>
      <c r="J15" s="8" t="inlineStr">
        <is>
          <t>Build Status</t>
        </is>
      </c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8.75" customHeight="1">
      <c r="A16" s="6" t="inlineStr">
        <is>
          <t>AI-Assisted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8.75" customHeight="1">
      <c r="A17" s="6" t="inlineStr">
        <is>
          <t>Auto Tool 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8.75" customHeight="1">
      <c r="A18" s="6" t="inlineStr">
        <is>
          <t>Auto Tool B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8.75" customHeight="1">
      <c r="A19" s="6" t="inlineStr">
        <is>
          <t>Auto Tool C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.75" customHeight="1">
      <c r="A20" s="20" t="n"/>
      <c r="B20" s="20" t="n"/>
      <c r="C20" s="21" t="n"/>
      <c r="D20" s="21" t="n"/>
      <c r="E20" s="20" t="n"/>
      <c r="F20" s="21" t="n"/>
      <c r="G20" s="21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8.75" customHeight="1">
      <c r="A21" s="20" t="n"/>
      <c r="B21" s="20" t="n"/>
      <c r="C21" s="21" t="n"/>
      <c r="D21" s="21" t="n"/>
      <c r="E21" s="20" t="n"/>
      <c r="F21" s="21" t="n"/>
      <c r="G21" s="2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.75" customHeight="1">
      <c r="A22" s="20" t="n"/>
      <c r="B22" s="20" t="n"/>
      <c r="C22" s="21" t="n"/>
      <c r="D22" s="21" t="n"/>
      <c r="E22" s="20" t="n"/>
      <c r="F22" s="21" t="n"/>
      <c r="G22" s="21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18.75" customHeight="1">
      <c r="A23" s="1" t="inlineStr">
        <is>
          <t>4. Reference Refactoring Registry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  <c r="O23" s="20" t="n"/>
      <c r="P23" s="20" t="n"/>
      <c r="Q23" s="20" t="n"/>
      <c r="R23" s="20" t="n"/>
      <c r="S23" s="20" t="n"/>
      <c r="T23" s="20" t="n"/>
    </row>
    <row r="24" ht="18.75" customFormat="1" customHeight="1" s="4">
      <c r="A24" s="8" t="inlineStr">
        <is>
          <t>RR_ID</t>
        </is>
      </c>
      <c r="B24" s="8" t="inlineStr">
        <is>
          <t>Location</t>
        </is>
      </c>
      <c r="C24" s="8" t="inlineStr">
        <is>
          <t>Issue Description</t>
        </is>
      </c>
      <c r="D24" s="8" t="inlineStr">
        <is>
          <t>Issue Type</t>
        </is>
      </c>
      <c r="E24" s="8" t="inlineStr">
        <is>
          <t>Refactoring Type</t>
        </is>
      </c>
      <c r="F24" s="8" t="inlineStr">
        <is>
          <t>Intent</t>
        </is>
      </c>
      <c r="G24" s="8" t="inlineStr">
        <is>
          <t>Severity</t>
        </is>
      </c>
      <c r="H24" s="8" t="inlineStr">
        <is>
          <t>Granularity</t>
        </is>
      </c>
      <c r="I24" s="8" t="inlineStr">
        <is>
          <t>Dependency Scope</t>
        </is>
      </c>
      <c r="J24" s="8" t="inlineStr">
        <is>
          <t>Behavioral Risk</t>
        </is>
      </c>
      <c r="K24" s="8" t="inlineStr">
        <is>
          <t>Context Dependence</t>
        </is>
      </c>
      <c r="L24" s="8" t="inlineStr">
        <is>
          <t>Mandatory?</t>
        </is>
      </c>
      <c r="M24" s="8" t="inlineStr">
        <is>
          <t>Acceptable Alternatives</t>
        </is>
      </c>
      <c r="N24" s="8" t="inlineStr">
        <is>
          <t>Notes</t>
        </is>
      </c>
      <c r="O24" s="21" t="n"/>
      <c r="P24" s="21" t="n"/>
      <c r="Q24" s="21" t="n"/>
      <c r="R24" s="21" t="n"/>
      <c r="S24" s="21" t="n"/>
      <c r="T24" s="21" t="n"/>
    </row>
    <row r="25" ht="18.75" customFormat="1" customHeight="1" s="4">
      <c r="A25" s="45" t="inlineStr">
        <is>
          <t>RR_001</t>
        </is>
      </c>
      <c r="B25" s="46" t="inlineStr">
        <is>
          <t>api/views.py:UploadGradesAPI.post</t>
        </is>
      </c>
      <c r="C25" s="45" t="inlineStr">
        <is>
          <t>View contains CSV parsing, row validation, and atomic DB write logic for admin grade upload</t>
        </is>
      </c>
      <c r="D25" s="46" t="inlineStr">
        <is>
          <t>Fat View</t>
        </is>
      </c>
      <c r="E25" s="45" t="inlineStr">
        <is>
          <t>Extract Service</t>
        </is>
      </c>
      <c r="F25" s="46" t="inlineStr">
        <is>
          <t>Architecture Conformance</t>
        </is>
      </c>
      <c r="G25" s="45" t="inlineStr">
        <is>
          <t>Critical</t>
        </is>
      </c>
      <c r="H25" s="46" t="inlineStr">
        <is>
          <t>Cross-layer</t>
        </is>
      </c>
      <c r="I25" s="45" t="inlineStr">
        <is>
          <t>Inter-layer</t>
        </is>
      </c>
      <c r="J25" s="46" t="inlineStr">
        <is>
          <t>Medium</t>
        </is>
      </c>
      <c r="K25" s="45" t="inlineStr">
        <is>
          <t>Business Rules</t>
        </is>
      </c>
      <c r="L25" s="46" t="inlineStr">
        <is>
          <t>Yes</t>
        </is>
      </c>
      <c r="M25" s="45" t="inlineStr">
        <is>
          <t>-</t>
        </is>
      </c>
      <c r="N25" s="46" t="inlineStr">
        <is>
          <t>-</t>
        </is>
      </c>
      <c r="O25" s="21" t="n"/>
      <c r="P25" s="21" t="n"/>
      <c r="Q25" s="21" t="n"/>
      <c r="R25" s="21" t="n"/>
      <c r="S25" s="21" t="n"/>
      <c r="T25" s="21" t="n"/>
    </row>
    <row r="26" ht="18.75" customFormat="1" customHeight="1" s="4">
      <c r="A26" s="45" t="inlineStr">
        <is>
          <t>RR_002</t>
        </is>
      </c>
      <c r="B26" s="46" t="inlineStr">
        <is>
          <t>api/views.py:UploadGradesProfAPI.post</t>
        </is>
      </c>
      <c r="C26" s="45" t="inlineStr">
        <is>
          <t>View contains CSV parsing, programme filtering, ownership check, and atomic DB write logic for professor grade upload</t>
        </is>
      </c>
      <c r="D26" s="46" t="inlineStr">
        <is>
          <t>Fat View</t>
        </is>
      </c>
      <c r="E26" s="45" t="inlineStr">
        <is>
          <t>Extract Service</t>
        </is>
      </c>
      <c r="F26" s="46" t="inlineStr">
        <is>
          <t>Architecture Conformance</t>
        </is>
      </c>
      <c r="G26" s="45" t="inlineStr">
        <is>
          <t>Critical</t>
        </is>
      </c>
      <c r="H26" s="46" t="inlineStr">
        <is>
          <t>Cross-layer</t>
        </is>
      </c>
      <c r="I26" s="45" t="inlineStr">
        <is>
          <t>Inter-layer</t>
        </is>
      </c>
      <c r="J26" s="46" t="inlineStr">
        <is>
          <t>Medium</t>
        </is>
      </c>
      <c r="K26" s="45" t="inlineStr">
        <is>
          <t>Business Rules</t>
        </is>
      </c>
      <c r="L26" s="46" t="inlineStr">
        <is>
          <t>Yes</t>
        </is>
      </c>
      <c r="M26" s="45" t="inlineStr">
        <is>
          <t>-</t>
        </is>
      </c>
      <c r="N26" s="46" t="inlineStr">
        <is>
          <t>-</t>
        </is>
      </c>
      <c r="O26" s="21" t="n"/>
      <c r="P26" s="21" t="n"/>
      <c r="Q26" s="21" t="n"/>
      <c r="R26" s="21" t="n"/>
      <c r="S26" s="21" t="n"/>
      <c r="T26" s="21" t="n"/>
    </row>
    <row r="27" ht="18.75" customFormat="1" customHeight="1" s="4">
      <c r="A27" s="45" t="inlineStr">
        <is>
          <t>RR_003</t>
        </is>
      </c>
      <c r="B27" s="46" t="inlineStr">
        <is>
          <t>api/views.py:GenerateResultAPI.post</t>
        </is>
      </c>
      <c r="C27" s="45" t="inlineStr">
        <is>
          <t>View contains Excel workbook construction with SPI/CPI computation and remark derivation</t>
        </is>
      </c>
      <c r="D27" s="46" t="inlineStr">
        <is>
          <t>Fat View</t>
        </is>
      </c>
      <c r="E27" s="45" t="inlineStr">
        <is>
          <t>Extract Service</t>
        </is>
      </c>
      <c r="F27" s="46" t="inlineStr">
        <is>
          <t>Architecture Conformance</t>
        </is>
      </c>
      <c r="G27" s="45" t="inlineStr">
        <is>
          <t>Critical</t>
        </is>
      </c>
      <c r="H27" s="46" t="inlineStr">
        <is>
          <t>Cross-layer</t>
        </is>
      </c>
      <c r="I27" s="45" t="inlineStr">
        <is>
          <t>Inter-layer</t>
        </is>
      </c>
      <c r="J27" s="46" t="inlineStr">
        <is>
          <t>Medium</t>
        </is>
      </c>
      <c r="K27" s="45" t="inlineStr">
        <is>
          <t>Business Rules</t>
        </is>
      </c>
      <c r="L27" s="46" t="inlineStr">
        <is>
          <t>Yes</t>
        </is>
      </c>
      <c r="M27" s="45" t="inlineStr">
        <is>
          <t>-</t>
        </is>
      </c>
      <c r="N27" s="46" t="inlineStr">
        <is>
          <t>-</t>
        </is>
      </c>
      <c r="O27" s="21" t="n"/>
      <c r="P27" s="21" t="n"/>
      <c r="Q27" s="21" t="n"/>
      <c r="R27" s="21" t="n"/>
      <c r="S27" s="21" t="n"/>
      <c r="T27" s="21" t="n"/>
    </row>
    <row r="28" ht="18.75" customFormat="1" customHeight="1" s="4">
      <c r="A28" s="45" t="inlineStr">
        <is>
          <t>RR_004</t>
        </is>
      </c>
      <c r="B28" s="46" t="inlineStr">
        <is>
          <t>api/views.py:GeneratePDFAPI.post</t>
        </is>
      </c>
      <c r="C28" s="45" t="inlineStr">
        <is>
          <t>View contains ReportLab PDF generation for faculty course grade sheets</t>
        </is>
      </c>
      <c r="D28" s="46" t="inlineStr">
        <is>
          <t>Fat View</t>
        </is>
      </c>
      <c r="E28" s="45" t="inlineStr">
        <is>
          <t>Extract Service</t>
        </is>
      </c>
      <c r="F28" s="46" t="inlineStr">
        <is>
          <t>Architecture Conformance</t>
        </is>
      </c>
      <c r="G28" s="45" t="inlineStr">
        <is>
          <t>Critical</t>
        </is>
      </c>
      <c r="H28" s="46" t="inlineStr">
        <is>
          <t>Cross-layer</t>
        </is>
      </c>
      <c r="I28" s="45" t="inlineStr">
        <is>
          <t>Inter-layer</t>
        </is>
      </c>
      <c r="J28" s="46" t="inlineStr">
        <is>
          <t>Medium</t>
        </is>
      </c>
      <c r="K28" s="45" t="inlineStr">
        <is>
          <t>Business Rules</t>
        </is>
      </c>
      <c r="L28" s="46" t="inlineStr">
        <is>
          <t>Yes</t>
        </is>
      </c>
      <c r="M28" s="45" t="inlineStr">
        <is>
          <t>-</t>
        </is>
      </c>
      <c r="N28" s="46" t="inlineStr">
        <is>
          <t>-</t>
        </is>
      </c>
      <c r="O28" s="21" t="n"/>
      <c r="P28" s="21" t="n"/>
      <c r="Q28" s="21" t="n"/>
      <c r="R28" s="21" t="n"/>
      <c r="S28" s="21" t="n"/>
      <c r="T28" s="21" t="n"/>
    </row>
    <row r="29" ht="18.75" customFormat="1" customHeight="1" s="4">
      <c r="A29" s="45" t="inlineStr">
        <is>
          <t>RR_005</t>
        </is>
      </c>
      <c r="B29" s="46" t="inlineStr">
        <is>
          <t>api/views.py:GeneratePDFAPI.generate_student_result_pdf</t>
        </is>
      </c>
      <c r="C29" s="45" t="inlineStr">
        <is>
          <t>View method contains ReportLab PDF generation for student result marksheet</t>
        </is>
      </c>
      <c r="D29" s="46" t="inlineStr">
        <is>
          <t>Fat View</t>
        </is>
      </c>
      <c r="E29" s="45" t="inlineStr">
        <is>
          <t>Extract Service</t>
        </is>
      </c>
      <c r="F29" s="46" t="inlineStr">
        <is>
          <t>Architecture Conformance</t>
        </is>
      </c>
      <c r="G29" s="45" t="inlineStr">
        <is>
          <t>Critical</t>
        </is>
      </c>
      <c r="H29" s="46" t="inlineStr">
        <is>
          <t>Cross-layer</t>
        </is>
      </c>
      <c r="I29" s="45" t="inlineStr">
        <is>
          <t>Inter-layer</t>
        </is>
      </c>
      <c r="J29" s="46" t="inlineStr">
        <is>
          <t>Medium</t>
        </is>
      </c>
      <c r="K29" s="45" t="inlineStr">
        <is>
          <t>Business Rules</t>
        </is>
      </c>
      <c r="L29" s="46" t="inlineStr">
        <is>
          <t>Yes</t>
        </is>
      </c>
      <c r="M29" s="45" t="inlineStr">
        <is>
          <t>-</t>
        </is>
      </c>
      <c r="N29" s="46" t="inlineStr">
        <is>
          <t>-</t>
        </is>
      </c>
      <c r="O29" s="21" t="n"/>
      <c r="P29" s="21" t="n"/>
      <c r="Q29" s="21" t="n"/>
      <c r="R29" s="21" t="n"/>
      <c r="S29" s="21" t="n"/>
      <c r="T29" s="21" t="n"/>
    </row>
    <row r="30" ht="18.75" customFormat="1" customHeight="1" s="4">
      <c r="A30" s="45" t="inlineStr">
        <is>
          <t>RR_006</t>
        </is>
      </c>
      <c r="B30" s="46" t="inlineStr">
        <is>
          <t>api/views.py:GenerateStudentResultPDFAPI.post</t>
        </is>
      </c>
      <c r="C30" s="45" t="inlineStr">
        <is>
          <t>View contains DB fetch fallback and full PDF generation for student results</t>
        </is>
      </c>
      <c r="D30" s="46" t="inlineStr">
        <is>
          <t>Fat View</t>
        </is>
      </c>
      <c r="E30" s="45" t="inlineStr">
        <is>
          <t>Extract Service</t>
        </is>
      </c>
      <c r="F30" s="46" t="inlineStr">
        <is>
          <t>Architecture Conformance</t>
        </is>
      </c>
      <c r="G30" s="45" t="inlineStr">
        <is>
          <t>Critical</t>
        </is>
      </c>
      <c r="H30" s="46" t="inlineStr">
        <is>
          <t>Cross-layer</t>
        </is>
      </c>
      <c r="I30" s="45" t="inlineStr">
        <is>
          <t>Inter-layer</t>
        </is>
      </c>
      <c r="J30" s="46" t="inlineStr">
        <is>
          <t>Medium</t>
        </is>
      </c>
      <c r="K30" s="45" t="inlineStr">
        <is>
          <t>Business Rules</t>
        </is>
      </c>
      <c r="L30" s="46" t="inlineStr">
        <is>
          <t>Yes</t>
        </is>
      </c>
      <c r="M30" s="45" t="inlineStr">
        <is>
          <t>-</t>
        </is>
      </c>
      <c r="N30" s="46" t="inlineStr">
        <is>
          <t>-</t>
        </is>
      </c>
      <c r="O30" s="21" t="n"/>
      <c r="P30" s="21" t="n"/>
      <c r="Q30" s="21" t="n"/>
      <c r="R30" s="21" t="n"/>
      <c r="S30" s="21" t="n"/>
      <c r="T30" s="21" t="n"/>
    </row>
    <row r="31" ht="18.75" customFormat="1" customHeight="1" s="4">
      <c r="A31" s="45" t="inlineStr">
        <is>
          <t>RR_007</t>
        </is>
      </c>
      <c r="B31" s="46" t="inlineStr">
        <is>
          <t>api/views.py:GradeStatusAPI.post</t>
        </is>
      </c>
      <c r="C31" s="45" t="inlineStr">
        <is>
          <t>View contains multi-table aggregation for course grade status with instructor and authentication lookups</t>
        </is>
      </c>
      <c r="D31" s="46" t="inlineStr">
        <is>
          <t>Fat View</t>
        </is>
      </c>
      <c r="E31" s="45" t="inlineStr">
        <is>
          <t>Extract Service</t>
        </is>
      </c>
      <c r="F31" s="46" t="inlineStr">
        <is>
          <t>Architecture Conformance</t>
        </is>
      </c>
      <c r="G31" s="45" t="inlineStr">
        <is>
          <t>Major</t>
        </is>
      </c>
      <c r="H31" s="46" t="inlineStr">
        <is>
          <t>Cross-layer</t>
        </is>
      </c>
      <c r="I31" s="45" t="inlineStr">
        <is>
          <t>Inter-layer</t>
        </is>
      </c>
      <c r="J31" s="46" t="inlineStr">
        <is>
          <t>Medium</t>
        </is>
      </c>
      <c r="K31" s="45" t="inlineStr">
        <is>
          <t>Business Rules</t>
        </is>
      </c>
      <c r="L31" s="46" t="inlineStr">
        <is>
          <t>Yes</t>
        </is>
      </c>
      <c r="M31" s="45" t="inlineStr">
        <is>
          <t>-</t>
        </is>
      </c>
      <c r="N31" s="46" t="inlineStr">
        <is>
          <t>-</t>
        </is>
      </c>
      <c r="O31" s="21" t="n"/>
      <c r="P31" s="21" t="n"/>
      <c r="Q31" s="21" t="n"/>
      <c r="R31" s="21" t="n"/>
      <c r="S31" s="21" t="n"/>
      <c r="T31" s="21" t="n"/>
    </row>
    <row r="32" ht="18.75" customFormat="1" customHeight="1" s="4">
      <c r="A32" s="45" t="inlineStr">
        <is>
          <t>RR_008</t>
        </is>
      </c>
      <c r="B32" s="46" t="inlineStr">
        <is>
          <t>api/views.py:GradeSummaryAPI.post</t>
        </is>
      </c>
      <c r="C32" s="45" t="inlineStr">
        <is>
          <t>View contains raw SQL query for grade distribution summary</t>
        </is>
      </c>
      <c r="D32" s="46" t="inlineStr">
        <is>
          <t>Fat View</t>
        </is>
      </c>
      <c r="E32" s="45" t="inlineStr">
        <is>
          <t>Extract Service</t>
        </is>
      </c>
      <c r="F32" s="46" t="inlineStr">
        <is>
          <t>Architecture Conformance</t>
        </is>
      </c>
      <c r="G32" s="45" t="inlineStr">
        <is>
          <t>Major</t>
        </is>
      </c>
      <c r="H32" s="46" t="inlineStr">
        <is>
          <t>Cross-layer</t>
        </is>
      </c>
      <c r="I32" s="45" t="inlineStr">
        <is>
          <t>Inter-layer</t>
        </is>
      </c>
      <c r="J32" s="46" t="inlineStr">
        <is>
          <t>Medium</t>
        </is>
      </c>
      <c r="K32" s="45" t="inlineStr">
        <is>
          <t>Business Rules</t>
        </is>
      </c>
      <c r="L32" s="46" t="inlineStr">
        <is>
          <t>Yes</t>
        </is>
      </c>
      <c r="M32" s="45" t="inlineStr">
        <is>
          <t>-</t>
        </is>
      </c>
      <c r="N32" s="46" t="inlineStr">
        <is>
          <t>-</t>
        </is>
      </c>
      <c r="O32" s="21" t="n"/>
      <c r="P32" s="21" t="n"/>
      <c r="Q32" s="21" t="n"/>
      <c r="R32" s="21" t="n"/>
      <c r="S32" s="21" t="n"/>
      <c r="T32" s="21" t="n"/>
    </row>
    <row r="33" ht="18.75" customFormat="1" customHeight="1" s="4">
      <c r="A33" s="45" t="inlineStr">
        <is>
          <t>RR_009</t>
        </is>
      </c>
      <c r="B33" s="46" t="inlineStr">
        <is>
          <t>api/views.py:CheckResultView.post</t>
        </is>
      </c>
      <c r="C33" s="45" t="inlineStr">
        <is>
          <t>View contains student lookup, announcement check, SPI/CPI computation, and response construction</t>
        </is>
      </c>
      <c r="D33" s="46" t="inlineStr">
        <is>
          <t>Fat View</t>
        </is>
      </c>
      <c r="E33" s="45" t="inlineStr">
        <is>
          <t>Extract Service</t>
        </is>
      </c>
      <c r="F33" s="46" t="inlineStr">
        <is>
          <t>Architecture Conformance</t>
        </is>
      </c>
      <c r="G33" s="45" t="inlineStr">
        <is>
          <t>Major</t>
        </is>
      </c>
      <c r="H33" s="46" t="inlineStr">
        <is>
          <t>Cross-layer</t>
        </is>
      </c>
      <c r="I33" s="45" t="inlineStr">
        <is>
          <t>Inter-layer</t>
        </is>
      </c>
      <c r="J33" s="46" t="inlineStr">
        <is>
          <t>Medium</t>
        </is>
      </c>
      <c r="K33" s="45" t="inlineStr">
        <is>
          <t>Business Rules</t>
        </is>
      </c>
      <c r="L33" s="46" t="inlineStr">
        <is>
          <t>Yes</t>
        </is>
      </c>
      <c r="M33" s="45" t="inlineStr">
        <is>
          <t>-</t>
        </is>
      </c>
      <c r="N33" s="46" t="inlineStr">
        <is>
          <t>-</t>
        </is>
      </c>
      <c r="O33" s="21" t="n"/>
      <c r="P33" s="21" t="n"/>
      <c r="Q33" s="21" t="n"/>
      <c r="R33" s="21" t="n"/>
      <c r="S33" s="21" t="n"/>
      <c r="T33" s="21" t="n"/>
    </row>
    <row r="34" ht="18.75" customFormat="1" customHeight="1" s="4">
      <c r="A34" s="45" t="inlineStr">
        <is>
          <t>RR_010</t>
        </is>
      </c>
      <c r="B34" s="46" t="inlineStr">
        <is>
          <t>api/views.py:GenerateTranscript.post</t>
        </is>
      </c>
      <c r="C34" s="45" t="inlineStr">
        <is>
          <t>View contains JSON parsing, student lookup, SPI/CPI computation, and transcript data assembly</t>
        </is>
      </c>
      <c r="D34" s="46" t="inlineStr">
        <is>
          <t>Fat View</t>
        </is>
      </c>
      <c r="E34" s="45" t="inlineStr">
        <is>
          <t>Extract Service</t>
        </is>
      </c>
      <c r="F34" s="46" t="inlineStr">
        <is>
          <t>Architecture Conformance</t>
        </is>
      </c>
      <c r="G34" s="45" t="inlineStr">
        <is>
          <t>Major</t>
        </is>
      </c>
      <c r="H34" s="46" t="inlineStr">
        <is>
          <t>Cross-layer</t>
        </is>
      </c>
      <c r="I34" s="45" t="inlineStr">
        <is>
          <t>Inter-layer</t>
        </is>
      </c>
      <c r="J34" s="46" t="inlineStr">
        <is>
          <t>Medium</t>
        </is>
      </c>
      <c r="K34" s="45" t="inlineStr">
        <is>
          <t>Business Rules</t>
        </is>
      </c>
      <c r="L34" s="46" t="inlineStr">
        <is>
          <t>Yes</t>
        </is>
      </c>
      <c r="M34" s="45" t="inlineStr">
        <is>
          <t>-</t>
        </is>
      </c>
      <c r="N34" s="46" t="inlineStr">
        <is>
          <t>-</t>
        </is>
      </c>
      <c r="O34" s="21" t="n"/>
      <c r="P34" s="21" t="n"/>
      <c r="Q34" s="21" t="n"/>
      <c r="R34" s="21" t="n"/>
      <c r="S34" s="21" t="n"/>
      <c r="T34" s="21" t="n"/>
    </row>
    <row r="35" ht="18.75" customFormat="1" customHeight="1" s="4">
      <c r="A35" s="45" t="inlineStr">
        <is>
          <t>RR_011</t>
        </is>
      </c>
      <c r="B35" s="46" t="inlineStr">
        <is>
          <t>api/views.py:ModerateStudentGradesAPI.post</t>
        </is>
      </c>
      <c r="C35" s="45" t="inlineStr">
        <is>
          <t>View contains grade update loop, hidden grade creation fallback, and CSV response generation</t>
        </is>
      </c>
      <c r="D35" s="46" t="inlineStr">
        <is>
          <t>Fat View</t>
        </is>
      </c>
      <c r="E35" s="45" t="inlineStr">
        <is>
          <t>Extract Service</t>
        </is>
      </c>
      <c r="F35" s="46" t="inlineStr">
        <is>
          <t>Architecture Conformance</t>
        </is>
      </c>
      <c r="G35" s="45" t="inlineStr">
        <is>
          <t>Major</t>
        </is>
      </c>
      <c r="H35" s="46" t="inlineStr">
        <is>
          <t>Cross-layer</t>
        </is>
      </c>
      <c r="I35" s="45" t="inlineStr">
        <is>
          <t>Inter-layer</t>
        </is>
      </c>
      <c r="J35" s="46" t="inlineStr">
        <is>
          <t>Medium</t>
        </is>
      </c>
      <c r="K35" s="45" t="inlineStr">
        <is>
          <t>Business Rules</t>
        </is>
      </c>
      <c r="L35" s="46" t="inlineStr">
        <is>
          <t>Yes</t>
        </is>
      </c>
      <c r="M35" s="45" t="inlineStr">
        <is>
          <t>-</t>
        </is>
      </c>
      <c r="N35" s="46" t="inlineStr">
        <is>
          <t>-</t>
        </is>
      </c>
      <c r="O35" s="21" t="n"/>
      <c r="P35" s="21" t="n"/>
      <c r="Q35" s="21" t="n"/>
      <c r="R35" s="21" t="n"/>
      <c r="S35" s="21" t="n"/>
      <c r="T35" s="21" t="n"/>
    </row>
    <row r="36" ht="18.75" customFormat="1" customHeight="1" s="4">
      <c r="A36" s="45" t="inlineStr">
        <is>
          <t>RR_012</t>
        </is>
      </c>
      <c r="B36" s="46" t="inlineStr">
        <is>
          <t>api/views.py:ValidateDeanSubmitView.post</t>
        </is>
      </c>
      <c r="C36" s="45" t="inlineStr">
        <is>
          <t>View contains CSV parsing and grade mismatch comparison logic</t>
        </is>
      </c>
      <c r="D36" s="46" t="inlineStr">
        <is>
          <t>Fat View</t>
        </is>
      </c>
      <c r="E36" s="45" t="inlineStr">
        <is>
          <t>Extract Service</t>
        </is>
      </c>
      <c r="F36" s="46" t="inlineStr">
        <is>
          <t>Architecture Conformance</t>
        </is>
      </c>
      <c r="G36" s="45" t="inlineStr">
        <is>
          <t>Major</t>
        </is>
      </c>
      <c r="H36" s="46" t="inlineStr">
        <is>
          <t>Cross-layer</t>
        </is>
      </c>
      <c r="I36" s="45" t="inlineStr">
        <is>
          <t>Inter-layer</t>
        </is>
      </c>
      <c r="J36" s="46" t="inlineStr">
        <is>
          <t>Medium</t>
        </is>
      </c>
      <c r="K36" s="45" t="inlineStr">
        <is>
          <t>Business Rules</t>
        </is>
      </c>
      <c r="L36" s="46" t="inlineStr">
        <is>
          <t>Yes</t>
        </is>
      </c>
      <c r="M36" s="45" t="inlineStr">
        <is>
          <t>-</t>
        </is>
      </c>
      <c r="N36" s="46" t="inlineStr">
        <is>
          <t>-</t>
        </is>
      </c>
      <c r="O36" s="21" t="n"/>
      <c r="P36" s="21" t="n"/>
      <c r="Q36" s="21" t="n"/>
      <c r="R36" s="21" t="n"/>
      <c r="S36" s="21" t="n"/>
      <c r="T36" s="21" t="n"/>
    </row>
    <row r="37" ht="18.75" customFormat="1" customHeight="1" s="4">
      <c r="A37" s="45" t="inlineStr">
        <is>
          <t>RR_013</t>
        </is>
      </c>
      <c r="B37" s="46" t="inlineStr">
        <is>
          <t>api/views.py:PreviewGradesAPI.post</t>
        </is>
      </c>
      <c r="C37" s="45" t="inlineStr">
        <is>
          <t>View contains CSV parsing and registration status cross-check logic</t>
        </is>
      </c>
      <c r="D37" s="46" t="inlineStr">
        <is>
          <t>Fat View</t>
        </is>
      </c>
      <c r="E37" s="45" t="inlineStr">
        <is>
          <t>Extract Service</t>
        </is>
      </c>
      <c r="F37" s="46" t="inlineStr">
        <is>
          <t>Architecture Conformance</t>
        </is>
      </c>
      <c r="G37" s="45" t="inlineStr">
        <is>
          <t>Major</t>
        </is>
      </c>
      <c r="H37" s="46" t="inlineStr">
        <is>
          <t>Cross-layer</t>
        </is>
      </c>
      <c r="I37" s="45" t="inlineStr">
        <is>
          <t>Inter-layer</t>
        </is>
      </c>
      <c r="J37" s="46" t="inlineStr">
        <is>
          <t>Medium</t>
        </is>
      </c>
      <c r="K37" s="45" t="inlineStr">
        <is>
          <t>Business Rules</t>
        </is>
      </c>
      <c r="L37" s="46" t="inlineStr">
        <is>
          <t>Yes</t>
        </is>
      </c>
      <c r="M37" s="45" t="inlineStr">
        <is>
          <t>-</t>
        </is>
      </c>
      <c r="N37" s="46" t="inlineStr">
        <is>
          <t>-</t>
        </is>
      </c>
      <c r="O37" s="21" t="n"/>
      <c r="P37" s="21" t="n"/>
      <c r="Q37" s="21" t="n"/>
      <c r="R37" s="21" t="n"/>
      <c r="S37" s="21" t="n"/>
      <c r="T37" s="21" t="n"/>
    </row>
    <row r="38" ht="18.75" customFormat="1" customHeight="1" s="4">
      <c r="A38" s="45" t="inlineStr">
        <is>
          <t>RR_014</t>
        </is>
      </c>
      <c r="B38" s="46" t="inlineStr">
        <is>
          <t>api/views.py:SubmitGradesProfAPI.post</t>
        </is>
      </c>
      <c r="C38" s="45" t="inlineStr">
        <is>
          <t>View contains instructor course lookup with programme-type filtering and student count computation</t>
        </is>
      </c>
      <c r="D38" s="46" t="inlineStr">
        <is>
          <t>Fat View</t>
        </is>
      </c>
      <c r="E38" s="45" t="inlineStr">
        <is>
          <t>Extract Service</t>
        </is>
      </c>
      <c r="F38" s="46" t="inlineStr">
        <is>
          <t>Architecture Conformance</t>
        </is>
      </c>
      <c r="G38" s="45" t="inlineStr">
        <is>
          <t>Major</t>
        </is>
      </c>
      <c r="H38" s="46" t="inlineStr">
        <is>
          <t>Cross-layer</t>
        </is>
      </c>
      <c r="I38" s="45" t="inlineStr">
        <is>
          <t>Inter-layer</t>
        </is>
      </c>
      <c r="J38" s="46" t="inlineStr">
        <is>
          <t>Medium</t>
        </is>
      </c>
      <c r="K38" s="45" t="inlineStr">
        <is>
          <t>Business Rules</t>
        </is>
      </c>
      <c r="L38" s="46" t="inlineStr">
        <is>
          <t>Yes</t>
        </is>
      </c>
      <c r="M38" s="45" t="inlineStr">
        <is>
          <t>-</t>
        </is>
      </c>
      <c r="N38" s="46" t="inlineStr">
        <is>
          <t>-</t>
        </is>
      </c>
      <c r="O38" s="21" t="n"/>
      <c r="P38" s="21" t="n"/>
      <c r="Q38" s="21" t="n"/>
      <c r="R38" s="21" t="n"/>
      <c r="S38" s="21" t="n"/>
      <c r="T38" s="21" t="n"/>
    </row>
    <row r="39" ht="18.75" customFormat="1" customHeight="1" s="4">
      <c r="A39" s="45" t="inlineStr">
        <is>
          <t>RR_015</t>
        </is>
      </c>
      <c r="B39" s="46" t="inlineStr">
        <is>
          <t>api/views.py:DownloadGradesAPI.post</t>
        </is>
      </c>
      <c r="C39" s="45" t="inlineStr">
        <is>
          <t>View contains instructor course filtering and programme-type grade filtering</t>
        </is>
      </c>
      <c r="D39" s="46" t="inlineStr">
        <is>
          <t>Fat View</t>
        </is>
      </c>
      <c r="E39" s="45" t="inlineStr">
        <is>
          <t>Extract Service</t>
        </is>
      </c>
      <c r="F39" s="46" t="inlineStr">
        <is>
          <t>Architecture Conformance</t>
        </is>
      </c>
      <c r="G39" s="45" t="inlineStr">
        <is>
          <t>Major</t>
        </is>
      </c>
      <c r="H39" s="46" t="inlineStr">
        <is>
          <t>Cross-layer</t>
        </is>
      </c>
      <c r="I39" s="45" t="inlineStr">
        <is>
          <t>Inter-layer</t>
        </is>
      </c>
      <c r="J39" s="46" t="inlineStr">
        <is>
          <t>Medium</t>
        </is>
      </c>
      <c r="K39" s="45" t="inlineStr">
        <is>
          <t>Business Rules</t>
        </is>
      </c>
      <c r="L39" s="46" t="inlineStr">
        <is>
          <t>Yes</t>
        </is>
      </c>
      <c r="M39" s="45" t="inlineStr">
        <is>
          <t>-</t>
        </is>
      </c>
      <c r="N39" s="46" t="inlineStr">
        <is>
          <t>-</t>
        </is>
      </c>
      <c r="O39" s="21" t="n"/>
      <c r="P39" s="21" t="n"/>
      <c r="Q39" s="21" t="n"/>
      <c r="R39" s="21" t="n"/>
      <c r="S39" s="21" t="n"/>
      <c r="T39" s="21" t="n"/>
    </row>
    <row r="40" ht="18.75" customFormat="1" customHeight="1" s="4">
      <c r="A40" s="45" t="inlineStr">
        <is>
          <t>RR_016</t>
        </is>
      </c>
      <c r="B40" s="46" t="inlineStr">
        <is>
          <t>api/views.py:ResultAnnouncementListAPI.get</t>
        </is>
      </c>
      <c r="C40" s="45" t="inlineStr">
        <is>
          <t>View contains announcement aggregation with computed batch labels and batch options</t>
        </is>
      </c>
      <c r="D40" s="46" t="inlineStr">
        <is>
          <t>Fat View</t>
        </is>
      </c>
      <c r="E40" s="45" t="inlineStr">
        <is>
          <t>Extract Service</t>
        </is>
      </c>
      <c r="F40" s="46" t="inlineStr">
        <is>
          <t>Architecture Conformance</t>
        </is>
      </c>
      <c r="G40" s="45" t="inlineStr">
        <is>
          <t>Moderate</t>
        </is>
      </c>
      <c r="H40" s="46" t="inlineStr">
        <is>
          <t>Cross-layer</t>
        </is>
      </c>
      <c r="I40" s="45" t="inlineStr">
        <is>
          <t>Inter-layer</t>
        </is>
      </c>
      <c r="J40" s="46" t="inlineStr">
        <is>
          <t>Low</t>
        </is>
      </c>
      <c r="K40" s="45" t="inlineStr">
        <is>
          <t>Business Rules</t>
        </is>
      </c>
      <c r="L40" s="46" t="inlineStr">
        <is>
          <t>Yes</t>
        </is>
      </c>
      <c r="M40" s="45" t="inlineStr">
        <is>
          <t>-</t>
        </is>
      </c>
      <c r="N40" s="46" t="inlineStr">
        <is>
          <t>-</t>
        </is>
      </c>
      <c r="O40" s="21" t="n"/>
      <c r="P40" s="21" t="n"/>
      <c r="Q40" s="21" t="n"/>
      <c r="R40" s="21" t="n"/>
      <c r="S40" s="21" t="n"/>
      <c r="T40" s="21" t="n"/>
    </row>
    <row r="41" ht="18.75" customFormat="1" customHeight="1" s="4">
      <c r="A41" s="45" t="inlineStr">
        <is>
          <t>RR_017</t>
        </is>
      </c>
      <c r="B41" s="46" t="inlineStr">
        <is>
          <t>api/views.py:download_template</t>
        </is>
      </c>
      <c r="C41" s="45" t="inlineStr">
        <is>
          <t>View contains CSV template generation with student branch resolution</t>
        </is>
      </c>
      <c r="D41" s="46" t="inlineStr">
        <is>
          <t>Fat View</t>
        </is>
      </c>
      <c r="E41" s="45" t="inlineStr">
        <is>
          <t>Extract Service</t>
        </is>
      </c>
      <c r="F41" s="46" t="inlineStr">
        <is>
          <t>Architecture Conformance</t>
        </is>
      </c>
      <c r="G41" s="45" t="inlineStr">
        <is>
          <t>Major</t>
        </is>
      </c>
      <c r="H41" s="46" t="inlineStr">
        <is>
          <t>Cross-layer</t>
        </is>
      </c>
      <c r="I41" s="45" t="inlineStr">
        <is>
          <t>Inter-layer</t>
        </is>
      </c>
      <c r="J41" s="46" t="inlineStr">
        <is>
          <t>Medium</t>
        </is>
      </c>
      <c r="K41" s="45" t="inlineStr">
        <is>
          <t>Business Rules</t>
        </is>
      </c>
      <c r="L41" s="46" t="inlineStr">
        <is>
          <t>Yes</t>
        </is>
      </c>
      <c r="M41" s="45" t="inlineStr">
        <is>
          <t>-</t>
        </is>
      </c>
      <c r="N41" s="46" t="inlineStr">
        <is>
          <t>-</t>
        </is>
      </c>
      <c r="O41" s="21" t="n"/>
      <c r="P41" s="21" t="n"/>
      <c r="Q41" s="21" t="n"/>
      <c r="R41" s="21" t="n"/>
      <c r="S41" s="21" t="n"/>
      <c r="T41" s="21" t="n"/>
    </row>
    <row r="42" ht="18.75" customFormat="1" customHeight="1" s="4">
      <c r="A42" s="45" t="inlineStr">
        <is>
          <t>RR_018</t>
        </is>
      </c>
      <c r="B42" s="46" t="inlineStr">
        <is>
          <t>api/views.py:check_course_students</t>
        </is>
      </c>
      <c r="C42" s="45" t="inlineStr">
        <is>
          <t>View contains registration count logic with programme filtering</t>
        </is>
      </c>
      <c r="D42" s="46" t="inlineStr">
        <is>
          <t>Fat View</t>
        </is>
      </c>
      <c r="E42" s="45" t="inlineStr">
        <is>
          <t>Extract Service</t>
        </is>
      </c>
      <c r="F42" s="46" t="inlineStr">
        <is>
          <t>Architecture Conformance</t>
        </is>
      </c>
      <c r="G42" s="45" t="inlineStr">
        <is>
          <t>Moderate</t>
        </is>
      </c>
      <c r="H42" s="46" t="inlineStr">
        <is>
          <t>Cross-layer</t>
        </is>
      </c>
      <c r="I42" s="45" t="inlineStr">
        <is>
          <t>Inter-layer</t>
        </is>
      </c>
      <c r="J42" s="46" t="inlineStr">
        <is>
          <t>Low</t>
        </is>
      </c>
      <c r="K42" s="45" t="inlineStr">
        <is>
          <t>Business Rules</t>
        </is>
      </c>
      <c r="L42" s="46" t="inlineStr">
        <is>
          <t>Yes</t>
        </is>
      </c>
      <c r="M42" s="45" t="inlineStr">
        <is>
          <t>-</t>
        </is>
      </c>
      <c r="N42" s="46" t="inlineStr">
        <is>
          <t>-</t>
        </is>
      </c>
      <c r="O42" s="21" t="n"/>
      <c r="P42" s="21" t="n"/>
      <c r="Q42" s="21" t="n"/>
      <c r="R42" s="21" t="n"/>
      <c r="S42" s="21" t="n"/>
      <c r="T42" s="21" t="n"/>
    </row>
    <row r="43" ht="18.75" customFormat="1" customHeight="1" s="4">
      <c r="A43" s="45" t="inlineStr">
        <is>
          <t>RR_019</t>
        </is>
      </c>
      <c r="B43" s="46" t="inlineStr">
        <is>
          <t>api/views.py:CreateAnnouncementAPI.post</t>
        </is>
      </c>
      <c r="C43" s="45" t="inlineStr">
        <is>
          <t>View contains get_or_create logic with batch label computation</t>
        </is>
      </c>
      <c r="D43" s="46" t="inlineStr">
        <is>
          <t>Fat View</t>
        </is>
      </c>
      <c r="E43" s="45" t="inlineStr">
        <is>
          <t>Extract Service</t>
        </is>
      </c>
      <c r="F43" s="46" t="inlineStr">
        <is>
          <t>Architecture Conformance</t>
        </is>
      </c>
      <c r="G43" s="45" t="inlineStr">
        <is>
          <t>Moderate</t>
        </is>
      </c>
      <c r="H43" s="46" t="inlineStr">
        <is>
          <t>Cross-layer</t>
        </is>
      </c>
      <c r="I43" s="45" t="inlineStr">
        <is>
          <t>Inter-layer</t>
        </is>
      </c>
      <c r="J43" s="46" t="inlineStr">
        <is>
          <t>Low</t>
        </is>
      </c>
      <c r="K43" s="45" t="inlineStr">
        <is>
          <t>Business Rules</t>
        </is>
      </c>
      <c r="L43" s="46" t="inlineStr">
        <is>
          <t>Yes</t>
        </is>
      </c>
      <c r="M43" s="45" t="inlineStr">
        <is>
          <t>-</t>
        </is>
      </c>
      <c r="N43" s="46" t="inlineStr">
        <is>
          <t>-</t>
        </is>
      </c>
      <c r="O43" s="21" t="n"/>
      <c r="P43" s="21" t="n"/>
      <c r="Q43" s="21" t="n"/>
      <c r="R43" s="21" t="n"/>
      <c r="S43" s="21" t="n"/>
      <c r="T43" s="21" t="n"/>
    </row>
    <row r="44" ht="18.75" customFormat="1" customHeight="1" s="4">
      <c r="A44" s="45" t="inlineStr">
        <is>
          <t>RR_020</t>
        </is>
      </c>
      <c r="B44" s="46" t="inlineStr">
        <is>
          <t>api/views.py:UpdateAnnouncementAPI.post</t>
        </is>
      </c>
      <c r="C44" s="45" t="inlineStr">
        <is>
          <t>View contains announcement update logic</t>
        </is>
      </c>
      <c r="D44" s="46" t="inlineStr">
        <is>
          <t>Fat View</t>
        </is>
      </c>
      <c r="E44" s="45" t="inlineStr">
        <is>
          <t>Extract Service</t>
        </is>
      </c>
      <c r="F44" s="46" t="inlineStr">
        <is>
          <t>Architecture Conformance</t>
        </is>
      </c>
      <c r="G44" s="45" t="inlineStr">
        <is>
          <t>Minor</t>
        </is>
      </c>
      <c r="H44" s="46" t="inlineStr">
        <is>
          <t>Cross-layer</t>
        </is>
      </c>
      <c r="I44" s="45" t="inlineStr">
        <is>
          <t>Inter-layer</t>
        </is>
      </c>
      <c r="J44" s="46" t="inlineStr">
        <is>
          <t>Low</t>
        </is>
      </c>
      <c r="K44" s="45" t="inlineStr">
        <is>
          <t>Local Code</t>
        </is>
      </c>
      <c r="L44" s="46" t="inlineStr">
        <is>
          <t>Yes</t>
        </is>
      </c>
      <c r="M44" s="45" t="inlineStr">
        <is>
          <t>-</t>
        </is>
      </c>
      <c r="N44" s="46" t="inlineStr">
        <is>
          <t>-</t>
        </is>
      </c>
      <c r="O44" s="21" t="n"/>
      <c r="P44" s="21" t="n"/>
      <c r="Q44" s="21" t="n"/>
      <c r="R44" s="21" t="n"/>
      <c r="S44" s="21" t="n"/>
      <c r="T44" s="21" t="n"/>
    </row>
    <row r="45" ht="18.75" customFormat="1" customHeight="1" s="4">
      <c r="A45" s="45" t="inlineStr">
        <is>
          <t>RR_021</t>
        </is>
      </c>
      <c r="B45" s="46" t="inlineStr">
        <is>
          <t>api/views.py:GenerateTranscriptForm.get</t>
        </is>
      </c>
      <c r="C45" s="45" t="inlineStr">
        <is>
          <t>View contains batch, programme, and specialization aggregation</t>
        </is>
      </c>
      <c r="D45" s="46" t="inlineStr">
        <is>
          <t>Fat View</t>
        </is>
      </c>
      <c r="E45" s="45" t="inlineStr">
        <is>
          <t>Extract Service</t>
        </is>
      </c>
      <c r="F45" s="46" t="inlineStr">
        <is>
          <t>Architecture Conformance</t>
        </is>
      </c>
      <c r="G45" s="45" t="inlineStr">
        <is>
          <t>Moderate</t>
        </is>
      </c>
      <c r="H45" s="46" t="inlineStr">
        <is>
          <t>Cross-layer</t>
        </is>
      </c>
      <c r="I45" s="45" t="inlineStr">
        <is>
          <t>Inter-layer</t>
        </is>
      </c>
      <c r="J45" s="46" t="inlineStr">
        <is>
          <t>Low</t>
        </is>
      </c>
      <c r="K45" s="45" t="inlineStr">
        <is>
          <t>Framework</t>
        </is>
      </c>
      <c r="L45" s="46" t="inlineStr">
        <is>
          <t>Yes</t>
        </is>
      </c>
      <c r="M45" s="45" t="inlineStr">
        <is>
          <t>-</t>
        </is>
      </c>
      <c r="N45" s="46" t="inlineStr">
        <is>
          <t>-</t>
        </is>
      </c>
      <c r="O45" s="21" t="n"/>
      <c r="P45" s="21" t="n"/>
      <c r="Q45" s="21" t="n"/>
      <c r="R45" s="21" t="n"/>
      <c r="S45" s="21" t="n"/>
      <c r="T45" s="21" t="n"/>
    </row>
    <row r="46" ht="18.75" customFormat="1" customHeight="1" s="4">
      <c r="A46" s="45" t="inlineStr">
        <is>
          <t>RR_022</t>
        </is>
      </c>
      <c r="B46" s="46" t="inlineStr">
        <is>
          <t>api/views.py:GenerateTranscriptForm.post</t>
        </is>
      </c>
      <c r="C46" s="45" t="inlineStr">
        <is>
          <t>View contains student filtering by batch and specialization</t>
        </is>
      </c>
      <c r="D46" s="46" t="inlineStr">
        <is>
          <t>Fat View</t>
        </is>
      </c>
      <c r="E46" s="45" t="inlineStr">
        <is>
          <t>Extract Service</t>
        </is>
      </c>
      <c r="F46" s="46" t="inlineStr">
        <is>
          <t>Architecture Conformance</t>
        </is>
      </c>
      <c r="G46" s="45" t="inlineStr">
        <is>
          <t>Moderate</t>
        </is>
      </c>
      <c r="H46" s="46" t="inlineStr">
        <is>
          <t>Cross-layer</t>
        </is>
      </c>
      <c r="I46" s="45" t="inlineStr">
        <is>
          <t>Inter-layer</t>
        </is>
      </c>
      <c r="J46" s="46" t="inlineStr">
        <is>
          <t>Low</t>
        </is>
      </c>
      <c r="K46" s="45" t="inlineStr">
        <is>
          <t>Framework</t>
        </is>
      </c>
      <c r="L46" s="46" t="inlineStr">
        <is>
          <t>Yes</t>
        </is>
      </c>
      <c r="M46" s="45" t="inlineStr">
        <is>
          <t>-</t>
        </is>
      </c>
      <c r="N46" s="46" t="inlineStr">
        <is>
          <t>-</t>
        </is>
      </c>
      <c r="O46" s="21" t="n"/>
      <c r="P46" s="21" t="n"/>
      <c r="Q46" s="21" t="n"/>
      <c r="R46" s="21" t="n"/>
      <c r="S46" s="21" t="n"/>
      <c r="T46" s="21" t="n"/>
    </row>
    <row r="47" ht="18.75" customFormat="1" customHeight="1" s="4">
      <c r="A47" s="45" t="inlineStr">
        <is>
          <t>RR_023</t>
        </is>
      </c>
      <c r="B47" s="46" t="inlineStr">
        <is>
          <t>api/views.py:DownloadExcelAPI.post</t>
        </is>
      </c>
      <c r="C47" s="45" t="inlineStr">
        <is>
          <t>View contains CSV response generation for grade data</t>
        </is>
      </c>
      <c r="D47" s="46" t="inlineStr">
        <is>
          <t>Fat View</t>
        </is>
      </c>
      <c r="E47" s="45" t="inlineStr">
        <is>
          <t>Extract Service</t>
        </is>
      </c>
      <c r="F47" s="46" t="inlineStr">
        <is>
          <t>Architecture Conformance</t>
        </is>
      </c>
      <c r="G47" s="45" t="inlineStr">
        <is>
          <t>Moderate</t>
        </is>
      </c>
      <c r="H47" s="46" t="inlineStr">
        <is>
          <t>Cross-layer</t>
        </is>
      </c>
      <c r="I47" s="45" t="inlineStr">
        <is>
          <t>Inter-layer</t>
        </is>
      </c>
      <c r="J47" s="46" t="inlineStr">
        <is>
          <t>Low</t>
        </is>
      </c>
      <c r="K47" s="45" t="inlineStr">
        <is>
          <t>Local Code</t>
        </is>
      </c>
      <c r="L47" s="46" t="inlineStr">
        <is>
          <t>Yes</t>
        </is>
      </c>
      <c r="M47" s="45" t="inlineStr">
        <is>
          <t>-</t>
        </is>
      </c>
      <c r="N47" s="46" t="inlineStr">
        <is>
          <t>-</t>
        </is>
      </c>
      <c r="O47" s="21" t="n"/>
      <c r="P47" s="21" t="n"/>
      <c r="Q47" s="21" t="n"/>
      <c r="R47" s="21" t="n"/>
      <c r="S47" s="21" t="n"/>
      <c r="T47" s="21" t="n"/>
    </row>
    <row r="48" ht="18.75" customFormat="1" customHeight="1" s="4">
      <c r="A48" s="45" t="inlineStr">
        <is>
          <t>RR_024</t>
        </is>
      </c>
      <c r="B48" s="46" t="inlineStr">
        <is>
          <t>api/views.py:StudentSemesterListView.get</t>
        </is>
      </c>
      <c r="C48" s="45" t="inlineStr">
        <is>
          <t>View contains semester list construction with label generation</t>
        </is>
      </c>
      <c r="D48" s="46" t="inlineStr">
        <is>
          <t>Fat View</t>
        </is>
      </c>
      <c r="E48" s="45" t="inlineStr">
        <is>
          <t>Extract Service</t>
        </is>
      </c>
      <c r="F48" s="46" t="inlineStr">
        <is>
          <t>Architecture Conformance</t>
        </is>
      </c>
      <c r="G48" s="45" t="inlineStr">
        <is>
          <t>Moderate</t>
        </is>
      </c>
      <c r="H48" s="46" t="inlineStr">
        <is>
          <t>Cross-layer</t>
        </is>
      </c>
      <c r="I48" s="45" t="inlineStr">
        <is>
          <t>Inter-layer</t>
        </is>
      </c>
      <c r="J48" s="46" t="inlineStr">
        <is>
          <t>Low</t>
        </is>
      </c>
      <c r="K48" s="45" t="inlineStr">
        <is>
          <t>Business Rules</t>
        </is>
      </c>
      <c r="L48" s="46" t="inlineStr">
        <is>
          <t>Yes</t>
        </is>
      </c>
      <c r="M48" s="45" t="inlineStr">
        <is>
          <t>-</t>
        </is>
      </c>
      <c r="N48" s="46" t="inlineStr">
        <is>
          <t>-</t>
        </is>
      </c>
      <c r="O48" s="21" t="n"/>
      <c r="P48" s="21" t="n"/>
      <c r="Q48" s="21" t="n"/>
      <c r="R48" s="21" t="n"/>
      <c r="S48" s="21" t="n"/>
      <c r="T48" s="21" t="n"/>
    </row>
    <row r="49" ht="18.75" customFormat="1" customHeight="1" s="4">
      <c r="A49" s="45" t="inlineStr">
        <is>
          <t>RR_025</t>
        </is>
      </c>
      <c r="B49" s="46" t="inlineStr">
        <is>
          <t>api/views.py:exam_view</t>
        </is>
      </c>
      <c r="C49" s="45" t="inlineStr">
        <is>
          <t>View contains role-to-URL redirect mapping logic</t>
        </is>
      </c>
      <c r="D49" s="46" t="inlineStr">
        <is>
          <t>Fat View</t>
        </is>
      </c>
      <c r="E49" s="45" t="inlineStr">
        <is>
          <t>Extract Service</t>
        </is>
      </c>
      <c r="F49" s="46" t="inlineStr">
        <is>
          <t>Architecture Conformance</t>
        </is>
      </c>
      <c r="G49" s="45" t="inlineStr">
        <is>
          <t>Minor</t>
        </is>
      </c>
      <c r="H49" s="46" t="inlineStr">
        <is>
          <t>Cross-layer</t>
        </is>
      </c>
      <c r="I49" s="45" t="inlineStr">
        <is>
          <t>Inter-layer</t>
        </is>
      </c>
      <c r="J49" s="46" t="inlineStr">
        <is>
          <t>Low</t>
        </is>
      </c>
      <c r="K49" s="45" t="inlineStr">
        <is>
          <t>Workflow</t>
        </is>
      </c>
      <c r="L49" s="46" t="inlineStr">
        <is>
          <t>Yes</t>
        </is>
      </c>
      <c r="M49" s="45" t="inlineStr">
        <is>
          <t>-</t>
        </is>
      </c>
      <c r="N49" s="46" t="inlineStr">
        <is>
          <t>-</t>
        </is>
      </c>
      <c r="O49" s="21" t="n"/>
      <c r="P49" s="21" t="n"/>
      <c r="Q49" s="21" t="n"/>
      <c r="R49" s="21" t="n"/>
      <c r="S49" s="21" t="n"/>
      <c r="T49" s="21" t="n"/>
    </row>
    <row r="50" ht="18.75" customFormat="1" customHeight="1" s="4">
      <c r="A50" s="45" t="inlineStr">
        <is>
          <t>RR_026</t>
        </is>
      </c>
      <c r="B50" s="46" t="inlineStr">
        <is>
          <t>api/views.py:UniqueStudentGradeYearsView.get</t>
        </is>
      </c>
      <c r="C50" s="45" t="inlineStr">
        <is>
          <t>View performs inline distinct academic_year query on Student_grades</t>
        </is>
      </c>
      <c r="D50" s="46" t="inlineStr">
        <is>
          <t>Layer Violation</t>
        </is>
      </c>
      <c r="E50" s="45" t="inlineStr">
        <is>
          <t>Move Query to Manager/QuerySet</t>
        </is>
      </c>
      <c r="F50" s="46" t="inlineStr">
        <is>
          <t>Architecture Conformance</t>
        </is>
      </c>
      <c r="G50" s="45" t="inlineStr">
        <is>
          <t>Moderate</t>
        </is>
      </c>
      <c r="H50" s="46" t="inlineStr">
        <is>
          <t>Cross-layer</t>
        </is>
      </c>
      <c r="I50" s="45" t="inlineStr">
        <is>
          <t>Inter-layer</t>
        </is>
      </c>
      <c r="J50" s="46" t="inlineStr">
        <is>
          <t>Low</t>
        </is>
      </c>
      <c r="K50" s="45" t="inlineStr">
        <is>
          <t>Framework</t>
        </is>
      </c>
      <c r="L50" s="46" t="inlineStr">
        <is>
          <t>Yes</t>
        </is>
      </c>
      <c r="M50" s="45" t="inlineStr">
        <is>
          <t>Custom model manager</t>
        </is>
      </c>
      <c r="N50" s="46" t="inlineStr">
        <is>
          <t>-</t>
        </is>
      </c>
      <c r="O50" s="21" t="n"/>
      <c r="P50" s="21" t="n"/>
      <c r="Q50" s="21" t="n"/>
      <c r="R50" s="21" t="n"/>
      <c r="S50" s="21" t="n"/>
      <c r="T50" s="21" t="n"/>
    </row>
    <row r="51" ht="18.75" customFormat="1" customHeight="1" s="4">
      <c r="A51" s="45" t="inlineStr">
        <is>
          <t>RR_027</t>
        </is>
      </c>
      <c r="B51" s="46" t="inlineStr">
        <is>
          <t>api/views.py:UniqueRegistrationYearsView.get</t>
        </is>
      </c>
      <c r="C51" s="45" t="inlineStr">
        <is>
          <t>View performs inline session query with programme filtering on course_registration</t>
        </is>
      </c>
      <c r="D51" s="46" t="inlineStr">
        <is>
          <t>Layer Violation</t>
        </is>
      </c>
      <c r="E51" s="45" t="inlineStr">
        <is>
          <t>Move Query to Manager/QuerySet</t>
        </is>
      </c>
      <c r="F51" s="46" t="inlineStr">
        <is>
          <t>Architecture Conformance</t>
        </is>
      </c>
      <c r="G51" s="45" t="inlineStr">
        <is>
          <t>Moderate</t>
        </is>
      </c>
      <c r="H51" s="46" t="inlineStr">
        <is>
          <t>Cross-layer</t>
        </is>
      </c>
      <c r="I51" s="45" t="inlineStr">
        <is>
          <t>Inter-layer</t>
        </is>
      </c>
      <c r="J51" s="46" t="inlineStr">
        <is>
          <t>Low</t>
        </is>
      </c>
      <c r="K51" s="45" t="inlineStr">
        <is>
          <t>Framework</t>
        </is>
      </c>
      <c r="L51" s="46" t="inlineStr">
        <is>
          <t>Yes</t>
        </is>
      </c>
      <c r="M51" s="45" t="inlineStr">
        <is>
          <t>Custom model manager</t>
        </is>
      </c>
      <c r="N51" s="46" t="inlineStr">
        <is>
          <t>-</t>
        </is>
      </c>
      <c r="O51" s="21" t="n"/>
      <c r="P51" s="21" t="n"/>
      <c r="Q51" s="21" t="n"/>
      <c r="R51" s="21" t="n"/>
      <c r="S51" s="21" t="n"/>
      <c r="T51" s="21" t="n"/>
    </row>
    <row r="52" ht="18.75" customFormat="1" customHeight="1" s="4">
      <c r="A52" s="45" t="inlineStr">
        <is>
          <t>RR_028</t>
        </is>
      </c>
      <c r="B52" s="46" t="inlineStr">
        <is>
          <t>api/views.py:SubmitGradesView.post</t>
        </is>
      </c>
      <c r="C52" s="45" t="inlineStr">
        <is>
          <t>View performs inline distinct course query on course_registration filtered by session</t>
        </is>
      </c>
      <c r="D52" s="46" t="inlineStr">
        <is>
          <t>Layer Violation</t>
        </is>
      </c>
      <c r="E52" s="45" t="inlineStr">
        <is>
          <t>Move Query to Manager/QuerySet</t>
        </is>
      </c>
      <c r="F52" s="46" t="inlineStr">
        <is>
          <t>Architecture Conformance</t>
        </is>
      </c>
      <c r="G52" s="45" t="inlineStr">
        <is>
          <t>Moderate</t>
        </is>
      </c>
      <c r="H52" s="46" t="inlineStr">
        <is>
          <t>Cross-layer</t>
        </is>
      </c>
      <c r="I52" s="45" t="inlineStr">
        <is>
          <t>Inter-layer</t>
        </is>
      </c>
      <c r="J52" s="46" t="inlineStr">
        <is>
          <t>Low</t>
        </is>
      </c>
      <c r="K52" s="45" t="inlineStr">
        <is>
          <t>Framework</t>
        </is>
      </c>
      <c r="L52" s="46" t="inlineStr">
        <is>
          <t>Yes</t>
        </is>
      </c>
      <c r="M52" s="45" t="inlineStr">
        <is>
          <t>Custom model manager</t>
        </is>
      </c>
      <c r="N52" s="46" t="inlineStr">
        <is>
          <t>-</t>
        </is>
      </c>
      <c r="O52" s="21" t="n"/>
      <c r="P52" s="21" t="n"/>
      <c r="Q52" s="21" t="n"/>
      <c r="R52" s="21" t="n"/>
      <c r="S52" s="21" t="n"/>
      <c r="T52" s="21" t="n"/>
    </row>
    <row r="53" ht="18.75" customFormat="1" customHeight="1" s="4">
      <c r="A53" s="45" t="inlineStr">
        <is>
          <t>RR_029</t>
        </is>
      </c>
      <c r="B53" s="46" t="inlineStr">
        <is>
          <t>api/views.py:UpdateGradesAPI.post</t>
        </is>
      </c>
      <c r="C53" s="45" t="inlineStr">
        <is>
          <t>View performs inline unverified grades query with Cast annotation</t>
        </is>
      </c>
      <c r="D53" s="46" t="inlineStr">
        <is>
          <t>Layer Violation</t>
        </is>
      </c>
      <c r="E53" s="45" t="inlineStr">
        <is>
          <t>Move Query to Manager/QuerySet</t>
        </is>
      </c>
      <c r="F53" s="46" t="inlineStr">
        <is>
          <t>Architecture Conformance</t>
        </is>
      </c>
      <c r="G53" s="45" t="inlineStr">
        <is>
          <t>Moderate</t>
        </is>
      </c>
      <c r="H53" s="46" t="inlineStr">
        <is>
          <t>Cross-layer</t>
        </is>
      </c>
      <c r="I53" s="45" t="inlineStr">
        <is>
          <t>Inter-layer</t>
        </is>
      </c>
      <c r="J53" s="46" t="inlineStr">
        <is>
          <t>Low</t>
        </is>
      </c>
      <c r="K53" s="45" t="inlineStr">
        <is>
          <t>Framework</t>
        </is>
      </c>
      <c r="L53" s="46" t="inlineStr">
        <is>
          <t>Yes</t>
        </is>
      </c>
      <c r="M53" s="45" t="inlineStr">
        <is>
          <t>Custom model manager</t>
        </is>
      </c>
      <c r="N53" s="46" t="inlineStr">
        <is>
          <t>-</t>
        </is>
      </c>
      <c r="O53" s="21" t="n"/>
      <c r="P53" s="21" t="n"/>
      <c r="Q53" s="21" t="n"/>
      <c r="R53" s="21" t="n"/>
      <c r="S53" s="21" t="n"/>
      <c r="T53" s="21" t="n"/>
    </row>
    <row r="54" ht="18.75" customFormat="1" customHeight="1" s="4">
      <c r="A54" s="45" t="inlineStr">
        <is>
          <t>RR_030</t>
        </is>
      </c>
      <c r="B54" s="46" t="inlineStr">
        <is>
          <t>api/views.py:UpdateEnterGradesAPI.post</t>
        </is>
      </c>
      <c r="C54" s="45" t="inlineStr">
        <is>
          <t>View performs inline Student_grades filter and verification check</t>
        </is>
      </c>
      <c r="D54" s="46" t="inlineStr">
        <is>
          <t>Layer Violation</t>
        </is>
      </c>
      <c r="E54" s="45" t="inlineStr">
        <is>
          <t>Move Query to Manager/QuerySet</t>
        </is>
      </c>
      <c r="F54" s="46" t="inlineStr">
        <is>
          <t>Architecture Conformance</t>
        </is>
      </c>
      <c r="G54" s="45" t="inlineStr">
        <is>
          <t>Moderate</t>
        </is>
      </c>
      <c r="H54" s="46" t="inlineStr">
        <is>
          <t>Cross-layer</t>
        </is>
      </c>
      <c r="I54" s="45" t="inlineStr">
        <is>
          <t>Inter-layer</t>
        </is>
      </c>
      <c r="J54" s="46" t="inlineStr">
        <is>
          <t>Low</t>
        </is>
      </c>
      <c r="K54" s="45" t="inlineStr">
        <is>
          <t>Framework</t>
        </is>
      </c>
      <c r="L54" s="46" t="inlineStr">
        <is>
          <t>Yes</t>
        </is>
      </c>
      <c r="M54" s="45" t="inlineStr">
        <is>
          <t>Custom model manager</t>
        </is>
      </c>
      <c r="N54" s="46" t="inlineStr">
        <is>
          <t>-</t>
        </is>
      </c>
      <c r="O54" s="21" t="n"/>
      <c r="P54" s="21" t="n"/>
      <c r="Q54" s="21" t="n"/>
      <c r="R54" s="21" t="n"/>
      <c r="S54" s="21" t="n"/>
      <c r="T54" s="21" t="n"/>
    </row>
    <row r="55" ht="18.75" customHeight="1">
      <c r="A55" s="45" t="inlineStr">
        <is>
          <t>RR_031</t>
        </is>
      </c>
      <c r="B55" s="45" t="inlineStr">
        <is>
          <t>api/views.py:SubmitAPI.post</t>
        </is>
      </c>
      <c r="C55" s="45" t="inlineStr">
        <is>
          <t>View performs inline distinct course query with Cast annotation on course_registration</t>
        </is>
      </c>
      <c r="D55" s="45" t="inlineStr">
        <is>
          <t>Layer Violation</t>
        </is>
      </c>
      <c r="E55" s="45" t="inlineStr">
        <is>
          <t>Move Query to Manager/QuerySet</t>
        </is>
      </c>
      <c r="F55" s="45" t="inlineStr">
        <is>
          <t>Architecture Conformance</t>
        </is>
      </c>
      <c r="G55" s="45" t="inlineStr">
        <is>
          <t>Moderate</t>
        </is>
      </c>
      <c r="H55" s="45" t="inlineStr">
        <is>
          <t>Cross-layer</t>
        </is>
      </c>
      <c r="I55" s="45" t="inlineStr">
        <is>
          <t>Inter-layer</t>
        </is>
      </c>
      <c r="J55" s="45" t="inlineStr">
        <is>
          <t>Low</t>
        </is>
      </c>
      <c r="K55" s="45" t="inlineStr">
        <is>
          <t>Framework</t>
        </is>
      </c>
      <c r="L55" s="45" t="inlineStr">
        <is>
          <t>Yes</t>
        </is>
      </c>
      <c r="M55" s="45" t="inlineStr">
        <is>
          <t>Custom model manager</t>
        </is>
      </c>
      <c r="N55" s="45" t="inlineStr">
        <is>
          <t>-</t>
        </is>
      </c>
      <c r="O55" s="20" t="n"/>
      <c r="P55" s="20" t="n"/>
      <c r="Q55" s="20" t="n"/>
      <c r="R55" s="20" t="n"/>
      <c r="S55" s="20" t="n"/>
      <c r="T55" s="20" t="n"/>
    </row>
    <row r="56" ht="18.75" customHeight="1">
      <c r="A56" s="45" t="inlineStr">
        <is>
          <t>RR_032</t>
        </is>
      </c>
      <c r="B56" s="45" t="inlineStr">
        <is>
          <t>api/views.py:VerifyGradesDeanView.post</t>
        </is>
      </c>
      <c r="C56" s="45" t="inlineStr">
        <is>
          <t>View performs inline course query filtered by academic year and semester type</t>
        </is>
      </c>
      <c r="D56" s="45" t="inlineStr">
        <is>
          <t>Layer Violation</t>
        </is>
      </c>
      <c r="E56" s="45" t="inlineStr">
        <is>
          <t>Move Query to Manager/QuerySet</t>
        </is>
      </c>
      <c r="F56" s="45" t="inlineStr">
        <is>
          <t>Architecture Conformance</t>
        </is>
      </c>
      <c r="G56" s="45" t="inlineStr">
        <is>
          <t>Moderate</t>
        </is>
      </c>
      <c r="H56" s="45" t="inlineStr">
        <is>
          <t>Cross-layer</t>
        </is>
      </c>
      <c r="I56" s="45" t="inlineStr">
        <is>
          <t>Inter-layer</t>
        </is>
      </c>
      <c r="J56" s="45" t="inlineStr">
        <is>
          <t>Low</t>
        </is>
      </c>
      <c r="K56" s="45" t="inlineStr">
        <is>
          <t>Framework</t>
        </is>
      </c>
      <c r="L56" s="45" t="inlineStr">
        <is>
          <t>Yes</t>
        </is>
      </c>
      <c r="M56" s="45" t="inlineStr">
        <is>
          <t>Custom model manager</t>
        </is>
      </c>
      <c r="N56" s="45" t="inlineStr">
        <is>
          <t>-</t>
        </is>
      </c>
      <c r="O56" s="20" t="n"/>
      <c r="P56" s="20" t="n"/>
      <c r="Q56" s="20" t="n"/>
      <c r="R56" s="20" t="n"/>
      <c r="S56" s="20" t="n"/>
      <c r="T56" s="20" t="n"/>
    </row>
    <row r="57" ht="18.75" customHeight="1">
      <c r="A57" s="45" t="inlineStr">
        <is>
          <t>RR_033</t>
        </is>
      </c>
      <c r="B57" s="45" t="inlineStr">
        <is>
          <t>api/views.py:UpdateEnterGradesDeanView.post</t>
        </is>
      </c>
      <c r="C57" s="45" t="inlineStr">
        <is>
          <t>View performs inline Student_grades query for dean course review</t>
        </is>
      </c>
      <c r="D57" s="45" t="inlineStr">
        <is>
          <t>Layer Violation</t>
        </is>
      </c>
      <c r="E57" s="45" t="inlineStr">
        <is>
          <t>Move Query to Manager/QuerySet</t>
        </is>
      </c>
      <c r="F57" s="45" t="inlineStr">
        <is>
          <t>Architecture Conformance</t>
        </is>
      </c>
      <c r="G57" s="45" t="inlineStr">
        <is>
          <t>Moderate</t>
        </is>
      </c>
      <c r="H57" s="45" t="inlineStr">
        <is>
          <t>Cross-layer</t>
        </is>
      </c>
      <c r="I57" s="45" t="inlineStr">
        <is>
          <t>Inter-layer</t>
        </is>
      </c>
      <c r="J57" s="45" t="inlineStr">
        <is>
          <t>Low</t>
        </is>
      </c>
      <c r="K57" s="45" t="inlineStr">
        <is>
          <t>Framework</t>
        </is>
      </c>
      <c r="L57" s="45" t="inlineStr">
        <is>
          <t>Yes</t>
        </is>
      </c>
      <c r="M57" s="45" t="inlineStr">
        <is>
          <t>Custom model manager</t>
        </is>
      </c>
      <c r="N57" s="45" t="inlineStr">
        <is>
          <t>-</t>
        </is>
      </c>
    </row>
    <row r="58" ht="18.75" customFormat="1" customHeight="1" s="4">
      <c r="A58" s="45" t="inlineStr">
        <is>
          <t>RR_034</t>
        </is>
      </c>
      <c r="B58" s="45" t="inlineStr">
        <is>
          <t>api/views.py:ValidateDeanView.post</t>
        </is>
      </c>
      <c r="C58" s="45" t="inlineStr">
        <is>
          <t>View performs inline verified courses query with working_year aggregation</t>
        </is>
      </c>
      <c r="D58" s="45" t="inlineStr">
        <is>
          <t>Layer Violation</t>
        </is>
      </c>
      <c r="E58" s="45" t="inlineStr">
        <is>
          <t>Move Query to Manager/QuerySet</t>
        </is>
      </c>
      <c r="F58" s="45" t="inlineStr">
        <is>
          <t>Architecture Conformance</t>
        </is>
      </c>
      <c r="G58" s="45" t="inlineStr">
        <is>
          <t>Moderate</t>
        </is>
      </c>
      <c r="H58" s="45" t="inlineStr">
        <is>
          <t>Cross-layer</t>
        </is>
      </c>
      <c r="I58" s="45" t="inlineStr">
        <is>
          <t>Inter-layer</t>
        </is>
      </c>
      <c r="J58" s="45" t="inlineStr">
        <is>
          <t>Low</t>
        </is>
      </c>
      <c r="K58" s="45" t="inlineStr">
        <is>
          <t>Framework</t>
        </is>
      </c>
      <c r="L58" s="45" t="inlineStr">
        <is>
          <t>Yes</t>
        </is>
      </c>
      <c r="M58" s="45" t="inlineStr">
        <is>
          <t>Custom model manager</t>
        </is>
      </c>
      <c r="N58" s="45" t="inlineStr">
        <is>
          <t>-</t>
        </is>
      </c>
    </row>
    <row r="59" ht="18.75" customFormat="1" customHeight="1" s="4">
      <c r="A59" s="45" t="inlineStr">
        <is>
          <t>RR_035</t>
        </is>
      </c>
      <c r="B59" s="45" t="inlineStr">
        <is>
          <t>api/views.py:calculate_spi_for_student</t>
        </is>
      </c>
      <c r="C59" s="45" t="inlineStr">
        <is>
          <t>Standalone SPI computation function defined in views module</t>
        </is>
      </c>
      <c r="D59" s="45" t="inlineStr">
        <is>
          <t>Layer Violation</t>
        </is>
      </c>
      <c r="E59" s="45" t="inlineStr">
        <is>
          <t>Move Method</t>
        </is>
      </c>
      <c r="F59" s="45" t="inlineStr">
        <is>
          <t>Architecture Conformance</t>
        </is>
      </c>
      <c r="G59" s="45" t="inlineStr">
        <is>
          <t>Major</t>
        </is>
      </c>
      <c r="H59" s="45" t="inlineStr">
        <is>
          <t>Cross-layer</t>
        </is>
      </c>
      <c r="I59" s="45" t="inlineStr">
        <is>
          <t>Inter-layer</t>
        </is>
      </c>
      <c r="J59" s="45" t="inlineStr">
        <is>
          <t>Medium</t>
        </is>
      </c>
      <c r="K59" s="45" t="inlineStr">
        <is>
          <t>Business Rules</t>
        </is>
      </c>
      <c r="L59" s="45" t="inlineStr">
        <is>
          <t>Yes</t>
        </is>
      </c>
      <c r="M59" s="45" t="inlineStr">
        <is>
          <t>-</t>
        </is>
      </c>
      <c r="N59" s="45" t="inlineStr">
        <is>
          <t>-</t>
        </is>
      </c>
    </row>
    <row r="60" ht="18.75" customFormat="1" customHeight="1" s="4">
      <c r="A60" s="45" t="inlineStr">
        <is>
          <t>RR_036</t>
        </is>
      </c>
      <c r="B60" s="45" t="inlineStr">
        <is>
          <t>api/views.py:calculate_cpi_for_student</t>
        </is>
      </c>
      <c r="C60" s="45" t="inlineStr">
        <is>
          <t>Standalone CPI computation function with replacement chain logic defined in views module</t>
        </is>
      </c>
      <c r="D60" s="45" t="inlineStr">
        <is>
          <t>Layer Violation</t>
        </is>
      </c>
      <c r="E60" s="45" t="inlineStr">
        <is>
          <t>Move Method</t>
        </is>
      </c>
      <c r="F60" s="45" t="inlineStr">
        <is>
          <t>Architecture Conformance</t>
        </is>
      </c>
      <c r="G60" s="45" t="inlineStr">
        <is>
          <t>Major</t>
        </is>
      </c>
      <c r="H60" s="45" t="inlineStr">
        <is>
          <t>Cross-layer</t>
        </is>
      </c>
      <c r="I60" s="45" t="inlineStr">
        <is>
          <t>Inter-layer</t>
        </is>
      </c>
      <c r="J60" s="45" t="inlineStr">
        <is>
          <t>Medium</t>
        </is>
      </c>
      <c r="K60" s="45" t="inlineStr">
        <is>
          <t>Business Rules</t>
        </is>
      </c>
      <c r="L60" s="45" t="inlineStr">
        <is>
          <t>Yes</t>
        </is>
      </c>
      <c r="M60" s="45" t="inlineStr">
        <is>
          <t>-</t>
        </is>
      </c>
      <c r="N60" s="45" t="inlineStr">
        <is>
          <t>-</t>
        </is>
      </c>
    </row>
    <row r="61" ht="18.75" customFormat="1" customHeight="1" s="4">
      <c r="A61" s="45" t="inlineStr">
        <is>
          <t>RR_037</t>
        </is>
      </c>
      <c r="B61" s="45" t="inlineStr">
        <is>
          <t>api/views.py:parse_academic_year</t>
        </is>
      </c>
      <c r="C61" s="45" t="inlineStr">
        <is>
          <t>Standalone academic year parsing utility defined in views module</t>
        </is>
      </c>
      <c r="D61" s="45" t="inlineStr">
        <is>
          <t>Layer Violation</t>
        </is>
      </c>
      <c r="E61" s="45" t="inlineStr">
        <is>
          <t>Move Method</t>
        </is>
      </c>
      <c r="F61" s="45" t="inlineStr">
        <is>
          <t>Architecture Conformance</t>
        </is>
      </c>
      <c r="G61" s="45" t="inlineStr">
        <is>
          <t>Moderate</t>
        </is>
      </c>
      <c r="H61" s="45" t="inlineStr">
        <is>
          <t>Cross-layer</t>
        </is>
      </c>
      <c r="I61" s="45" t="inlineStr">
        <is>
          <t>Inter-layer</t>
        </is>
      </c>
      <c r="J61" s="45" t="inlineStr">
        <is>
          <t>Low</t>
        </is>
      </c>
      <c r="K61" s="45" t="inlineStr">
        <is>
          <t>Business Rules</t>
        </is>
      </c>
      <c r="L61" s="45" t="inlineStr">
        <is>
          <t>Yes</t>
        </is>
      </c>
      <c r="M61" s="45" t="inlineStr">
        <is>
          <t>-</t>
        </is>
      </c>
      <c r="N61" s="45" t="inlineStr">
        <is>
          <t>-</t>
        </is>
      </c>
    </row>
    <row r="62" ht="18.75" customFormat="1" customHeight="1" s="4">
      <c r="A62" s="45" t="inlineStr">
        <is>
          <t>RR_038</t>
        </is>
      </c>
      <c r="B62" s="45" t="inlineStr">
        <is>
          <t>api/views.py:round_from_last_decimal</t>
        </is>
      </c>
      <c r="C62" s="45" t="inlineStr">
        <is>
          <t>Standalone rounding utility defined in views module</t>
        </is>
      </c>
      <c r="D62" s="45" t="inlineStr">
        <is>
          <t>Layer Violation</t>
        </is>
      </c>
      <c r="E62" s="45" t="inlineStr">
        <is>
          <t>Move Method</t>
        </is>
      </c>
      <c r="F62" s="45" t="inlineStr">
        <is>
          <t>Architecture Conformance</t>
        </is>
      </c>
      <c r="G62" s="45" t="inlineStr">
        <is>
          <t>Minor</t>
        </is>
      </c>
      <c r="H62" s="45" t="inlineStr">
        <is>
          <t>Cross-layer</t>
        </is>
      </c>
      <c r="I62" s="45" t="inlineStr">
        <is>
          <t>Inter-layer</t>
        </is>
      </c>
      <c r="J62" s="45" t="inlineStr">
        <is>
          <t>Low</t>
        </is>
      </c>
      <c r="K62" s="45" t="inlineStr">
        <is>
          <t>Local Code</t>
        </is>
      </c>
      <c r="L62" s="45" t="inlineStr">
        <is>
          <t>Yes</t>
        </is>
      </c>
      <c r="M62" s="45" t="inlineStr">
        <is>
          <t>-</t>
        </is>
      </c>
      <c r="N62" s="45" t="inlineStr">
        <is>
          <t>-</t>
        </is>
      </c>
    </row>
    <row r="63" ht="18.75" customFormat="1" customHeight="1" s="4">
      <c r="A63" s="45" t="inlineStr">
        <is>
          <t>RR_039</t>
        </is>
      </c>
      <c r="B63" s="45" t="inlineStr">
        <is>
          <t>api/views.py:is_valid_grade</t>
        </is>
      </c>
      <c r="C63" s="45" t="inlineStr">
        <is>
          <t>Standalone grade validation function defined in views module</t>
        </is>
      </c>
      <c r="D63" s="45" t="inlineStr">
        <is>
          <t>Layer Violation</t>
        </is>
      </c>
      <c r="E63" s="45" t="inlineStr">
        <is>
          <t>Move Method</t>
        </is>
      </c>
      <c r="F63" s="45" t="inlineStr">
        <is>
          <t>Architecture Conformance</t>
        </is>
      </c>
      <c r="G63" s="45" t="inlineStr">
        <is>
          <t>Moderate</t>
        </is>
      </c>
      <c r="H63" s="45" t="inlineStr">
        <is>
          <t>Cross-layer</t>
        </is>
      </c>
      <c r="I63" s="45" t="inlineStr">
        <is>
          <t>Inter-layer</t>
        </is>
      </c>
      <c r="J63" s="45" t="inlineStr">
        <is>
          <t>Low</t>
        </is>
      </c>
      <c r="K63" s="45" t="inlineStr">
        <is>
          <t>Business Rules</t>
        </is>
      </c>
      <c r="L63" s="45" t="inlineStr">
        <is>
          <t>Yes</t>
        </is>
      </c>
      <c r="M63" s="45" t="inlineStr">
        <is>
          <t>-</t>
        </is>
      </c>
      <c r="N63" s="45" t="inlineStr">
        <is>
          <t>-</t>
        </is>
      </c>
    </row>
    <row r="64" ht="18.75" customFormat="1" customHeight="1" s="4">
      <c r="A64" s="45" t="inlineStr">
        <is>
          <t>RR_040</t>
        </is>
      </c>
      <c r="B64" s="45" t="inlineStr">
        <is>
          <t>api/views.py:format_semester_display</t>
        </is>
      </c>
      <c r="C64" s="45" t="inlineStr">
        <is>
          <t>Standalone semester formatting function defined in views module</t>
        </is>
      </c>
      <c r="D64" s="45" t="inlineStr">
        <is>
          <t>Layer Violation</t>
        </is>
      </c>
      <c r="E64" s="45" t="inlineStr">
        <is>
          <t>Move Method</t>
        </is>
      </c>
      <c r="F64" s="45" t="inlineStr">
        <is>
          <t>Architecture Conformance</t>
        </is>
      </c>
      <c r="G64" s="45" t="inlineStr">
        <is>
          <t>Minor</t>
        </is>
      </c>
      <c r="H64" s="45" t="inlineStr">
        <is>
          <t>Cross-layer</t>
        </is>
      </c>
      <c r="I64" s="45" t="inlineStr">
        <is>
          <t>Inter-layer</t>
        </is>
      </c>
      <c r="J64" s="45" t="inlineStr">
        <is>
          <t>Low</t>
        </is>
      </c>
      <c r="K64" s="45" t="inlineStr">
        <is>
          <t>Business Rules</t>
        </is>
      </c>
      <c r="L64" s="45" t="inlineStr">
        <is>
          <t>Yes</t>
        </is>
      </c>
      <c r="M64" s="45" t="inlineStr">
        <is>
          <t>-</t>
        </is>
      </c>
      <c r="N64" s="45" t="inlineStr">
        <is>
          <t>-</t>
        </is>
      </c>
    </row>
    <row r="65" ht="18.75" customFormat="1" customHeight="1" s="4">
      <c r="A65" s="45" t="inlineStr">
        <is>
          <t>RR_041</t>
        </is>
      </c>
      <c r="B65" s="45" t="inlineStr">
        <is>
          <t>api/views.py:make_label</t>
        </is>
      </c>
      <c r="C65" s="45" t="inlineStr">
        <is>
          <t>Standalone semester label function defined in views module</t>
        </is>
      </c>
      <c r="D65" s="45" t="inlineStr">
        <is>
          <t>Layer Violation</t>
        </is>
      </c>
      <c r="E65" s="45" t="inlineStr">
        <is>
          <t>Move Method</t>
        </is>
      </c>
      <c r="F65" s="45" t="inlineStr">
        <is>
          <t>Architecture Conformance</t>
        </is>
      </c>
      <c r="G65" s="45" t="inlineStr">
        <is>
          <t>Minor</t>
        </is>
      </c>
      <c r="H65" s="45" t="inlineStr">
        <is>
          <t>Cross-layer</t>
        </is>
      </c>
      <c r="I65" s="45" t="inlineStr">
        <is>
          <t>Inter-layer</t>
        </is>
      </c>
      <c r="J65" s="45" t="inlineStr">
        <is>
          <t>Low</t>
        </is>
      </c>
      <c r="K65" s="45" t="inlineStr">
        <is>
          <t>Local Code</t>
        </is>
      </c>
      <c r="L65" s="45" t="inlineStr">
        <is>
          <t>Yes</t>
        </is>
      </c>
      <c r="M65" s="45" t="inlineStr">
        <is>
          <t>-</t>
        </is>
      </c>
      <c r="N65" s="45" t="inlineStr">
        <is>
          <t>Renamed to make_semester_label</t>
        </is>
      </c>
    </row>
    <row r="66" ht="18.75" customFormat="1" customHeight="1" s="4">
      <c r="A66" s="45" t="inlineStr">
        <is>
          <t>RR_042</t>
        </is>
      </c>
      <c r="B66" s="45" t="inlineStr">
        <is>
          <t>api/views.py:trace_registration</t>
        </is>
      </c>
      <c r="C66" s="45" t="inlineStr">
        <is>
          <t>Standalone replacement chain traversal function defined in views module</t>
        </is>
      </c>
      <c r="D66" s="45" t="inlineStr">
        <is>
          <t>Layer Violation</t>
        </is>
      </c>
      <c r="E66" s="45" t="inlineStr">
        <is>
          <t>Move Method</t>
        </is>
      </c>
      <c r="F66" s="45" t="inlineStr">
        <is>
          <t>Architecture Conformance</t>
        </is>
      </c>
      <c r="G66" s="45" t="inlineStr">
        <is>
          <t>Moderate</t>
        </is>
      </c>
      <c r="H66" s="45" t="inlineStr">
        <is>
          <t>Cross-layer</t>
        </is>
      </c>
      <c r="I66" s="45" t="inlineStr">
        <is>
          <t>Inter-layer</t>
        </is>
      </c>
      <c r="J66" s="45" t="inlineStr">
        <is>
          <t>Low</t>
        </is>
      </c>
      <c r="K66" s="45" t="inlineStr">
        <is>
          <t>Business Rules</t>
        </is>
      </c>
      <c r="L66" s="45" t="inlineStr">
        <is>
          <t>Yes</t>
        </is>
      </c>
      <c r="M66" s="45" t="inlineStr">
        <is>
          <t>-</t>
        </is>
      </c>
      <c r="N66" s="45" t="inlineStr">
        <is>
          <t>-</t>
        </is>
      </c>
    </row>
    <row r="67" ht="18.75" customFormat="1" customHeight="1" s="4">
      <c r="A67" s="45" t="inlineStr">
        <is>
          <t>RR_043</t>
        </is>
      </c>
      <c r="B67" s="45" t="inlineStr">
        <is>
          <t>api/views.py:gather_related_registrations</t>
        </is>
      </c>
      <c r="C67" s="45" t="inlineStr">
        <is>
          <t>Standalone BFS replacement traversal function defined in views module</t>
        </is>
      </c>
      <c r="D67" s="45" t="inlineStr">
        <is>
          <t>Layer Violation</t>
        </is>
      </c>
      <c r="E67" s="45" t="inlineStr">
        <is>
          <t>Move Method</t>
        </is>
      </c>
      <c r="F67" s="45" t="inlineStr">
        <is>
          <t>Architecture Conformance</t>
        </is>
      </c>
      <c r="G67" s="45" t="inlineStr">
        <is>
          <t>Moderate</t>
        </is>
      </c>
      <c r="H67" s="45" t="inlineStr">
        <is>
          <t>Cross-layer</t>
        </is>
      </c>
      <c r="I67" s="45" t="inlineStr">
        <is>
          <t>Inter-layer</t>
        </is>
      </c>
      <c r="J67" s="45" t="inlineStr">
        <is>
          <t>Medium</t>
        </is>
      </c>
      <c r="K67" s="45" t="inlineStr">
        <is>
          <t>Business Rules</t>
        </is>
      </c>
      <c r="L67" s="45" t="inlineStr">
        <is>
          <t>Yes</t>
        </is>
      </c>
      <c r="M67" s="45" t="inlineStr">
        <is>
          <t>-</t>
        </is>
      </c>
      <c r="N67" s="45" t="inlineStr">
        <is>
          <t>-</t>
        </is>
      </c>
    </row>
    <row r="68" ht="18.75" customFormat="1" customHeight="1" s="4">
      <c r="A68" s="45" t="inlineStr">
        <is>
          <t>RR_044</t>
        </is>
      </c>
      <c r="B68" s="45" t="inlineStr">
        <is>
          <t>api/views.py:CheckResultView.post</t>
        </is>
      </c>
      <c r="C68" s="45" t="inlineStr">
        <is>
          <t>Student info dict construction duplicated across CheckResultView, GenerateTranscript, GenerateStudentResultPDFAPI, and GeneratePDFAPI</t>
        </is>
      </c>
      <c r="D68" s="45" t="inlineStr">
        <is>
          <t>Duplicated Code</t>
        </is>
      </c>
      <c r="E68" s="45" t="inlineStr">
        <is>
          <t>Remove Duplication</t>
        </is>
      </c>
      <c r="F68" s="45" t="inlineStr">
        <is>
          <t>Reusability</t>
        </is>
      </c>
      <c r="G68" s="45" t="inlineStr">
        <is>
          <t>Major</t>
        </is>
      </c>
      <c r="H68" s="45" t="inlineStr">
        <is>
          <t>Cross-file</t>
        </is>
      </c>
      <c r="I68" s="45" t="inlineStr">
        <is>
          <t>Inter-class</t>
        </is>
      </c>
      <c r="J68" s="45" t="inlineStr">
        <is>
          <t>Low</t>
        </is>
      </c>
      <c r="K68" s="45" t="inlineStr">
        <is>
          <t>Business Rules</t>
        </is>
      </c>
      <c r="L68" s="45" t="inlineStr">
        <is>
          <t>Yes</t>
        </is>
      </c>
      <c r="M68" s="45" t="inlineStr">
        <is>
          <t>-</t>
        </is>
      </c>
      <c r="N68" s="45" t="inlineStr">
        <is>
          <t>Consolidated into services._build_student_info</t>
        </is>
      </c>
    </row>
    <row r="69" ht="18.75" customFormat="1" customHeight="1" s="4">
      <c r="A69" s="45" t="inlineStr">
        <is>
          <t>RR_045</t>
        </is>
      </c>
      <c r="B69" s="45" t="inlineStr">
        <is>
          <t>api/views.py:UniqueRegistrationYearsView.get</t>
        </is>
      </c>
      <c r="C69" s="45" t="inlineStr">
        <is>
          <t>Programme-type to programme-list mapping duplicated across 12 views</t>
        </is>
      </c>
      <c r="D69" s="45" t="inlineStr">
        <is>
          <t>Duplicated Code</t>
        </is>
      </c>
      <c r="E69" s="45" t="inlineStr">
        <is>
          <t>Remove Duplication</t>
        </is>
      </c>
      <c r="F69" s="45" t="inlineStr">
        <is>
          <t>Reusability</t>
        </is>
      </c>
      <c r="G69" s="45" t="inlineStr">
        <is>
          <t>Major</t>
        </is>
      </c>
      <c r="H69" s="45" t="inlineStr">
        <is>
          <t>Cross-file</t>
        </is>
      </c>
      <c r="I69" s="45" t="inlineStr">
        <is>
          <t>Inter-class</t>
        </is>
      </c>
      <c r="J69" s="45" t="inlineStr">
        <is>
          <t>Low</t>
        </is>
      </c>
      <c r="K69" s="45" t="inlineStr">
        <is>
          <t>Business Rules</t>
        </is>
      </c>
      <c r="L69" s="45" t="inlineStr">
        <is>
          <t>Yes</t>
        </is>
      </c>
      <c r="M69" s="45" t="inlineStr">
        <is>
          <t>-</t>
        </is>
      </c>
      <c r="N69" s="45" t="inlineStr">
        <is>
          <t>Consolidated into selectors.get_programme_list and selectors.get_student_ids_for_programme</t>
        </is>
      </c>
    </row>
    <row r="70" ht="18.75" customFormat="1" customHeight="1" s="4">
      <c r="A70" s="45" t="inlineStr">
        <is>
          <t>RR_046</t>
        </is>
      </c>
      <c r="B70" s="45" t="inlineStr">
        <is>
          <t>api/views.py:GenerateStudentResultPDFAPI.post</t>
        </is>
      </c>
      <c r="C70" s="45" t="inlineStr">
        <is>
          <t>Student result PDF generation logic duplicated between GeneratePDFAPI.generate_student_result_pdf and GenerateStudentResultPDFAPI</t>
        </is>
      </c>
      <c r="D70" s="45" t="inlineStr">
        <is>
          <t>Duplicated Code</t>
        </is>
      </c>
      <c r="E70" s="45" t="inlineStr">
        <is>
          <t>Remove Duplication</t>
        </is>
      </c>
      <c r="F70" s="45" t="inlineStr">
        <is>
          <t>Reusability</t>
        </is>
      </c>
      <c r="G70" s="45" t="inlineStr">
        <is>
          <t>Major</t>
        </is>
      </c>
      <c r="H70" s="45" t="inlineStr">
        <is>
          <t>Cross-file</t>
        </is>
      </c>
      <c r="I70" s="45" t="inlineStr">
        <is>
          <t>Inter-class</t>
        </is>
      </c>
      <c r="J70" s="45" t="inlineStr">
        <is>
          <t>Medium</t>
        </is>
      </c>
      <c r="K70" s="45" t="inlineStr">
        <is>
          <t>Business Rules</t>
        </is>
      </c>
      <c r="L70" s="45" t="inlineStr">
        <is>
          <t>Yes</t>
        </is>
      </c>
      <c r="M70" s="45" t="inlineStr">
        <is>
          <t>-</t>
        </is>
      </c>
      <c r="N70" s="45" t="inlineStr">
        <is>
          <t>Consolidated into services.generate_student_result_pdf</t>
        </is>
      </c>
    </row>
    <row r="71" ht="18.75" customFormat="1" customHeight="1" s="4">
      <c r="A71" s="45" t="inlineStr">
        <is>
          <t>RR_047</t>
        </is>
      </c>
      <c r="B71" s="45" t="inlineStr">
        <is>
          <t>api/views.py:CheckResultView.post</t>
        </is>
      </c>
      <c r="C71" s="45" t="inlineStr">
        <is>
          <t>Grade points computation via GRADE_CONVERSION duplicated in CheckResultView and GenerateTranscript</t>
        </is>
      </c>
      <c r="D71" s="45" t="inlineStr">
        <is>
          <t>Duplicated Code</t>
        </is>
      </c>
      <c r="E71" s="45" t="inlineStr">
        <is>
          <t>Remove Duplication</t>
        </is>
      </c>
      <c r="F71" s="45" t="inlineStr">
        <is>
          <t>Reusability</t>
        </is>
      </c>
      <c r="G71" s="45" t="inlineStr">
        <is>
          <t>Moderate</t>
        </is>
      </c>
      <c r="H71" s="45" t="inlineStr">
        <is>
          <t>Cross-file</t>
        </is>
      </c>
      <c r="I71" s="45" t="inlineStr">
        <is>
          <t>Inter-class</t>
        </is>
      </c>
      <c r="J71" s="45" t="inlineStr">
        <is>
          <t>Low</t>
        </is>
      </c>
      <c r="K71" s="45" t="inlineStr">
        <is>
          <t>Business Rules</t>
        </is>
      </c>
      <c r="L71" s="45" t="inlineStr">
        <is>
          <t>Yes</t>
        </is>
      </c>
      <c r="M71" s="45" t="inlineStr">
        <is>
          <t>-</t>
        </is>
      </c>
      <c r="N71" s="45" t="inlineStr">
        <is>
          <t>Consolidated into services.compute_grade_points</t>
        </is>
      </c>
    </row>
    <row r="72" ht="18.75" customFormat="1" customHeight="1" s="4">
      <c r="A72" s="45" t="inlineStr">
        <is>
          <t>RR_048</t>
        </is>
      </c>
      <c r="B72" s="45" t="inlineStr">
        <is>
          <t>api/views.py:GenerateStudentResultPDFAPI.post</t>
        </is>
      </c>
      <c r="C72" s="45" t="inlineStr">
        <is>
          <t>PDF institution text header appended identically in three code paths within PDF generation</t>
        </is>
      </c>
      <c r="D72" s="45" t="inlineStr">
        <is>
          <t>Duplicated Code</t>
        </is>
      </c>
      <c r="E72" s="45" t="inlineStr">
        <is>
          <t>Remove Duplication</t>
        </is>
      </c>
      <c r="F72" s="45" t="inlineStr">
        <is>
          <t>Reusability</t>
        </is>
      </c>
      <c r="G72" s="45" t="inlineStr">
        <is>
          <t>Minor</t>
        </is>
      </c>
      <c r="H72" s="45" t="inlineStr">
        <is>
          <t>Method</t>
        </is>
      </c>
      <c r="I72" s="45" t="inlineStr">
        <is>
          <t>Intra-file</t>
        </is>
      </c>
      <c r="J72" s="45" t="inlineStr">
        <is>
          <t>Low</t>
        </is>
      </c>
      <c r="K72" s="45" t="inlineStr">
        <is>
          <t>Local Code</t>
        </is>
      </c>
      <c r="L72" s="45" t="inlineStr">
        <is>
          <t>No</t>
        </is>
      </c>
      <c r="M72" s="45" t="inlineStr">
        <is>
          <t>-</t>
        </is>
      </c>
      <c r="N72" s="45" t="inlineStr">
        <is>
          <t>Consolidated into services._add_text_header</t>
        </is>
      </c>
    </row>
    <row r="73" ht="18.75" customFormat="1" customHeight="1" s="4">
      <c r="A73" s="45" t="inlineStr">
        <is>
          <t>RR_049</t>
        </is>
      </c>
      <c r="B73" s="45" t="inlineStr">
        <is>
          <t>api/views.py:grade_conversion</t>
        </is>
      </c>
      <c r="C73" s="45" t="inlineStr">
        <is>
          <t>Grade conversion dict defined as module-level constant in views layer</t>
        </is>
      </c>
      <c r="D73" s="45" t="inlineStr">
        <is>
          <t>Layer Violation</t>
        </is>
      </c>
      <c r="E73" s="45" t="inlineStr">
        <is>
          <t>Reorganize Module Boundary</t>
        </is>
      </c>
      <c r="F73" s="45" t="inlineStr">
        <is>
          <t>Architecture Conformance</t>
        </is>
      </c>
      <c r="G73" s="45" t="inlineStr">
        <is>
          <t>Major</t>
        </is>
      </c>
      <c r="H73" s="45" t="inlineStr">
        <is>
          <t>Cross-layer</t>
        </is>
      </c>
      <c r="I73" s="45" t="inlineStr">
        <is>
          <t>Inter-layer</t>
        </is>
      </c>
      <c r="J73" s="45" t="inlineStr">
        <is>
          <t>Low</t>
        </is>
      </c>
      <c r="K73" s="45" t="inlineStr">
        <is>
          <t>Business Rules</t>
        </is>
      </c>
      <c r="L73" s="45" t="inlineStr">
        <is>
          <t>Yes</t>
        </is>
      </c>
      <c r="M73" s="45" t="inlineStr">
        <is>
          <t>Separate constants.py</t>
        </is>
      </c>
      <c r="N73" s="45" t="inlineStr">
        <is>
          <t>Renamed to GRADE_CONVERSION per PEP 8</t>
        </is>
      </c>
    </row>
    <row r="74" ht="18.75" customFormat="1" customHeight="1" s="4">
      <c r="A74" s="45" t="inlineStr">
        <is>
          <t>RR_050</t>
        </is>
      </c>
      <c r="B74" s="45" t="inlineStr">
        <is>
          <t>api/views.py:ALLOWED_GRADES</t>
        </is>
      </c>
      <c r="C74" s="45" t="inlineStr">
        <is>
          <t>Allowed grades set defined as module-level constant in views layer</t>
        </is>
      </c>
      <c r="D74" s="45" t="inlineStr">
        <is>
          <t>Layer Violation</t>
        </is>
      </c>
      <c r="E74" s="45" t="inlineStr">
        <is>
          <t>Reorganize Module Boundary</t>
        </is>
      </c>
      <c r="F74" s="45" t="inlineStr">
        <is>
          <t>Architecture Conformance</t>
        </is>
      </c>
      <c r="G74" s="45" t="inlineStr">
        <is>
          <t>Major</t>
        </is>
      </c>
      <c r="H74" s="45" t="inlineStr">
        <is>
          <t>Cross-layer</t>
        </is>
      </c>
      <c r="I74" s="45" t="inlineStr">
        <is>
          <t>Inter-layer</t>
        </is>
      </c>
      <c r="J74" s="45" t="inlineStr">
        <is>
          <t>Low</t>
        </is>
      </c>
      <c r="K74" s="45" t="inlineStr">
        <is>
          <t>Business Rules</t>
        </is>
      </c>
      <c r="L74" s="45" t="inlineStr">
        <is>
          <t>Yes</t>
        </is>
      </c>
      <c r="M74" s="45" t="inlineStr">
        <is>
          <t>Separate constants.py</t>
        </is>
      </c>
      <c r="N74" s="45" t="inlineStr">
        <is>
          <t>Moved to models.py as frozenset</t>
        </is>
      </c>
    </row>
    <row r="75" ht="18.75" customFormat="1" customHeight="1" s="4">
      <c r="A75" s="45" t="inlineStr">
        <is>
          <t>RR_051</t>
        </is>
      </c>
      <c r="B75" s="45" t="inlineStr">
        <is>
          <t>api/views.py:PBI_AND_BTP_ALLOWED_GRADES</t>
        </is>
      </c>
      <c r="C75" s="45" t="inlineStr">
        <is>
          <t>PBI/BTP grade set defined as module-level constant in views layer</t>
        </is>
      </c>
      <c r="D75" s="45" t="inlineStr">
        <is>
          <t>Layer Violation</t>
        </is>
      </c>
      <c r="E75" s="45" t="inlineStr">
        <is>
          <t>Reorganize Module Boundary</t>
        </is>
      </c>
      <c r="F75" s="45" t="inlineStr">
        <is>
          <t>Architecture Conformance</t>
        </is>
      </c>
      <c r="G75" s="45" t="inlineStr">
        <is>
          <t>Moderate</t>
        </is>
      </c>
      <c r="H75" s="45" t="inlineStr">
        <is>
          <t>Cross-layer</t>
        </is>
      </c>
      <c r="I75" s="45" t="inlineStr">
        <is>
          <t>Inter-layer</t>
        </is>
      </c>
      <c r="J75" s="45" t="inlineStr">
        <is>
          <t>Low</t>
        </is>
      </c>
      <c r="K75" s="45" t="inlineStr">
        <is>
          <t>Business Rules</t>
        </is>
      </c>
      <c r="L75" s="45" t="inlineStr">
        <is>
          <t>Yes</t>
        </is>
      </c>
      <c r="M75" s="45" t="inlineStr">
        <is>
          <t>Separate constants.py</t>
        </is>
      </c>
      <c r="N75" s="45" t="inlineStr">
        <is>
          <t>Moved to models.py as frozenset</t>
        </is>
      </c>
    </row>
    <row r="76" ht="18.75" customFormat="1" customHeight="1" s="4">
      <c r="A76" s="45" t="inlineStr">
        <is>
          <t>RR_052</t>
        </is>
      </c>
      <c r="B76" s="45" t="inlineStr">
        <is>
          <t>api/views.py</t>
        </is>
      </c>
      <c r="C76" s="45" t="inlineStr">
        <is>
          <t>PBI/BTP course codes hard-coded inline in is_valid_grade function</t>
        </is>
      </c>
      <c r="D76" s="45" t="inlineStr">
        <is>
          <t>Other (Hard-coded Value)</t>
        </is>
      </c>
      <c r="E76" s="45" t="inlineStr">
        <is>
          <t>Reorganize Module Boundary</t>
        </is>
      </c>
      <c r="F76" s="45" t="inlineStr">
        <is>
          <t>Maintainability</t>
        </is>
      </c>
      <c r="G76" s="45" t="inlineStr">
        <is>
          <t>Moderate</t>
        </is>
      </c>
      <c r="H76" s="45" t="inlineStr">
        <is>
          <t>Cross-layer</t>
        </is>
      </c>
      <c r="I76" s="45" t="inlineStr">
        <is>
          <t>Inter-layer</t>
        </is>
      </c>
      <c r="J76" s="45" t="inlineStr">
        <is>
          <t>Low</t>
        </is>
      </c>
      <c r="K76" s="45" t="inlineStr">
        <is>
          <t>Business Rules</t>
        </is>
      </c>
      <c r="L76" s="45" t="inlineStr">
        <is>
          <t>Yes</t>
        </is>
      </c>
      <c r="M76" s="45" t="inlineStr">
        <is>
          <t>-</t>
        </is>
      </c>
      <c r="N76" s="45" t="inlineStr">
        <is>
          <t>Extracted to models.py:PBI_BTP_COURSE_CODES</t>
        </is>
      </c>
    </row>
    <row r="77" ht="18.75" customFormat="1" customHeight="1" s="4">
      <c r="A77" s="45" t="inlineStr">
        <is>
          <t>RR_053</t>
        </is>
      </c>
      <c r="B77" s="45" t="inlineStr">
        <is>
          <t>api/views.py:GeneratePDFAPI.post</t>
        </is>
      </c>
      <c r="C77" s="45" t="inlineStr">
        <is>
          <t>Display grade list hard-coded inline in PDF generation</t>
        </is>
      </c>
      <c r="D77" s="45" t="inlineStr">
        <is>
          <t>Other (Hard-coded Value)</t>
        </is>
      </c>
      <c r="E77" s="45" t="inlineStr">
        <is>
          <t>Reorganize Module Boundary</t>
        </is>
      </c>
      <c r="F77" s="45" t="inlineStr">
        <is>
          <t>Maintainability</t>
        </is>
      </c>
      <c r="G77" s="45" t="inlineStr">
        <is>
          <t>Minor</t>
        </is>
      </c>
      <c r="H77" s="45" t="inlineStr">
        <is>
          <t>Cross-layer</t>
        </is>
      </c>
      <c r="I77" s="45" t="inlineStr">
        <is>
          <t>Inter-layer</t>
        </is>
      </c>
      <c r="J77" s="45" t="inlineStr">
        <is>
          <t>Low</t>
        </is>
      </c>
      <c r="K77" s="45" t="inlineStr">
        <is>
          <t>Local Code</t>
        </is>
      </c>
      <c r="L77" s="45" t="inlineStr">
        <is>
          <t>No</t>
        </is>
      </c>
      <c r="M77" s="45" t="inlineStr">
        <is>
          <t>-</t>
        </is>
      </c>
      <c r="N77" s="45" t="inlineStr">
        <is>
          <t>Extracted to models.py:ALL_DISPLAY_GRADES</t>
        </is>
      </c>
    </row>
    <row r="78" ht="18.75" customFormat="1" customHeight="1" s="4">
      <c r="A78" s="45" t="inlineStr">
        <is>
          <t>RR_054</t>
        </is>
      </c>
      <c r="B78" s="45" t="inlineStr">
        <is>
          <t>api/views.py</t>
        </is>
      </c>
      <c r="C78" s="45" t="inlineStr">
        <is>
          <t>Professor role strings scattered as literals across multiple view role checks</t>
        </is>
      </c>
      <c r="D78" s="45" t="inlineStr">
        <is>
          <t>Duplicated Code</t>
        </is>
      </c>
      <c r="E78" s="45" t="inlineStr">
        <is>
          <t>Remove Duplication</t>
        </is>
      </c>
      <c r="F78" s="45" t="inlineStr">
        <is>
          <t>Maintainability</t>
        </is>
      </c>
      <c r="G78" s="45" t="inlineStr">
        <is>
          <t>Major</t>
        </is>
      </c>
      <c r="H78" s="45" t="inlineStr">
        <is>
          <t>Cross-layer</t>
        </is>
      </c>
      <c r="I78" s="45" t="inlineStr">
        <is>
          <t>Inter-layer</t>
        </is>
      </c>
      <c r="J78" s="45" t="inlineStr">
        <is>
          <t>Low</t>
        </is>
      </c>
      <c r="K78" s="45" t="inlineStr">
        <is>
          <t>Business Rules</t>
        </is>
      </c>
      <c r="L78" s="45" t="inlineStr">
        <is>
          <t>Yes</t>
        </is>
      </c>
      <c r="M78" s="45" t="inlineStr">
        <is>
          <t>-</t>
        </is>
      </c>
      <c r="N78" s="45" t="inlineStr">
        <is>
          <t>Extracted to models.py:PROFESSOR_ROLES</t>
        </is>
      </c>
    </row>
    <row r="79" ht="18.75" customFormat="1" customHeight="1" s="4">
      <c r="A79" s="45" t="inlineStr">
        <is>
          <t>RR_055</t>
        </is>
      </c>
      <c r="B79" s="45" t="inlineStr">
        <is>
          <t>api/views.py</t>
        </is>
      </c>
      <c r="C79" s="45" t="inlineStr">
        <is>
          <t>Admin role string scattered as literal across multiple view role checks</t>
        </is>
      </c>
      <c r="D79" s="45" t="inlineStr">
        <is>
          <t>Duplicated Code</t>
        </is>
      </c>
      <c r="E79" s="45" t="inlineStr">
        <is>
          <t>Remove Duplication</t>
        </is>
      </c>
      <c r="F79" s="45" t="inlineStr">
        <is>
          <t>Maintainability</t>
        </is>
      </c>
      <c r="G79" s="45" t="inlineStr">
        <is>
          <t>Major</t>
        </is>
      </c>
      <c r="H79" s="45" t="inlineStr">
        <is>
          <t>Cross-layer</t>
        </is>
      </c>
      <c r="I79" s="45" t="inlineStr">
        <is>
          <t>Inter-layer</t>
        </is>
      </c>
      <c r="J79" s="45" t="inlineStr">
        <is>
          <t>Low</t>
        </is>
      </c>
      <c r="K79" s="45" t="inlineStr">
        <is>
          <t>Business Rules</t>
        </is>
      </c>
      <c r="L79" s="45" t="inlineStr">
        <is>
          <t>Yes</t>
        </is>
      </c>
      <c r="M79" s="45" t="inlineStr">
        <is>
          <t>-</t>
        </is>
      </c>
      <c r="N79" s="45" t="inlineStr">
        <is>
          <t>Extracted to models.py:ADMIN_ROLES</t>
        </is>
      </c>
    </row>
    <row r="80" ht="18.75" customFormat="1" customHeight="1" s="4">
      <c r="A80" s="45" t="inlineStr">
        <is>
          <t>RR_056</t>
        </is>
      </c>
      <c r="B80" s="45" t="inlineStr">
        <is>
          <t>api/views.py</t>
        </is>
      </c>
      <c r="C80" s="45" t="inlineStr">
        <is>
          <t>Dean role string scattered as literal across multiple view role checks</t>
        </is>
      </c>
      <c r="D80" s="45" t="inlineStr">
        <is>
          <t>Duplicated Code</t>
        </is>
      </c>
      <c r="E80" s="45" t="inlineStr">
        <is>
          <t>Remove Duplication</t>
        </is>
      </c>
      <c r="F80" s="45" t="inlineStr">
        <is>
          <t>Maintainability</t>
        </is>
      </c>
      <c r="G80" s="45" t="inlineStr">
        <is>
          <t>Major</t>
        </is>
      </c>
      <c r="H80" s="45" t="inlineStr">
        <is>
          <t>Cross-layer</t>
        </is>
      </c>
      <c r="I80" s="45" t="inlineStr">
        <is>
          <t>Inter-layer</t>
        </is>
      </c>
      <c r="J80" s="45" t="inlineStr">
        <is>
          <t>Low</t>
        </is>
      </c>
      <c r="K80" s="45" t="inlineStr">
        <is>
          <t>Business Rules</t>
        </is>
      </c>
      <c r="L80" s="45" t="inlineStr">
        <is>
          <t>Yes</t>
        </is>
      </c>
      <c r="M80" s="45" t="inlineStr">
        <is>
          <t>-</t>
        </is>
      </c>
      <c r="N80" s="45" t="inlineStr">
        <is>
          <t>Extracted to models.py:DEAN_ROLES</t>
        </is>
      </c>
    </row>
    <row r="81" ht="18.75" customFormat="1" customHeight="1" s="4">
      <c r="A81" s="45" t="inlineStr">
        <is>
          <t>RR_057</t>
        </is>
      </c>
      <c r="B81" s="45" t="inlineStr">
        <is>
          <t>api/views.py</t>
        </is>
      </c>
      <c r="C81" s="45" t="inlineStr">
        <is>
          <t>UG programme list duplicated as literal across 12 views</t>
        </is>
      </c>
      <c r="D81" s="45" t="inlineStr">
        <is>
          <t>Duplicated Code</t>
        </is>
      </c>
      <c r="E81" s="45" t="inlineStr">
        <is>
          <t>Remove Duplication</t>
        </is>
      </c>
      <c r="F81" s="45" t="inlineStr">
        <is>
          <t>Maintainability</t>
        </is>
      </c>
      <c r="G81" s="45" t="inlineStr">
        <is>
          <t>Major</t>
        </is>
      </c>
      <c r="H81" s="45" t="inlineStr">
        <is>
          <t>Cross-layer</t>
        </is>
      </c>
      <c r="I81" s="45" t="inlineStr">
        <is>
          <t>Inter-layer</t>
        </is>
      </c>
      <c r="J81" s="45" t="inlineStr">
        <is>
          <t>Low</t>
        </is>
      </c>
      <c r="K81" s="45" t="inlineStr">
        <is>
          <t>Business Rules</t>
        </is>
      </c>
      <c r="L81" s="45" t="inlineStr">
        <is>
          <t>Yes</t>
        </is>
      </c>
      <c r="M81" s="45" t="inlineStr">
        <is>
          <t>-</t>
        </is>
      </c>
      <c r="N81" s="45" t="inlineStr">
        <is>
          <t>Extracted to models.py:UG_PROGRAMMES</t>
        </is>
      </c>
    </row>
    <row r="82" ht="18.75" customFormat="1" customHeight="1" s="4">
      <c r="A82" s="45" t="inlineStr">
        <is>
          <t>RR_058</t>
        </is>
      </c>
      <c r="B82" s="45" t="inlineStr">
        <is>
          <t>api/views.py</t>
        </is>
      </c>
      <c r="C82" s="45" t="inlineStr">
        <is>
          <t>PG programme list duplicated as literal across 12 views</t>
        </is>
      </c>
      <c r="D82" s="45" t="inlineStr">
        <is>
          <t>Duplicated Code</t>
        </is>
      </c>
      <c r="E82" s="45" t="inlineStr">
        <is>
          <t>Remove Duplication</t>
        </is>
      </c>
      <c r="F82" s="45" t="inlineStr">
        <is>
          <t>Maintainability</t>
        </is>
      </c>
      <c r="G82" s="45" t="inlineStr">
        <is>
          <t>Major</t>
        </is>
      </c>
      <c r="H82" s="45" t="inlineStr">
        <is>
          <t>Cross-layer</t>
        </is>
      </c>
      <c r="I82" s="45" t="inlineStr">
        <is>
          <t>Inter-layer</t>
        </is>
      </c>
      <c r="J82" s="45" t="inlineStr">
        <is>
          <t>Low</t>
        </is>
      </c>
      <c r="K82" s="45" t="inlineStr">
        <is>
          <t>Business Rules</t>
        </is>
      </c>
      <c r="L82" s="45" t="inlineStr">
        <is>
          <t>Yes</t>
        </is>
      </c>
      <c r="M82" s="45" t="inlineStr">
        <is>
          <t>-</t>
        </is>
      </c>
      <c r="N82" s="45" t="inlineStr">
        <is>
          <t>Extracted to models.py:PG_PROGRAMMES</t>
        </is>
      </c>
    </row>
    <row r="83" ht="18.75" customFormat="1" customHeight="1" s="4">
      <c r="A83" s="45" t="inlineStr">
        <is>
          <t>RR_059</t>
        </is>
      </c>
      <c r="B83" s="45" t="inlineStr">
        <is>
          <t>models.py</t>
        </is>
      </c>
      <c r="C83" s="45" t="inlineStr">
        <is>
          <t>No enum type for semester type values used across module</t>
        </is>
      </c>
      <c r="D83" s="45" t="inlineStr">
        <is>
          <t>Other (Missing Enum)</t>
        </is>
      </c>
      <c r="E83" s="45" t="inlineStr">
        <is>
          <t>Other (Introduce TextChoices)</t>
        </is>
      </c>
      <c r="F83" s="45" t="inlineStr">
        <is>
          <t>Maintainability</t>
        </is>
      </c>
      <c r="G83" s="45" t="inlineStr">
        <is>
          <t>Moderate</t>
        </is>
      </c>
      <c r="H83" s="45" t="inlineStr">
        <is>
          <t>File</t>
        </is>
      </c>
      <c r="I83" s="45" t="inlineStr">
        <is>
          <t>Intra-file</t>
        </is>
      </c>
      <c r="J83" s="45" t="inlineStr">
        <is>
          <t>Low</t>
        </is>
      </c>
      <c r="K83" s="45" t="inlineStr">
        <is>
          <t>Framework</t>
        </is>
      </c>
      <c r="L83" s="45" t="inlineStr">
        <is>
          <t>No</t>
        </is>
      </c>
      <c r="M83" s="45" t="inlineStr">
        <is>
          <t>Plain string constants</t>
        </is>
      </c>
      <c r="N83" s="45" t="inlineStr">
        <is>
          <t>Added SemesterType TextChoices</t>
        </is>
      </c>
    </row>
    <row r="84" ht="18.75" customFormat="1" customHeight="1" s="4">
      <c r="A84" s="45" t="inlineStr">
        <is>
          <t>RR_060</t>
        </is>
      </c>
      <c r="B84" s="45" t="inlineStr">
        <is>
          <t>api/views.py:exam_view</t>
        </is>
      </c>
      <c r="C84" s="45" t="inlineStr">
        <is>
          <t>View performs inline role validation with manual string comparison</t>
        </is>
      </c>
      <c r="D84" s="45" t="inlineStr">
        <is>
          <t>Scattered Validation</t>
        </is>
      </c>
      <c r="E84" s="45" t="inlineStr">
        <is>
          <t>Consolidate Validation</t>
        </is>
      </c>
      <c r="F84" s="45" t="inlineStr">
        <is>
          <t>Maintainability</t>
        </is>
      </c>
      <c r="G84" s="45" t="inlineStr">
        <is>
          <t>Minor</t>
        </is>
      </c>
      <c r="H84" s="45" t="inlineStr">
        <is>
          <t>Cross-layer</t>
        </is>
      </c>
      <c r="I84" s="45" t="inlineStr">
        <is>
          <t>Inter-layer</t>
        </is>
      </c>
      <c r="J84" s="45" t="inlineStr">
        <is>
          <t>Low</t>
        </is>
      </c>
      <c r="K84" s="45" t="inlineStr">
        <is>
          <t>Framework</t>
        </is>
      </c>
      <c r="L84" s="45" t="inlineStr">
        <is>
          <t>Yes</t>
        </is>
      </c>
      <c r="M84" s="45" t="inlineStr">
        <is>
          <t>Django Form</t>
        </is>
      </c>
      <c r="N84" s="45" t="inlineStr">
        <is>
          <t>Extracted to serializers.ExamViewSerializer</t>
        </is>
      </c>
    </row>
    <row r="85" ht="18.75" customFormat="1" customHeight="1" s="4">
      <c r="A85" s="45" t="inlineStr">
        <is>
          <t>RR_061</t>
        </is>
      </c>
      <c r="B85" s="45" t="inlineStr">
        <is>
          <t>api/views.py:download_template</t>
        </is>
      </c>
      <c r="C85" s="45" t="inlineStr">
        <is>
          <t>View performs inline role, course, year, and semester_type validation</t>
        </is>
      </c>
      <c r="D85" s="45" t="inlineStr">
        <is>
          <t>Scattered Validation</t>
        </is>
      </c>
      <c r="E85" s="45" t="inlineStr">
        <is>
          <t>Consolidate Validation</t>
        </is>
      </c>
      <c r="F85" s="45" t="inlineStr">
        <is>
          <t>Maintainability</t>
        </is>
      </c>
      <c r="G85" s="45" t="inlineStr">
        <is>
          <t>Moderate</t>
        </is>
      </c>
      <c r="H85" s="45" t="inlineStr">
        <is>
          <t>Cross-layer</t>
        </is>
      </c>
      <c r="I85" s="45" t="inlineStr">
        <is>
          <t>Inter-layer</t>
        </is>
      </c>
      <c r="J85" s="45" t="inlineStr">
        <is>
          <t>Low</t>
        </is>
      </c>
      <c r="K85" s="45" t="inlineStr">
        <is>
          <t>Framework</t>
        </is>
      </c>
      <c r="L85" s="45" t="inlineStr">
        <is>
          <t>Yes</t>
        </is>
      </c>
      <c r="M85" s="45" t="inlineStr">
        <is>
          <t>Django Form</t>
        </is>
      </c>
      <c r="N85" s="45" t="inlineStr">
        <is>
          <t>Extracted to serializers.DownloadTemplateSerializer</t>
        </is>
      </c>
    </row>
    <row r="86" ht="18.75" customFormat="1" customHeight="1" s="4">
      <c r="A86" s="45" t="inlineStr">
        <is>
          <t>RR_062</t>
        </is>
      </c>
      <c r="B86" s="45" t="inlineStr">
        <is>
          <t>api/views.py:check_course_students</t>
        </is>
      </c>
      <c r="C86" s="45" t="inlineStr">
        <is>
          <t>View performs inline role and required field validation</t>
        </is>
      </c>
      <c r="D86" s="45" t="inlineStr">
        <is>
          <t>Scattered Validation</t>
        </is>
      </c>
      <c r="E86" s="45" t="inlineStr">
        <is>
          <t>Consolidate Validation</t>
        </is>
      </c>
      <c r="F86" s="45" t="inlineStr">
        <is>
          <t>Maintainability</t>
        </is>
      </c>
      <c r="G86" s="45" t="inlineStr">
        <is>
          <t>Moderate</t>
        </is>
      </c>
      <c r="H86" s="45" t="inlineStr">
        <is>
          <t>Cross-layer</t>
        </is>
      </c>
      <c r="I86" s="45" t="inlineStr">
        <is>
          <t>Inter-layer</t>
        </is>
      </c>
      <c r="J86" s="45" t="inlineStr">
        <is>
          <t>Low</t>
        </is>
      </c>
      <c r="K86" s="45" t="inlineStr">
        <is>
          <t>Framework</t>
        </is>
      </c>
      <c r="L86" s="45" t="inlineStr">
        <is>
          <t>Yes</t>
        </is>
      </c>
      <c r="M86" s="45" t="inlineStr">
        <is>
          <t>-</t>
        </is>
      </c>
      <c r="N86" s="45" t="inlineStr">
        <is>
          <t>Extracted to serializers.CheckCourseStudentsSerializer</t>
        </is>
      </c>
    </row>
    <row r="87" ht="18.75" customFormat="1" customHeight="1" s="4">
      <c r="A87" s="45" t="inlineStr">
        <is>
          <t>RR_063</t>
        </is>
      </c>
      <c r="B87" s="45" t="inlineStr">
        <is>
          <t>api/views.py:SubmitGradesView.post</t>
        </is>
      </c>
      <c r="C87" s="45" t="inlineStr">
        <is>
          <t>View performs inline designation check and optional field parsing</t>
        </is>
      </c>
      <c r="D87" s="45" t="inlineStr">
        <is>
          <t>Scattered Validation</t>
        </is>
      </c>
      <c r="E87" s="45" t="inlineStr">
        <is>
          <t>Consolidate Validation</t>
        </is>
      </c>
      <c r="F87" s="45" t="inlineStr">
        <is>
          <t>Maintainability</t>
        </is>
      </c>
      <c r="G87" s="45" t="inlineStr">
        <is>
          <t>Moderate</t>
        </is>
      </c>
      <c r="H87" s="45" t="inlineStr">
        <is>
          <t>Cross-layer</t>
        </is>
      </c>
      <c r="I87" s="45" t="inlineStr">
        <is>
          <t>Inter-layer</t>
        </is>
      </c>
      <c r="J87" s="45" t="inlineStr">
        <is>
          <t>Low</t>
        </is>
      </c>
      <c r="K87" s="45" t="inlineStr">
        <is>
          <t>Framework</t>
        </is>
      </c>
      <c r="L87" s="45" t="inlineStr">
        <is>
          <t>Yes</t>
        </is>
      </c>
      <c r="M87" s="45" t="inlineStr">
        <is>
          <t>-</t>
        </is>
      </c>
      <c r="N87" s="45" t="inlineStr">
        <is>
          <t>Extracted to serializers.SubmitGradesSerializer</t>
        </is>
      </c>
    </row>
    <row r="88" ht="18.75" customFormat="1" customHeight="1" s="4">
      <c r="A88" s="45" t="inlineStr">
        <is>
          <t>RR_064</t>
        </is>
      </c>
      <c r="B88" s="45" t="inlineStr">
        <is>
          <t>api/views.py:UploadGradesAPI.post</t>
        </is>
      </c>
      <c r="C88" s="45" t="inlineStr">
        <is>
          <t>View performs inline role, course_id, academic_year, and semester_type validation</t>
        </is>
      </c>
      <c r="D88" s="45" t="inlineStr">
        <is>
          <t>Scattered Validation</t>
        </is>
      </c>
      <c r="E88" s="45" t="inlineStr">
        <is>
          <t>Consolidate Validation</t>
        </is>
      </c>
      <c r="F88" s="45" t="inlineStr">
        <is>
          <t>Maintainability</t>
        </is>
      </c>
      <c r="G88" s="45" t="inlineStr">
        <is>
          <t>Moderate</t>
        </is>
      </c>
      <c r="H88" s="45" t="inlineStr">
        <is>
          <t>Cross-layer</t>
        </is>
      </c>
      <c r="I88" s="45" t="inlineStr">
        <is>
          <t>Inter-layer</t>
        </is>
      </c>
      <c r="J88" s="45" t="inlineStr">
        <is>
          <t>Low</t>
        </is>
      </c>
      <c r="K88" s="45" t="inlineStr">
        <is>
          <t>Framework</t>
        </is>
      </c>
      <c r="L88" s="45" t="inlineStr">
        <is>
          <t>Yes</t>
        </is>
      </c>
      <c r="M88" s="45" t="inlineStr">
        <is>
          <t>-</t>
        </is>
      </c>
      <c r="N88" s="45" t="inlineStr">
        <is>
          <t>Extracted to serializers.UploadGradesSerializer</t>
        </is>
      </c>
    </row>
    <row r="89" ht="18.75" customHeight="1">
      <c r="A89" s="45" t="inlineStr">
        <is>
          <t>RR_065</t>
        </is>
      </c>
      <c r="B89" s="45" t="inlineStr">
        <is>
          <t>api/views.py:UpdateGradesAPI.post</t>
        </is>
      </c>
      <c r="C89" s="45" t="inlineStr">
        <is>
          <t>View performs inline role and required year/semester validation</t>
        </is>
      </c>
      <c r="D89" s="45" t="inlineStr">
        <is>
          <t>Scattered Validation</t>
        </is>
      </c>
      <c r="E89" s="45" t="inlineStr">
        <is>
          <t>Consolidate Validation</t>
        </is>
      </c>
      <c r="F89" s="45" t="inlineStr">
        <is>
          <t>Maintainability</t>
        </is>
      </c>
      <c r="G89" s="45" t="inlineStr">
        <is>
          <t>Moderate</t>
        </is>
      </c>
      <c r="H89" s="45" t="inlineStr">
        <is>
          <t>Cross-layer</t>
        </is>
      </c>
      <c r="I89" s="45" t="inlineStr">
        <is>
          <t>Inter-layer</t>
        </is>
      </c>
      <c r="J89" s="45" t="inlineStr">
        <is>
          <t>Low</t>
        </is>
      </c>
      <c r="K89" s="45" t="inlineStr">
        <is>
          <t>Framework</t>
        </is>
      </c>
      <c r="L89" s="45" t="inlineStr">
        <is>
          <t>Yes</t>
        </is>
      </c>
      <c r="M89" s="45" t="inlineStr">
        <is>
          <t>-</t>
        </is>
      </c>
      <c r="N89" s="45" t="inlineStr">
        <is>
          <t>Extracted to serializers.UpdateGradesSerializer</t>
        </is>
      </c>
    </row>
    <row r="90" ht="18.75" customFormat="1" customHeight="1" s="4">
      <c r="A90" s="45" t="inlineStr">
        <is>
          <t>RR_066</t>
        </is>
      </c>
      <c r="B90" s="45" t="inlineStr">
        <is>
          <t>api/views.py:UpdateEnterGradesAPI.post</t>
        </is>
      </c>
      <c r="C90" s="45" t="inlineStr">
        <is>
          <t>View performs inline role and required course/year validation</t>
        </is>
      </c>
      <c r="D90" s="45" t="inlineStr">
        <is>
          <t>Scattered Validation</t>
        </is>
      </c>
      <c r="E90" s="45" t="inlineStr">
        <is>
          <t>Consolidate Validation</t>
        </is>
      </c>
      <c r="F90" s="45" t="inlineStr">
        <is>
          <t>Maintainability</t>
        </is>
      </c>
      <c r="G90" s="45" t="inlineStr">
        <is>
          <t>Moderate</t>
        </is>
      </c>
      <c r="H90" s="45" t="inlineStr">
        <is>
          <t>Cross-layer</t>
        </is>
      </c>
      <c r="I90" s="45" t="inlineStr">
        <is>
          <t>Inter-layer</t>
        </is>
      </c>
      <c r="J90" s="45" t="inlineStr">
        <is>
          <t>Low</t>
        </is>
      </c>
      <c r="K90" s="45" t="inlineStr">
        <is>
          <t>Framework</t>
        </is>
      </c>
      <c r="L90" s="45" t="inlineStr">
        <is>
          <t>Yes</t>
        </is>
      </c>
      <c r="M90" s="45" t="inlineStr">
        <is>
          <t>-</t>
        </is>
      </c>
      <c r="N90" s="45" t="inlineStr">
        <is>
          <t>Extracted to serializers.UpdateEnterGradesSerializer</t>
        </is>
      </c>
    </row>
    <row r="91" ht="18.75" customHeight="1">
      <c r="A91" s="45" t="inlineStr">
        <is>
          <t>RR_067</t>
        </is>
      </c>
      <c r="B91" s="45" t="inlineStr">
        <is>
          <t>api/views.py:ModerateStudentGradesAPI.post</t>
        </is>
      </c>
      <c r="C91" s="45" t="inlineStr">
        <is>
          <t>View performs inline role check and parallel list length validation</t>
        </is>
      </c>
      <c r="D91" s="45" t="inlineStr">
        <is>
          <t>Scattered Validation</t>
        </is>
      </c>
      <c r="E91" s="45" t="inlineStr">
        <is>
          <t>Consolidate Validation</t>
        </is>
      </c>
      <c r="F91" s="45" t="inlineStr">
        <is>
          <t>Maintainability</t>
        </is>
      </c>
      <c r="G91" s="45" t="inlineStr">
        <is>
          <t>Major</t>
        </is>
      </c>
      <c r="H91" s="45" t="inlineStr">
        <is>
          <t>Cross-layer</t>
        </is>
      </c>
      <c r="I91" s="45" t="inlineStr">
        <is>
          <t>Inter-layer</t>
        </is>
      </c>
      <c r="J91" s="45" t="inlineStr">
        <is>
          <t>Low</t>
        </is>
      </c>
      <c r="K91" s="45" t="inlineStr">
        <is>
          <t>Framework</t>
        </is>
      </c>
      <c r="L91" s="45" t="inlineStr">
        <is>
          <t>Yes</t>
        </is>
      </c>
      <c r="M91" s="45" t="inlineStr">
        <is>
          <t>-</t>
        </is>
      </c>
      <c r="N91" s="45" t="inlineStr">
        <is>
          <t>Extracted to serializers.ModerateStudentGradesSerializer</t>
        </is>
      </c>
    </row>
    <row r="92" ht="18.75" customHeight="1">
      <c r="A92" s="45" t="inlineStr">
        <is>
          <t>RR_068</t>
        </is>
      </c>
      <c r="B92" s="45" t="inlineStr">
        <is>
          <t>api/views.py:GenerateTranscript.post</t>
        </is>
      </c>
      <c r="C92" s="45" t="inlineStr">
        <is>
          <t>View performs inline role and required student/semester validation</t>
        </is>
      </c>
      <c r="D92" s="45" t="inlineStr">
        <is>
          <t>Scattered Validation</t>
        </is>
      </c>
      <c r="E92" s="45" t="inlineStr">
        <is>
          <t>Consolidate Validation</t>
        </is>
      </c>
      <c r="F92" s="45" t="inlineStr">
        <is>
          <t>Maintainability</t>
        </is>
      </c>
      <c r="G92" s="45" t="inlineStr">
        <is>
          <t>Moderate</t>
        </is>
      </c>
      <c r="H92" s="45" t="inlineStr">
        <is>
          <t>Cross-layer</t>
        </is>
      </c>
      <c r="I92" s="45" t="inlineStr">
        <is>
          <t>Inter-layer</t>
        </is>
      </c>
      <c r="J92" s="45" t="inlineStr">
        <is>
          <t>Low</t>
        </is>
      </c>
      <c r="K92" s="45" t="inlineStr">
        <is>
          <t>Framework</t>
        </is>
      </c>
      <c r="L92" s="45" t="inlineStr">
        <is>
          <t>Yes</t>
        </is>
      </c>
      <c r="M92" s="45" t="inlineStr">
        <is>
          <t>-</t>
        </is>
      </c>
      <c r="N92" s="45" t="inlineStr">
        <is>
          <t>Extracted to serializers.GenerateTranscriptSerializer</t>
        </is>
      </c>
    </row>
    <row r="93" ht="18.75" customHeight="1">
      <c r="A93" s="45" t="inlineStr">
        <is>
          <t>RR_069</t>
        </is>
      </c>
      <c r="B93" s="45" t="inlineStr">
        <is>
          <t>api/views.py:GenerateTranscriptForm.get</t>
        </is>
      </c>
      <c r="C93" s="45" t="inlineStr">
        <is>
          <t>View performs inline role check via query parameter</t>
        </is>
      </c>
      <c r="D93" s="45" t="inlineStr">
        <is>
          <t>Scattered Validation</t>
        </is>
      </c>
      <c r="E93" s="45" t="inlineStr">
        <is>
          <t>Consolidate Validation</t>
        </is>
      </c>
      <c r="F93" s="45" t="inlineStr">
        <is>
          <t>Maintainability</t>
        </is>
      </c>
      <c r="G93" s="45" t="inlineStr">
        <is>
          <t>Moderate</t>
        </is>
      </c>
      <c r="H93" s="45" t="inlineStr">
        <is>
          <t>Cross-layer</t>
        </is>
      </c>
      <c r="I93" s="45" t="inlineStr">
        <is>
          <t>Inter-layer</t>
        </is>
      </c>
      <c r="J93" s="45" t="inlineStr">
        <is>
          <t>Low</t>
        </is>
      </c>
      <c r="K93" s="45" t="inlineStr">
        <is>
          <t>Framework</t>
        </is>
      </c>
      <c r="L93" s="45" t="inlineStr">
        <is>
          <t>Yes</t>
        </is>
      </c>
      <c r="M93" s="45" t="inlineStr">
        <is>
          <t>-</t>
        </is>
      </c>
      <c r="N93" s="45" t="inlineStr">
        <is>
          <t>Extracted to serializers.GenerateTranscriptFormGetSerializer</t>
        </is>
      </c>
    </row>
    <row r="94" ht="18.75" customHeight="1">
      <c r="A94" s="45" t="inlineStr">
        <is>
          <t>RR_070</t>
        </is>
      </c>
      <c r="B94" s="45" t="inlineStr">
        <is>
          <t>api/views.py:GenerateTranscriptForm.post</t>
        </is>
      </c>
      <c r="C94" s="45" t="inlineStr">
        <is>
          <t>View performs inline role and required batch/semester validation</t>
        </is>
      </c>
      <c r="D94" s="45" t="inlineStr">
        <is>
          <t>Scattered Validation</t>
        </is>
      </c>
      <c r="E94" s="45" t="inlineStr">
        <is>
          <t>Consolidate Validation</t>
        </is>
      </c>
      <c r="F94" s="45" t="inlineStr">
        <is>
          <t>Maintainability</t>
        </is>
      </c>
      <c r="G94" s="45" t="inlineStr">
        <is>
          <t>Moderate</t>
        </is>
      </c>
      <c r="H94" s="45" t="inlineStr">
        <is>
          <t>Cross-layer</t>
        </is>
      </c>
      <c r="I94" s="45" t="inlineStr">
        <is>
          <t>Inter-layer</t>
        </is>
      </c>
      <c r="J94" s="45" t="inlineStr">
        <is>
          <t>Low</t>
        </is>
      </c>
      <c r="K94" s="45" t="inlineStr">
        <is>
          <t>Framework</t>
        </is>
      </c>
      <c r="L94" s="45" t="inlineStr">
        <is>
          <t>Yes</t>
        </is>
      </c>
      <c r="M94" s="45" t="inlineStr">
        <is>
          <t>-</t>
        </is>
      </c>
      <c r="N94" s="45" t="inlineStr">
        <is>
          <t>Extracted to serializers.GenerateTranscriptFormPostSerializer</t>
        </is>
      </c>
    </row>
    <row r="95" ht="18.75" customHeight="1">
      <c r="A95" s="45" t="inlineStr">
        <is>
          <t>RR_071</t>
        </is>
      </c>
      <c r="B95" s="45" t="inlineStr">
        <is>
          <t>api/views.py:GenerateResultAPI.post</t>
        </is>
      </c>
      <c r="C95" s="45" t="inlineStr">
        <is>
          <t>View performs inline role and required semester/batch validation</t>
        </is>
      </c>
      <c r="D95" s="45" t="inlineStr">
        <is>
          <t>Scattered Validation</t>
        </is>
      </c>
      <c r="E95" s="45" t="inlineStr">
        <is>
          <t>Consolidate Validation</t>
        </is>
      </c>
      <c r="F95" s="45" t="inlineStr">
        <is>
          <t>Maintainability</t>
        </is>
      </c>
      <c r="G95" s="45" t="inlineStr">
        <is>
          <t>Moderate</t>
        </is>
      </c>
      <c r="H95" s="45" t="inlineStr">
        <is>
          <t>Cross-layer</t>
        </is>
      </c>
      <c r="I95" s="45" t="inlineStr">
        <is>
          <t>Inter-layer</t>
        </is>
      </c>
      <c r="J95" s="45" t="inlineStr">
        <is>
          <t>Low</t>
        </is>
      </c>
      <c r="K95" s="45" t="inlineStr">
        <is>
          <t>Framework</t>
        </is>
      </c>
      <c r="L95" s="45" t="inlineStr">
        <is>
          <t>Yes</t>
        </is>
      </c>
      <c r="M95" s="45" t="inlineStr">
        <is>
          <t>-</t>
        </is>
      </c>
      <c r="N95" s="45" t="inlineStr">
        <is>
          <t>Extracted to serializers.GenerateResultSerializer</t>
        </is>
      </c>
    </row>
    <row r="96" ht="18.75" customHeight="1">
      <c r="A96" s="45" t="inlineStr">
        <is>
          <t>RR_072</t>
        </is>
      </c>
      <c r="B96" s="45" t="inlineStr">
        <is>
          <t>api/views.py:SubmitAPI.post</t>
        </is>
      </c>
      <c r="C96" s="45" t="inlineStr">
        <is>
          <t>View performs inline role check against two allowed values</t>
        </is>
      </c>
      <c r="D96" s="45" t="inlineStr">
        <is>
          <t>Scattered Validation</t>
        </is>
      </c>
      <c r="E96" s="45" t="inlineStr">
        <is>
          <t>Consolidate Validation</t>
        </is>
      </c>
      <c r="F96" s="45" t="inlineStr">
        <is>
          <t>Maintainability</t>
        </is>
      </c>
      <c r="G96" s="45" t="inlineStr">
        <is>
          <t>Minor</t>
        </is>
      </c>
      <c r="H96" s="45" t="inlineStr">
        <is>
          <t>Cross-layer</t>
        </is>
      </c>
      <c r="I96" s="45" t="inlineStr">
        <is>
          <t>Inter-layer</t>
        </is>
      </c>
      <c r="J96" s="45" t="inlineStr">
        <is>
          <t>Low</t>
        </is>
      </c>
      <c r="K96" s="45" t="inlineStr">
        <is>
          <t>Framework</t>
        </is>
      </c>
      <c r="L96" s="45" t="inlineStr">
        <is>
          <t>Yes</t>
        </is>
      </c>
      <c r="M96" s="45" t="inlineStr">
        <is>
          <t>-</t>
        </is>
      </c>
      <c r="N96" s="45" t="inlineStr">
        <is>
          <t>Extracted to serializers.SubmitAPISerializer</t>
        </is>
      </c>
    </row>
    <row r="97" ht="18.75" customHeight="1">
      <c r="A97" s="45" t="inlineStr">
        <is>
          <t>RR_073</t>
        </is>
      </c>
      <c r="B97" s="45" t="inlineStr">
        <is>
          <t>api/views.py:DownloadExcelAPI.post</t>
        </is>
      </c>
      <c r="C97" s="45" t="inlineStr">
        <is>
          <t>View performs inline parallel list presence and length validation</t>
        </is>
      </c>
      <c r="D97" s="45" t="inlineStr">
        <is>
          <t>Scattered Validation</t>
        </is>
      </c>
      <c r="E97" s="45" t="inlineStr">
        <is>
          <t>Consolidate Validation</t>
        </is>
      </c>
      <c r="F97" s="45" t="inlineStr">
        <is>
          <t>Maintainability</t>
        </is>
      </c>
      <c r="G97" s="45" t="inlineStr">
        <is>
          <t>Moderate</t>
        </is>
      </c>
      <c r="H97" s="45" t="inlineStr">
        <is>
          <t>Cross-layer</t>
        </is>
      </c>
      <c r="I97" s="45" t="inlineStr">
        <is>
          <t>Inter-layer</t>
        </is>
      </c>
      <c r="J97" s="45" t="inlineStr">
        <is>
          <t>Low</t>
        </is>
      </c>
      <c r="K97" s="45" t="inlineStr">
        <is>
          <t>Framework</t>
        </is>
      </c>
      <c r="L97" s="45" t="inlineStr">
        <is>
          <t>Yes</t>
        </is>
      </c>
      <c r="M97" s="45" t="inlineStr">
        <is>
          <t>-</t>
        </is>
      </c>
      <c r="N97" s="45" t="inlineStr">
        <is>
          <t>Extracted to serializers.DownloadExcelSerializer</t>
        </is>
      </c>
    </row>
    <row r="98" ht="18.75" customHeight="1">
      <c r="A98" s="45" t="inlineStr">
        <is>
          <t>RR_074</t>
        </is>
      </c>
      <c r="B98" s="45" t="inlineStr">
        <is>
          <t>api/views.py:SubmitGradesProfAPI.post</t>
        </is>
      </c>
      <c r="C98" s="45" t="inlineStr">
        <is>
          <t>View performs inline professor role and required year/semester validation</t>
        </is>
      </c>
      <c r="D98" s="45" t="inlineStr">
        <is>
          <t>Scattered Validation</t>
        </is>
      </c>
      <c r="E98" s="45" t="inlineStr">
        <is>
          <t>Consolidate Validation</t>
        </is>
      </c>
      <c r="F98" s="45" t="inlineStr">
        <is>
          <t>Maintainability</t>
        </is>
      </c>
      <c r="G98" s="45" t="inlineStr">
        <is>
          <t>Moderate</t>
        </is>
      </c>
      <c r="H98" s="45" t="inlineStr">
        <is>
          <t>Cross-layer</t>
        </is>
      </c>
      <c r="I98" s="45" t="inlineStr">
        <is>
          <t>Inter-layer</t>
        </is>
      </c>
      <c r="J98" s="45" t="inlineStr">
        <is>
          <t>Low</t>
        </is>
      </c>
      <c r="K98" s="45" t="inlineStr">
        <is>
          <t>Framework</t>
        </is>
      </c>
      <c r="L98" s="45" t="inlineStr">
        <is>
          <t>Yes</t>
        </is>
      </c>
      <c r="M98" s="45" t="inlineStr">
        <is>
          <t>-</t>
        </is>
      </c>
      <c r="N98" s="45" t="inlineStr">
        <is>
          <t>Extracted to serializers.SubmitGradesProfSerializer</t>
        </is>
      </c>
    </row>
    <row r="99" ht="18.75" customHeight="1">
      <c r="A99" s="45" t="inlineStr">
        <is>
          <t>RR_075</t>
        </is>
      </c>
      <c r="B99" s="45" t="inlineStr">
        <is>
          <t>api/views.py:UploadGradesProfAPI.post</t>
        </is>
      </c>
      <c r="C99" s="45" t="inlineStr">
        <is>
          <t>View performs inline professor role and required field validation</t>
        </is>
      </c>
      <c r="D99" s="45" t="inlineStr">
        <is>
          <t>Scattered Validation</t>
        </is>
      </c>
      <c r="E99" s="45" t="inlineStr">
        <is>
          <t>Consolidate Validation</t>
        </is>
      </c>
      <c r="F99" s="45" t="inlineStr">
        <is>
          <t>Maintainability</t>
        </is>
      </c>
      <c r="G99" s="45" t="inlineStr">
        <is>
          <t>Moderate</t>
        </is>
      </c>
      <c r="H99" s="45" t="inlineStr">
        <is>
          <t>Cross-layer</t>
        </is>
      </c>
      <c r="I99" s="45" t="inlineStr">
        <is>
          <t>Inter-layer</t>
        </is>
      </c>
      <c r="J99" s="45" t="inlineStr">
        <is>
          <t>Low</t>
        </is>
      </c>
      <c r="K99" s="45" t="inlineStr">
        <is>
          <t>Framework</t>
        </is>
      </c>
      <c r="L99" s="45" t="inlineStr">
        <is>
          <t>Yes</t>
        </is>
      </c>
      <c r="M99" s="45" t="inlineStr">
        <is>
          <t>-</t>
        </is>
      </c>
      <c r="N99" s="45" t="inlineStr">
        <is>
          <t>Extracted to serializers.UploadGradesProfSerializer</t>
        </is>
      </c>
    </row>
    <row r="100" ht="18.75" customHeight="1">
      <c r="A100" s="45" t="inlineStr">
        <is>
          <t>RR_076</t>
        </is>
      </c>
      <c r="B100" s="45" t="inlineStr">
        <is>
          <t>api/views.py:DownloadGradesAPI.post</t>
        </is>
      </c>
      <c r="C100" s="45" t="inlineStr">
        <is>
          <t>View performs inline professor role and required year/semester validation</t>
        </is>
      </c>
      <c r="D100" s="45" t="inlineStr">
        <is>
          <t>Scattered Validation</t>
        </is>
      </c>
      <c r="E100" s="45" t="inlineStr">
        <is>
          <t>Consolidate Validation</t>
        </is>
      </c>
      <c r="F100" s="45" t="inlineStr">
        <is>
          <t>Maintainability</t>
        </is>
      </c>
      <c r="G100" s="45" t="inlineStr">
        <is>
          <t>Moderate</t>
        </is>
      </c>
      <c r="H100" s="45" t="inlineStr">
        <is>
          <t>Cross-layer</t>
        </is>
      </c>
      <c r="I100" s="45" t="inlineStr">
        <is>
          <t>Inter-layer</t>
        </is>
      </c>
      <c r="J100" s="45" t="inlineStr">
        <is>
          <t>Low</t>
        </is>
      </c>
      <c r="K100" s="45" t="inlineStr">
        <is>
          <t>Framework</t>
        </is>
      </c>
      <c r="L100" s="45" t="inlineStr">
        <is>
          <t>Yes</t>
        </is>
      </c>
      <c r="M100" s="45" t="inlineStr">
        <is>
          <t>-</t>
        </is>
      </c>
      <c r="N100" s="45" t="inlineStr">
        <is>
          <t>Extracted to serializers.DownloadGradesSerializer</t>
        </is>
      </c>
    </row>
    <row r="101" ht="18.75" customHeight="1">
      <c r="A101" s="45" t="inlineStr">
        <is>
          <t>RR_077</t>
        </is>
      </c>
      <c r="B101" s="45" t="inlineStr">
        <is>
          <t>api/views.py:VerifyGradesDeanView.post</t>
        </is>
      </c>
      <c r="C101" s="45" t="inlineStr">
        <is>
          <t>View performs inline dean role and required year/semester validation</t>
        </is>
      </c>
      <c r="D101" s="45" t="inlineStr">
        <is>
          <t>Scattered Validation</t>
        </is>
      </c>
      <c r="E101" s="45" t="inlineStr">
        <is>
          <t>Consolidate Validation</t>
        </is>
      </c>
      <c r="F101" s="45" t="inlineStr">
        <is>
          <t>Maintainability</t>
        </is>
      </c>
      <c r="G101" s="45" t="inlineStr">
        <is>
          <t>Moderate</t>
        </is>
      </c>
      <c r="H101" s="45" t="inlineStr">
        <is>
          <t>Cross-layer</t>
        </is>
      </c>
      <c r="I101" s="45" t="inlineStr">
        <is>
          <t>Inter-layer</t>
        </is>
      </c>
      <c r="J101" s="45" t="inlineStr">
        <is>
          <t>Low</t>
        </is>
      </c>
      <c r="K101" s="45" t="inlineStr">
        <is>
          <t>Framework</t>
        </is>
      </c>
      <c r="L101" s="45" t="inlineStr">
        <is>
          <t>Yes</t>
        </is>
      </c>
      <c r="M101" s="45" t="inlineStr">
        <is>
          <t>-</t>
        </is>
      </c>
      <c r="N101" s="45" t="inlineStr">
        <is>
          <t>Extracted to serializers.VerifyGradesDeanSerializer</t>
        </is>
      </c>
    </row>
    <row r="102" ht="18.75" customHeight="1">
      <c r="A102" s="45" t="inlineStr">
        <is>
          <t>RR_078</t>
        </is>
      </c>
      <c r="B102" s="45" t="inlineStr">
        <is>
          <t>api/views.py:UpdateEnterGradesDeanView.post</t>
        </is>
      </c>
      <c r="C102" s="45" t="inlineStr">
        <is>
          <t>View performs inline dean role validation</t>
        </is>
      </c>
      <c r="D102" s="45" t="inlineStr">
        <is>
          <t>Scattered Validation</t>
        </is>
      </c>
      <c r="E102" s="45" t="inlineStr">
        <is>
          <t>Consolidate Validation</t>
        </is>
      </c>
      <c r="F102" s="45" t="inlineStr">
        <is>
          <t>Maintainability</t>
        </is>
      </c>
      <c r="G102" s="45" t="inlineStr">
        <is>
          <t>Minor</t>
        </is>
      </c>
      <c r="H102" s="45" t="inlineStr">
        <is>
          <t>Cross-layer</t>
        </is>
      </c>
      <c r="I102" s="45" t="inlineStr">
        <is>
          <t>Inter-layer</t>
        </is>
      </c>
      <c r="J102" s="45" t="inlineStr">
        <is>
          <t>Low</t>
        </is>
      </c>
      <c r="K102" s="45" t="inlineStr">
        <is>
          <t>Framework</t>
        </is>
      </c>
      <c r="L102" s="45" t="inlineStr">
        <is>
          <t>Yes</t>
        </is>
      </c>
      <c r="M102" s="45" t="inlineStr">
        <is>
          <t>-</t>
        </is>
      </c>
      <c r="N102" s="45" t="inlineStr">
        <is>
          <t>Extracted to serializers.UpdateEnterGradesDeanSerializer</t>
        </is>
      </c>
    </row>
    <row r="103" ht="18.75" customHeight="1">
      <c r="A103" s="45" t="inlineStr">
        <is>
          <t>RR_079</t>
        </is>
      </c>
      <c r="B103" s="45" t="inlineStr">
        <is>
          <t>api/views.py:ValidateDeanView.post</t>
        </is>
      </c>
      <c r="C103" s="45" t="inlineStr">
        <is>
          <t>View performs inline dean role validation</t>
        </is>
      </c>
      <c r="D103" s="45" t="inlineStr">
        <is>
          <t>Scattered Validation</t>
        </is>
      </c>
      <c r="E103" s="45" t="inlineStr">
        <is>
          <t>Consolidate Validation</t>
        </is>
      </c>
      <c r="F103" s="45" t="inlineStr">
        <is>
          <t>Maintainability</t>
        </is>
      </c>
      <c r="G103" s="45" t="inlineStr">
        <is>
          <t>Minor</t>
        </is>
      </c>
      <c r="H103" s="45" t="inlineStr">
        <is>
          <t>Cross-layer</t>
        </is>
      </c>
      <c r="I103" s="45" t="inlineStr">
        <is>
          <t>Inter-layer</t>
        </is>
      </c>
      <c r="J103" s="45" t="inlineStr">
        <is>
          <t>Low</t>
        </is>
      </c>
      <c r="K103" s="45" t="inlineStr">
        <is>
          <t>Framework</t>
        </is>
      </c>
      <c r="L103" s="45" t="inlineStr">
        <is>
          <t>Yes</t>
        </is>
      </c>
      <c r="M103" s="45" t="inlineStr">
        <is>
          <t>-</t>
        </is>
      </c>
      <c r="N103" s="45" t="inlineStr">
        <is>
          <t>Extracted to serializers.ValidateDeanSerializer</t>
        </is>
      </c>
    </row>
    <row r="104" ht="18.75" customHeight="1">
      <c r="A104" s="45" t="inlineStr">
        <is>
          <t>RR_080</t>
        </is>
      </c>
      <c r="B104" s="45" t="inlineStr">
        <is>
          <t>api/views.py:ValidateDeanSubmitView.post</t>
        </is>
      </c>
      <c r="C104" s="45" t="inlineStr">
        <is>
          <t>View performs inline dean role, required course/year, and file type validation</t>
        </is>
      </c>
      <c r="D104" s="45" t="inlineStr">
        <is>
          <t>Scattered Validation</t>
        </is>
      </c>
      <c r="E104" s="45" t="inlineStr">
        <is>
          <t>Consolidate Validation</t>
        </is>
      </c>
      <c r="F104" s="45" t="inlineStr">
        <is>
          <t>Maintainability</t>
        </is>
      </c>
      <c r="G104" s="45" t="inlineStr">
        <is>
          <t>Moderate</t>
        </is>
      </c>
      <c r="H104" s="45" t="inlineStr">
        <is>
          <t>Cross-layer</t>
        </is>
      </c>
      <c r="I104" s="45" t="inlineStr">
        <is>
          <t>Inter-layer</t>
        </is>
      </c>
      <c r="J104" s="45" t="inlineStr">
        <is>
          <t>Low</t>
        </is>
      </c>
      <c r="K104" s="45" t="inlineStr">
        <is>
          <t>Framework</t>
        </is>
      </c>
      <c r="L104" s="45" t="inlineStr">
        <is>
          <t>Yes</t>
        </is>
      </c>
      <c r="M104" s="45" t="inlineStr">
        <is>
          <t>-</t>
        </is>
      </c>
      <c r="N104" s="45" t="inlineStr">
        <is>
          <t>Extracted to serializers.ValidateDeanSubmitSerializer</t>
        </is>
      </c>
    </row>
    <row r="105" ht="18.75" customHeight="1">
      <c r="A105" s="45" t="inlineStr">
        <is>
          <t>RR_081</t>
        </is>
      </c>
      <c r="B105" s="45" t="inlineStr">
        <is>
          <t>api/views.py:CheckResultView.post</t>
        </is>
      </c>
      <c r="C105" s="45" t="inlineStr">
        <is>
          <t>View performs inline required semester_no and semester_type validation</t>
        </is>
      </c>
      <c r="D105" s="45" t="inlineStr">
        <is>
          <t>Scattered Validation</t>
        </is>
      </c>
      <c r="E105" s="45" t="inlineStr">
        <is>
          <t>Consolidate Validation</t>
        </is>
      </c>
      <c r="F105" s="45" t="inlineStr">
        <is>
          <t>Maintainability</t>
        </is>
      </c>
      <c r="G105" s="45" t="inlineStr">
        <is>
          <t>Moderate</t>
        </is>
      </c>
      <c r="H105" s="45" t="inlineStr">
        <is>
          <t>Cross-layer</t>
        </is>
      </c>
      <c r="I105" s="45" t="inlineStr">
        <is>
          <t>Inter-layer</t>
        </is>
      </c>
      <c r="J105" s="45" t="inlineStr">
        <is>
          <t>Low</t>
        </is>
      </c>
      <c r="K105" s="45" t="inlineStr">
        <is>
          <t>Framework</t>
        </is>
      </c>
      <c r="L105" s="45" t="inlineStr">
        <is>
          <t>Yes</t>
        </is>
      </c>
      <c r="M105" s="45" t="inlineStr">
        <is>
          <t>-</t>
        </is>
      </c>
      <c r="N105" s="45" t="inlineStr">
        <is>
          <t>Extracted to serializers.CheckResultSerializer</t>
        </is>
      </c>
    </row>
    <row r="106" ht="18.75" customHeight="1">
      <c r="A106" s="45" t="inlineStr">
        <is>
          <t>RR_082</t>
        </is>
      </c>
      <c r="B106" s="45" t="inlineStr">
        <is>
          <t>api/views.py:PreviewGradesAPI.post</t>
        </is>
      </c>
      <c r="C106" s="45" t="inlineStr">
        <is>
          <t>View performs inline multi-role check and required field validation</t>
        </is>
      </c>
      <c r="D106" s="45" t="inlineStr">
        <is>
          <t>Scattered Validation</t>
        </is>
      </c>
      <c r="E106" s="45" t="inlineStr">
        <is>
          <t>Consolidate Validation</t>
        </is>
      </c>
      <c r="F106" s="45" t="inlineStr">
        <is>
          <t>Maintainability</t>
        </is>
      </c>
      <c r="G106" s="45" t="inlineStr">
        <is>
          <t>Moderate</t>
        </is>
      </c>
      <c r="H106" s="45" t="inlineStr">
        <is>
          <t>Cross-layer</t>
        </is>
      </c>
      <c r="I106" s="45" t="inlineStr">
        <is>
          <t>Inter-layer</t>
        </is>
      </c>
      <c r="J106" s="45" t="inlineStr">
        <is>
          <t>Low</t>
        </is>
      </c>
      <c r="K106" s="45" t="inlineStr">
        <is>
          <t>Framework</t>
        </is>
      </c>
      <c r="L106" s="45" t="inlineStr">
        <is>
          <t>Yes</t>
        </is>
      </c>
      <c r="M106" s="45" t="inlineStr">
        <is>
          <t>-</t>
        </is>
      </c>
      <c r="N106" s="45" t="inlineStr">
        <is>
          <t>Extracted to serializers.PreviewGradesSerializer</t>
        </is>
      </c>
    </row>
    <row r="107" ht="18.75" customHeight="1">
      <c r="A107" s="45" t="inlineStr">
        <is>
          <t>RR_083</t>
        </is>
      </c>
      <c r="B107" s="45" t="inlineStr">
        <is>
          <t>api/views.py:ResultAnnouncementListAPI.get</t>
        </is>
      </c>
      <c r="C107" s="45" t="inlineStr">
        <is>
          <t>View performs inline role check via query parameter</t>
        </is>
      </c>
      <c r="D107" s="45" t="inlineStr">
        <is>
          <t>Scattered Validation</t>
        </is>
      </c>
      <c r="E107" s="45" t="inlineStr">
        <is>
          <t>Consolidate Validation</t>
        </is>
      </c>
      <c r="F107" s="45" t="inlineStr">
        <is>
          <t>Maintainability</t>
        </is>
      </c>
      <c r="G107" s="45" t="inlineStr">
        <is>
          <t>Minor</t>
        </is>
      </c>
      <c r="H107" s="45" t="inlineStr">
        <is>
          <t>Cross-layer</t>
        </is>
      </c>
      <c r="I107" s="45" t="inlineStr">
        <is>
          <t>Inter-layer</t>
        </is>
      </c>
      <c r="J107" s="45" t="inlineStr">
        <is>
          <t>Low</t>
        </is>
      </c>
      <c r="K107" s="45" t="inlineStr">
        <is>
          <t>Framework</t>
        </is>
      </c>
      <c r="L107" s="45" t="inlineStr">
        <is>
          <t>Yes</t>
        </is>
      </c>
      <c r="M107" s="45" t="inlineStr">
        <is>
          <t>-</t>
        </is>
      </c>
      <c r="N107" s="45" t="inlineStr">
        <is>
          <t>Extracted to serializers.ResultAnnouncementListSerializer</t>
        </is>
      </c>
    </row>
    <row r="108" ht="18.75" customHeight="1">
      <c r="A108" s="45" t="inlineStr">
        <is>
          <t>RR_084</t>
        </is>
      </c>
      <c r="B108" s="45" t="inlineStr">
        <is>
          <t>api/views.py:UpdateAnnouncementAPI.post</t>
        </is>
      </c>
      <c r="C108" s="45" t="inlineStr">
        <is>
          <t>View performs inline role and required id/announced validation</t>
        </is>
      </c>
      <c r="D108" s="45" t="inlineStr">
        <is>
          <t>Scattered Validation</t>
        </is>
      </c>
      <c r="E108" s="45" t="inlineStr">
        <is>
          <t>Consolidate Validation</t>
        </is>
      </c>
      <c r="F108" s="45" t="inlineStr">
        <is>
          <t>Maintainability</t>
        </is>
      </c>
      <c r="G108" s="45" t="inlineStr">
        <is>
          <t>Minor</t>
        </is>
      </c>
      <c r="H108" s="45" t="inlineStr">
        <is>
          <t>Cross-layer</t>
        </is>
      </c>
      <c r="I108" s="45" t="inlineStr">
        <is>
          <t>Inter-layer</t>
        </is>
      </c>
      <c r="J108" s="45" t="inlineStr">
        <is>
          <t>Low</t>
        </is>
      </c>
      <c r="K108" s="45" t="inlineStr">
        <is>
          <t>Framework</t>
        </is>
      </c>
      <c r="L108" s="45" t="inlineStr">
        <is>
          <t>Yes</t>
        </is>
      </c>
      <c r="M108" s="45" t="inlineStr">
        <is>
          <t>-</t>
        </is>
      </c>
      <c r="N108" s="45" t="inlineStr">
        <is>
          <t>Extracted to serializers.UpdateAnnouncementSerializer</t>
        </is>
      </c>
    </row>
    <row r="109" ht="18.75" customHeight="1">
      <c r="A109" s="45" t="inlineStr">
        <is>
          <t>RR_085</t>
        </is>
      </c>
      <c r="B109" s="45" t="inlineStr">
        <is>
          <t>api/views.py:CreateAnnouncementAPI.post</t>
        </is>
      </c>
      <c r="C109" s="45" t="inlineStr">
        <is>
          <t>View performs inline role and required batch/semester validation</t>
        </is>
      </c>
      <c r="D109" s="45" t="inlineStr">
        <is>
          <t>Scattered Validation</t>
        </is>
      </c>
      <c r="E109" s="45" t="inlineStr">
        <is>
          <t>Consolidate Validation</t>
        </is>
      </c>
      <c r="F109" s="45" t="inlineStr">
        <is>
          <t>Maintainability</t>
        </is>
      </c>
      <c r="G109" s="45" t="inlineStr">
        <is>
          <t>Moderate</t>
        </is>
      </c>
      <c r="H109" s="45" t="inlineStr">
        <is>
          <t>Cross-layer</t>
        </is>
      </c>
      <c r="I109" s="45" t="inlineStr">
        <is>
          <t>Inter-layer</t>
        </is>
      </c>
      <c r="J109" s="45" t="inlineStr">
        <is>
          <t>Low</t>
        </is>
      </c>
      <c r="K109" s="45" t="inlineStr">
        <is>
          <t>Framework</t>
        </is>
      </c>
      <c r="L109" s="45" t="inlineStr">
        <is>
          <t>Yes</t>
        </is>
      </c>
      <c r="M109" s="45" t="inlineStr">
        <is>
          <t>-</t>
        </is>
      </c>
      <c r="N109" s="45" t="inlineStr">
        <is>
          <t>Extracted to serializers.CreateAnnouncementSerializer</t>
        </is>
      </c>
    </row>
    <row r="110" ht="18.75" customHeight="1">
      <c r="A110" s="45" t="inlineStr">
        <is>
          <t>RR_086</t>
        </is>
      </c>
      <c r="B110" s="45" t="inlineStr">
        <is>
          <t>api/views.py:GradeStatusAPI.post</t>
        </is>
      </c>
      <c r="C110" s="45" t="inlineStr">
        <is>
          <t>View performs inline admin/dean role and required year/semester validation</t>
        </is>
      </c>
      <c r="D110" s="45" t="inlineStr">
        <is>
          <t>Scattered Validation</t>
        </is>
      </c>
      <c r="E110" s="45" t="inlineStr">
        <is>
          <t>Consolidate Validation</t>
        </is>
      </c>
      <c r="F110" s="45" t="inlineStr">
        <is>
          <t>Maintainability</t>
        </is>
      </c>
      <c r="G110" s="45" t="inlineStr">
        <is>
          <t>Moderate</t>
        </is>
      </c>
      <c r="H110" s="45" t="inlineStr">
        <is>
          <t>Cross-layer</t>
        </is>
      </c>
      <c r="I110" s="45" t="inlineStr">
        <is>
          <t>Inter-layer</t>
        </is>
      </c>
      <c r="J110" s="45" t="inlineStr">
        <is>
          <t>Low</t>
        </is>
      </c>
      <c r="K110" s="45" t="inlineStr">
        <is>
          <t>Framework</t>
        </is>
      </c>
      <c r="L110" s="45" t="inlineStr">
        <is>
          <t>Yes</t>
        </is>
      </c>
      <c r="M110" s="45" t="inlineStr">
        <is>
          <t>-</t>
        </is>
      </c>
      <c r="N110" s="45" t="inlineStr">
        <is>
          <t>Extracted to serializers.GradeStatusSerializer</t>
        </is>
      </c>
    </row>
    <row r="111" ht="18.75" customHeight="1">
      <c r="A111" s="45" t="inlineStr">
        <is>
          <t>RR_087</t>
        </is>
      </c>
      <c r="B111" s="45" t="inlineStr">
        <is>
          <t>api/views.py:GradeSummaryAPI.post</t>
        </is>
      </c>
      <c r="C111" s="45" t="inlineStr">
        <is>
          <t>View performs inline admin/dean role and required year/semester validation</t>
        </is>
      </c>
      <c r="D111" s="45" t="inlineStr">
        <is>
          <t>Scattered Validation</t>
        </is>
      </c>
      <c r="E111" s="45" t="inlineStr">
        <is>
          <t>Consolidate Validation</t>
        </is>
      </c>
      <c r="F111" s="45" t="inlineStr">
        <is>
          <t>Maintainability</t>
        </is>
      </c>
      <c r="G111" s="45" t="inlineStr">
        <is>
          <t>Moderate</t>
        </is>
      </c>
      <c r="H111" s="45" t="inlineStr">
        <is>
          <t>Cross-layer</t>
        </is>
      </c>
      <c r="I111" s="45" t="inlineStr">
        <is>
          <t>Inter-layer</t>
        </is>
      </c>
      <c r="J111" s="45" t="inlineStr">
        <is>
          <t>Low</t>
        </is>
      </c>
      <c r="K111" s="45" t="inlineStr">
        <is>
          <t>Framework</t>
        </is>
      </c>
      <c r="L111" s="45" t="inlineStr">
        <is>
          <t>Yes</t>
        </is>
      </c>
      <c r="M111" s="45" t="inlineStr">
        <is>
          <t>-</t>
        </is>
      </c>
      <c r="N111" s="45" t="inlineStr">
        <is>
          <t>Extracted to serializers.GradeSummarySerializer</t>
        </is>
      </c>
    </row>
    <row r="112" ht="18.75" customHeight="1">
      <c r="A112" s="45" t="inlineStr">
        <is>
          <t>RR_088</t>
        </is>
      </c>
      <c r="B112" s="45" t="inlineStr">
        <is>
          <t>api/views.py</t>
        </is>
      </c>
      <c r="C112" s="45" t="inlineStr">
        <is>
          <t>Role validation string comparison duplicated inline across 30 views</t>
        </is>
      </c>
      <c r="D112" s="45" t="inlineStr">
        <is>
          <t>Scattered Validation</t>
        </is>
      </c>
      <c r="E112" s="45" t="inlineStr">
        <is>
          <t>Other (Extract Custom Field)</t>
        </is>
      </c>
      <c r="F112" s="45" t="inlineStr">
        <is>
          <t>Reusability</t>
        </is>
      </c>
      <c r="G112" s="45" t="inlineStr">
        <is>
          <t>Major</t>
        </is>
      </c>
      <c r="H112" s="45" t="inlineStr">
        <is>
          <t>Cross-layer</t>
        </is>
      </c>
      <c r="I112" s="45" t="inlineStr">
        <is>
          <t>Inter-layer</t>
        </is>
      </c>
      <c r="J112" s="45" t="inlineStr">
        <is>
          <t>Low</t>
        </is>
      </c>
      <c r="K112" s="45" t="inlineStr">
        <is>
          <t>Framework</t>
        </is>
      </c>
      <c r="L112" s="45" t="inlineStr">
        <is>
          <t>Yes</t>
        </is>
      </c>
      <c r="M112" s="45" t="inlineStr">
        <is>
          <t>DRF permission class</t>
        </is>
      </c>
      <c r="N112" s="45" t="inlineStr">
        <is>
          <t>Extracted to serializers.RoleField custom serializer field</t>
        </is>
      </c>
    </row>
    <row r="113" ht="18.75" customHeight="1">
      <c r="A113" s="45" t="inlineStr">
        <is>
          <t>RR_089</t>
        </is>
      </c>
      <c r="B113" s="45" t="inlineStr">
        <is>
          <t>api/views.py:UniqueRegistrationYearsView.get</t>
        </is>
      </c>
      <c r="C113" s="45" t="inlineStr">
        <is>
          <t>View performs inline programme_type parameter extraction without serializer</t>
        </is>
      </c>
      <c r="D113" s="45" t="inlineStr">
        <is>
          <t>Scattered Validation</t>
        </is>
      </c>
      <c r="E113" s="45" t="inlineStr">
        <is>
          <t>Consolidate Validation</t>
        </is>
      </c>
      <c r="F113" s="45" t="inlineStr">
        <is>
          <t>Maintainability</t>
        </is>
      </c>
      <c r="G113" s="45" t="inlineStr">
        <is>
          <t>Minor</t>
        </is>
      </c>
      <c r="H113" s="45" t="inlineStr">
        <is>
          <t>Cross-layer</t>
        </is>
      </c>
      <c r="I113" s="45" t="inlineStr">
        <is>
          <t>Inter-layer</t>
        </is>
      </c>
      <c r="J113" s="45" t="inlineStr">
        <is>
          <t>Low</t>
        </is>
      </c>
      <c r="K113" s="45" t="inlineStr">
        <is>
          <t>Framework</t>
        </is>
      </c>
      <c r="L113" s="45" t="inlineStr">
        <is>
          <t>No</t>
        </is>
      </c>
      <c r="M113" s="45" t="inlineStr">
        <is>
          <t>-</t>
        </is>
      </c>
      <c r="N113" s="45" t="inlineStr">
        <is>
          <t>Extracted to serializers.UniqueRegistrationYearsSerializer</t>
        </is>
      </c>
    </row>
    <row r="114" ht="18.75" customHeight="1">
      <c r="A114" s="45" t="inlineStr">
        <is>
          <t>RR_090</t>
        </is>
      </c>
      <c r="B114" s="45" t="inlineStr">
        <is>
          <t>api/views.py:GeneratePDFAPI.post</t>
        </is>
      </c>
      <c r="C114" s="45" t="inlineStr">
        <is>
          <t>View performs inline optional field parsing without structured validation</t>
        </is>
      </c>
      <c r="D114" s="45" t="inlineStr">
        <is>
          <t>Scattered Validation</t>
        </is>
      </c>
      <c r="E114" s="45" t="inlineStr">
        <is>
          <t>Consolidate Validation</t>
        </is>
      </c>
      <c r="F114" s="45" t="inlineStr">
        <is>
          <t>Maintainability</t>
        </is>
      </c>
      <c r="G114" s="45" t="inlineStr">
        <is>
          <t>Minor</t>
        </is>
      </c>
      <c r="H114" s="45" t="inlineStr">
        <is>
          <t>Cross-layer</t>
        </is>
      </c>
      <c r="I114" s="45" t="inlineStr">
        <is>
          <t>Inter-layer</t>
        </is>
      </c>
      <c r="J114" s="45" t="inlineStr">
        <is>
          <t>Low</t>
        </is>
      </c>
      <c r="K114" s="45" t="inlineStr">
        <is>
          <t>Framework</t>
        </is>
      </c>
      <c r="L114" s="45" t="inlineStr">
        <is>
          <t>No</t>
        </is>
      </c>
      <c r="M114" s="45" t="inlineStr">
        <is>
          <t>-</t>
        </is>
      </c>
      <c r="N114" s="45" t="inlineStr">
        <is>
          <t>Extracted to serializers.GeneratePDFSerializer</t>
        </is>
      </c>
    </row>
    <row r="115" ht="18.75" customHeight="1">
      <c r="A115" s="45" t="inlineStr">
        <is>
          <t>RR_091</t>
        </is>
      </c>
      <c r="B115" s="45" t="inlineStr">
        <is>
          <t>api/views.py:GenerateStudentResultPDFAPI.post</t>
        </is>
      </c>
      <c r="C115" s="45" t="inlineStr">
        <is>
          <t>View performs inline optional field parsing for PDF generation</t>
        </is>
      </c>
      <c r="D115" s="45" t="inlineStr">
        <is>
          <t>Scattered Validation</t>
        </is>
      </c>
      <c r="E115" s="45" t="inlineStr">
        <is>
          <t>Consolidate Validation</t>
        </is>
      </c>
      <c r="F115" s="45" t="inlineStr">
        <is>
          <t>Maintainability</t>
        </is>
      </c>
      <c r="G115" s="45" t="inlineStr">
        <is>
          <t>Minor</t>
        </is>
      </c>
      <c r="H115" s="45" t="inlineStr">
        <is>
          <t>Cross-layer</t>
        </is>
      </c>
      <c r="I115" s="45" t="inlineStr">
        <is>
          <t>Inter-layer</t>
        </is>
      </c>
      <c r="J115" s="45" t="inlineStr">
        <is>
          <t>Low</t>
        </is>
      </c>
      <c r="K115" s="45" t="inlineStr">
        <is>
          <t>Framework</t>
        </is>
      </c>
      <c r="L115" s="45" t="inlineStr">
        <is>
          <t>No</t>
        </is>
      </c>
      <c r="M115" s="45" t="inlineStr">
        <is>
          <t>-</t>
        </is>
      </c>
      <c r="N115" s="45" t="inlineStr">
        <is>
          <t>Extracted to serializers.GenerateStudentResultPDFSerializer</t>
        </is>
      </c>
    </row>
    <row r="116" ht="18.75" customHeight="1">
      <c r="A116" s="45" t="inlineStr">
        <is>
          <t>RR_092</t>
        </is>
      </c>
      <c r="B116" s="45" t="inlineStr">
        <is>
          <t>admin.py</t>
        </is>
      </c>
      <c r="C116" s="45" t="inlineStr">
        <is>
          <t>ResultAnnouncement model not registered in admin site</t>
        </is>
      </c>
      <c r="D116" s="45" t="inlineStr">
        <is>
          <t>Other (Missing Registration)</t>
        </is>
      </c>
      <c r="E116" s="45" t="inlineStr">
        <is>
          <t>Other (Add Admin Registration)</t>
        </is>
      </c>
      <c r="F116" s="45" t="inlineStr">
        <is>
          <t>Maintainability</t>
        </is>
      </c>
      <c r="G116" s="45" t="inlineStr">
        <is>
          <t>Minor</t>
        </is>
      </c>
      <c r="H116" s="45" t="inlineStr">
        <is>
          <t>File</t>
        </is>
      </c>
      <c r="I116" s="45" t="inlineStr">
        <is>
          <t>Local</t>
        </is>
      </c>
      <c r="J116" s="45" t="inlineStr">
        <is>
          <t>Low</t>
        </is>
      </c>
      <c r="K116" s="45" t="inlineStr">
        <is>
          <t>Framework</t>
        </is>
      </c>
      <c r="L116" s="45" t="inlineStr">
        <is>
          <t>No</t>
        </is>
      </c>
      <c r="M116" s="45" t="inlineStr">
        <is>
          <t>-</t>
        </is>
      </c>
      <c r="N116" s="45" t="inlineStr">
        <is>
          <t>-</t>
        </is>
      </c>
    </row>
    <row r="117" ht="18.75" customHeight="1">
      <c r="A117" s="45" t="inlineStr">
        <is>
          <t>RR_093</t>
        </is>
      </c>
      <c r="B117" s="45" t="inlineStr">
        <is>
          <t>admin.py</t>
        </is>
      </c>
      <c r="C117" s="45" t="inlineStr">
        <is>
          <t>All models use plain admin.site.register without list_display or search</t>
        </is>
      </c>
      <c r="D117" s="45" t="inlineStr">
        <is>
          <t>Naming / Readability</t>
        </is>
      </c>
      <c r="E117" s="45" t="inlineStr">
        <is>
          <t>Other (Upgrade Admin Config)</t>
        </is>
      </c>
      <c r="F117" s="45" t="inlineStr">
        <is>
          <t>Maintainability</t>
        </is>
      </c>
      <c r="G117" s="45" t="inlineStr">
        <is>
          <t>Minor</t>
        </is>
      </c>
      <c r="H117" s="45" t="inlineStr">
        <is>
          <t>File</t>
        </is>
      </c>
      <c r="I117" s="45" t="inlineStr">
        <is>
          <t>Local</t>
        </is>
      </c>
      <c r="J117" s="45" t="inlineStr">
        <is>
          <t>Low</t>
        </is>
      </c>
      <c r="K117" s="45" t="inlineStr">
        <is>
          <t>Framework</t>
        </is>
      </c>
      <c r="L117" s="45" t="inlineStr">
        <is>
          <t>No</t>
        </is>
      </c>
      <c r="M117" s="45" t="inlineStr">
        <is>
          <t>-</t>
        </is>
      </c>
      <c r="N117" s="45" t="inlineStr">
        <is>
          <t>Upgraded to @admin.register with ModelAdmin classes</t>
        </is>
      </c>
    </row>
    <row r="118" ht="18.75" customHeight="1">
      <c r="A118" s="45" t="inlineStr">
        <is>
          <t>RR_094</t>
        </is>
      </c>
      <c r="B118" s="45" t="inlineStr">
        <is>
          <t>api/urls.py</t>
        </is>
      </c>
      <c r="C118" s="45" t="inlineStr">
        <is>
          <t>All URL patterns use deprecated url() with regex instead of path()</t>
        </is>
      </c>
      <c r="D118" s="45" t="inlineStr">
        <is>
          <t>Other (Deprecated API)</t>
        </is>
      </c>
      <c r="E118" s="45" t="inlineStr">
        <is>
          <t>Other (Modernize URL Config)</t>
        </is>
      </c>
      <c r="F118" s="45" t="inlineStr">
        <is>
          <t>Maintainability</t>
        </is>
      </c>
      <c r="G118" s="45" t="inlineStr">
        <is>
          <t>Moderate</t>
        </is>
      </c>
      <c r="H118" s="45" t="inlineStr">
        <is>
          <t>File</t>
        </is>
      </c>
      <c r="I118" s="45" t="inlineStr">
        <is>
          <t>Local</t>
        </is>
      </c>
      <c r="J118" s="45" t="inlineStr">
        <is>
          <t>Low</t>
        </is>
      </c>
      <c r="K118" s="45" t="inlineStr">
        <is>
          <t>Framework</t>
        </is>
      </c>
      <c r="L118" s="45" t="inlineStr">
        <is>
          <t>Yes</t>
        </is>
      </c>
      <c r="M118" s="45" t="inlineStr">
        <is>
          <t>re_path()</t>
        </is>
      </c>
      <c r="N118" s="45" t="inlineStr">
        <is>
          <t>Migrated 34 url() calls to path()</t>
        </is>
      </c>
    </row>
    <row r="119" ht="18.75" customHeight="1">
      <c r="A119" s="45" t="inlineStr">
        <is>
          <t>RR_095</t>
        </is>
      </c>
      <c r="B119" s="45" t="inlineStr">
        <is>
          <t>tests.py</t>
        </is>
      </c>
      <c r="C119" s="45" t="inlineStr">
        <is>
          <t>Test file is empty with no test coverage</t>
        </is>
      </c>
      <c r="D119" s="45" t="inlineStr">
        <is>
          <t>Other (Missing Tests)</t>
        </is>
      </c>
      <c r="E119" s="45" t="inlineStr">
        <is>
          <t>Other (Create Test Suite)</t>
        </is>
      </c>
      <c r="F119" s="45" t="inlineStr">
        <is>
          <t>Testability</t>
        </is>
      </c>
      <c r="G119" s="45" t="inlineStr">
        <is>
          <t>Major</t>
        </is>
      </c>
      <c r="H119" s="45" t="inlineStr">
        <is>
          <t>File</t>
        </is>
      </c>
      <c r="I119" s="45" t="inlineStr">
        <is>
          <t>Inter-layer</t>
        </is>
      </c>
      <c r="J119" s="45" t="inlineStr">
        <is>
          <t>Low</t>
        </is>
      </c>
      <c r="K119" s="45" t="inlineStr">
        <is>
          <t>Mixed</t>
        </is>
      </c>
      <c r="L119" s="45" t="inlineStr">
        <is>
          <t>Yes</t>
        </is>
      </c>
      <c r="M119" s="45" t="inlineStr">
        <is>
          <t>-</t>
        </is>
      </c>
      <c r="N119" s="45" t="inlineStr">
        <is>
          <t>Created tests/test_module.py with 40+ tests</t>
        </is>
      </c>
    </row>
    <row r="120" ht="18.75" customHeight="1">
      <c r="A120" s="45" t="inlineStr">
        <is>
          <t>RR_096</t>
        </is>
      </c>
      <c r="B120" s="45" t="inlineStr">
        <is>
          <t>api/</t>
        </is>
      </c>
      <c r="C120" s="45" t="inlineStr">
        <is>
          <t>Missing __init__.py prevents proper Python package recognition</t>
        </is>
      </c>
      <c r="D120" s="45" t="inlineStr">
        <is>
          <t>Other (Missing Package Init)</t>
        </is>
      </c>
      <c r="E120" s="45" t="inlineStr">
        <is>
          <t>Other (Create Package Init)</t>
        </is>
      </c>
      <c r="F120" s="45" t="inlineStr">
        <is>
          <t>Modularity</t>
        </is>
      </c>
      <c r="G120" s="45" t="inlineStr">
        <is>
          <t>Minor</t>
        </is>
      </c>
      <c r="H120" s="45" t="inlineStr">
        <is>
          <t>File</t>
        </is>
      </c>
      <c r="I120" s="45" t="inlineStr">
        <is>
          <t>Local</t>
        </is>
      </c>
      <c r="J120" s="45" t="inlineStr">
        <is>
          <t>Low</t>
        </is>
      </c>
      <c r="K120" s="45" t="inlineStr">
        <is>
          <t>Framework</t>
        </is>
      </c>
      <c r="L120" s="45" t="inlineStr">
        <is>
          <t>Yes</t>
        </is>
      </c>
      <c r="M120" s="45" t="inlineStr">
        <is>
          <t>-</t>
        </is>
      </c>
      <c r="N120" s="45" t="inlineStr">
        <is>
          <t>Created api/__init__.py</t>
        </is>
      </c>
    </row>
    <row r="121" ht="18.75" customHeight="1">
      <c r="A121" s="45" t="inlineStr">
        <is>
          <t>RR_097</t>
        </is>
      </c>
      <c r="B121" s="45" t="inlineStr">
        <is>
          <t>api/views.py:make_label</t>
        </is>
      </c>
      <c r="C121" s="45" t="inlineStr">
        <is>
          <t>Function name does not convey semester-label purpose</t>
        </is>
      </c>
      <c r="D121" s="45" t="inlineStr">
        <is>
          <t>Naming / Readability</t>
        </is>
      </c>
      <c r="E121" s="45" t="inlineStr">
        <is>
          <t>Rename</t>
        </is>
      </c>
      <c r="F121" s="45" t="inlineStr">
        <is>
          <t>Readability</t>
        </is>
      </c>
      <c r="G121" s="45" t="inlineStr">
        <is>
          <t>Minor</t>
        </is>
      </c>
      <c r="H121" s="45" t="inlineStr">
        <is>
          <t>Method</t>
        </is>
      </c>
      <c r="I121" s="45" t="inlineStr">
        <is>
          <t>Local</t>
        </is>
      </c>
      <c r="J121" s="45" t="inlineStr">
        <is>
          <t>Low</t>
        </is>
      </c>
      <c r="K121" s="45" t="inlineStr">
        <is>
          <t>Local Code</t>
        </is>
      </c>
      <c r="L121" s="45" t="inlineStr">
        <is>
          <t>No</t>
        </is>
      </c>
      <c r="M121" s="45" t="inlineStr">
        <is>
          <t>-</t>
        </is>
      </c>
      <c r="N121" s="45" t="inlineStr">
        <is>
          <t>Renamed to make_semester_label</t>
        </is>
      </c>
    </row>
    <row r="122" ht="18.75" customHeight="1">
      <c r="A122" s="1" t="inlineStr">
        <is>
          <t>5. Generated Refactoring Actions</t>
        </is>
      </c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2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</row>
    <row r="123" ht="18.75" customHeight="1">
      <c r="A123" s="8" t="inlineStr">
        <is>
          <t>GA_ID</t>
        </is>
      </c>
      <c r="B123" s="8" t="inlineStr">
        <is>
          <t>Treatment</t>
        </is>
      </c>
      <c r="C123" s="8" t="inlineStr">
        <is>
          <t>Location(s)</t>
        </is>
      </c>
      <c r="D123" s="8" t="inlineStr">
        <is>
          <t>Generated Action Description</t>
        </is>
      </c>
      <c r="E123" s="8" t="inlineStr">
        <is>
          <t>Inferred Refactoring Type</t>
        </is>
      </c>
      <c r="F123" s="8" t="inlineStr">
        <is>
          <t>Scope</t>
        </is>
      </c>
      <c r="G123" s="8" t="inlineStr">
        <is>
          <t>Files Changed</t>
        </is>
      </c>
      <c r="H123" s="8" t="inlineStr">
        <is>
          <t>LOC Changed</t>
        </is>
      </c>
      <c r="I123" s="8" t="inlineStr">
        <is>
          <t>Context Needed?</t>
        </is>
      </c>
      <c r="J123" s="8" t="inlineStr">
        <is>
          <t>Rationale Quality</t>
        </is>
      </c>
      <c r="K123" s="8" t="inlineStr">
        <is>
          <t>Notes</t>
        </is>
      </c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</row>
    <row r="124" ht="18.75" customHeight="1">
      <c r="A124" s="12" t="n"/>
      <c r="B124" s="13" t="n"/>
      <c r="C124" s="12" t="n"/>
      <c r="D124" s="13" t="n"/>
      <c r="E124" s="12" t="n"/>
      <c r="F124" s="13" t="n"/>
      <c r="G124" s="12" t="n"/>
      <c r="H124" s="13" t="n"/>
      <c r="I124" s="12" t="n"/>
      <c r="J124" s="13" t="n"/>
      <c r="K124" s="12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</row>
    <row r="125" ht="18.75" customHeight="1">
      <c r="A125" s="12" t="n"/>
      <c r="B125" s="13" t="n"/>
      <c r="C125" s="12" t="n"/>
      <c r="D125" s="13" t="n"/>
      <c r="E125" s="12" t="n"/>
      <c r="F125" s="13" t="n"/>
      <c r="G125" s="12" t="n"/>
      <c r="H125" s="13" t="n"/>
      <c r="I125" s="12" t="n"/>
      <c r="J125" s="13" t="n"/>
      <c r="K125" s="12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</row>
    <row r="126" ht="18.75" customHeight="1">
      <c r="A126" s="12" t="n"/>
      <c r="B126" s="13" t="n"/>
      <c r="C126" s="12" t="n"/>
      <c r="D126" s="13" t="n"/>
      <c r="E126" s="12" t="n"/>
      <c r="F126" s="13" t="n"/>
      <c r="G126" s="12" t="n"/>
      <c r="H126" s="13" t="n"/>
      <c r="I126" s="12" t="n"/>
      <c r="J126" s="13" t="n"/>
      <c r="K126" s="12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</row>
    <row r="127" ht="18.75" customHeight="1">
      <c r="A127" s="12" t="n"/>
      <c r="B127" s="13" t="n"/>
      <c r="C127" s="12" t="n"/>
      <c r="D127" s="13" t="n"/>
      <c r="E127" s="12" t="n"/>
      <c r="F127" s="13" t="n"/>
      <c r="G127" s="12" t="n"/>
      <c r="H127" s="13" t="n"/>
      <c r="I127" s="12" t="n"/>
      <c r="J127" s="13" t="n"/>
      <c r="K127" s="12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</row>
    <row r="128" ht="18.75" customHeight="1">
      <c r="A128" s="12" t="n"/>
      <c r="B128" s="13" t="n"/>
      <c r="C128" s="12" t="n"/>
      <c r="D128" s="13" t="n"/>
      <c r="E128" s="12" t="n"/>
      <c r="F128" s="13" t="n"/>
      <c r="G128" s="12" t="n"/>
      <c r="H128" s="13" t="n"/>
      <c r="I128" s="12" t="n"/>
      <c r="J128" s="13" t="n"/>
      <c r="K128" s="12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</row>
    <row r="129" ht="18.75" customHeight="1">
      <c r="A129" s="12" t="n"/>
      <c r="B129" s="13" t="n"/>
      <c r="C129" s="12" t="n"/>
      <c r="D129" s="13" t="n"/>
      <c r="E129" s="12" t="n"/>
      <c r="F129" s="13" t="n"/>
      <c r="G129" s="12" t="n"/>
      <c r="H129" s="13" t="n"/>
      <c r="I129" s="12" t="n"/>
      <c r="J129" s="13" t="n"/>
      <c r="K129" s="12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</row>
    <row r="130" ht="18.75" customHeight="1">
      <c r="A130" s="12" t="n"/>
      <c r="B130" s="13" t="n"/>
      <c r="C130" s="12" t="n"/>
      <c r="D130" s="13" t="n"/>
      <c r="E130" s="12" t="n"/>
      <c r="F130" s="13" t="n"/>
      <c r="G130" s="12" t="n"/>
      <c r="H130" s="13" t="n"/>
      <c r="I130" s="12" t="n"/>
      <c r="J130" s="13" t="n"/>
      <c r="K130" s="12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</row>
    <row r="131" ht="18.75" customHeight="1">
      <c r="A131" s="12" t="n"/>
      <c r="B131" s="13" t="n"/>
      <c r="C131" s="12" t="n"/>
      <c r="D131" s="13" t="n"/>
      <c r="E131" s="12" t="n"/>
      <c r="F131" s="13" t="n"/>
      <c r="G131" s="12" t="n"/>
      <c r="H131" s="13" t="n"/>
      <c r="I131" s="12" t="n"/>
      <c r="J131" s="13" t="n"/>
      <c r="K131" s="12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</row>
    <row r="132" ht="18.75" customHeight="1">
      <c r="A132" s="12" t="n"/>
      <c r="B132" s="13" t="n"/>
      <c r="C132" s="12" t="n"/>
      <c r="D132" s="13" t="n"/>
      <c r="E132" s="12" t="n"/>
      <c r="F132" s="13" t="n"/>
      <c r="G132" s="12" t="n"/>
      <c r="H132" s="13" t="n"/>
      <c r="I132" s="12" t="n"/>
      <c r="J132" s="13" t="n"/>
      <c r="K132" s="12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</row>
    <row r="133" ht="18.75" customHeight="1">
      <c r="A133" s="12" t="n"/>
      <c r="B133" s="13" t="n"/>
      <c r="C133" s="12" t="n"/>
      <c r="D133" s="13" t="n"/>
      <c r="E133" s="12" t="n"/>
      <c r="F133" s="13" t="n"/>
      <c r="G133" s="12" t="n"/>
      <c r="H133" s="13" t="n"/>
      <c r="I133" s="12" t="n"/>
      <c r="J133" s="13" t="n"/>
      <c r="K133" s="12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</row>
    <row r="134" ht="18.75" customHeight="1">
      <c r="A134" s="12" t="n"/>
      <c r="B134" s="13" t="n"/>
      <c r="C134" s="12" t="n"/>
      <c r="D134" s="13" t="n"/>
      <c r="E134" s="12" t="n"/>
      <c r="F134" s="13" t="n"/>
      <c r="G134" s="12" t="n"/>
      <c r="H134" s="13" t="n"/>
      <c r="I134" s="12" t="n"/>
      <c r="J134" s="13" t="n"/>
      <c r="K134" s="12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</row>
    <row r="135" ht="18.75" customHeight="1">
      <c r="A135" s="12" t="n"/>
      <c r="B135" s="13" t="n"/>
      <c r="C135" s="12" t="n"/>
      <c r="D135" s="13" t="n"/>
      <c r="E135" s="12" t="n"/>
      <c r="F135" s="13" t="n"/>
      <c r="G135" s="12" t="n"/>
      <c r="H135" s="13" t="n"/>
      <c r="I135" s="12" t="n"/>
      <c r="J135" s="13" t="n"/>
      <c r="K135" s="12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</row>
    <row r="136" ht="18.75" customHeight="1">
      <c r="A136" s="12" t="n"/>
      <c r="B136" s="13" t="n"/>
      <c r="C136" s="12" t="n"/>
      <c r="D136" s="13" t="n"/>
      <c r="E136" s="12" t="n"/>
      <c r="F136" s="13" t="n"/>
      <c r="G136" s="12" t="n"/>
      <c r="H136" s="13" t="n"/>
      <c r="I136" s="12" t="n"/>
      <c r="J136" s="13" t="n"/>
      <c r="K136" s="12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</row>
    <row r="137" ht="18.75" customHeight="1">
      <c r="A137" s="12" t="n"/>
      <c r="B137" s="13" t="n"/>
      <c r="C137" s="12" t="n"/>
      <c r="D137" s="13" t="n"/>
      <c r="E137" s="12" t="n"/>
      <c r="F137" s="13" t="n"/>
      <c r="G137" s="12" t="n"/>
      <c r="H137" s="13" t="n"/>
      <c r="I137" s="12" t="n"/>
      <c r="J137" s="13" t="n"/>
      <c r="K137" s="12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</row>
    <row r="138" ht="18.75" customHeight="1">
      <c r="A138" s="12" t="n"/>
      <c r="B138" s="13" t="n"/>
      <c r="C138" s="12" t="n"/>
      <c r="D138" s="13" t="n"/>
      <c r="E138" s="12" t="n"/>
      <c r="F138" s="13" t="n"/>
      <c r="G138" s="12" t="n"/>
      <c r="H138" s="13" t="n"/>
      <c r="I138" s="12" t="n"/>
      <c r="J138" s="13" t="n"/>
      <c r="K138" s="12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</row>
    <row r="139" ht="18.75" customHeight="1">
      <c r="A139" s="12" t="n"/>
      <c r="B139" s="13" t="n"/>
      <c r="C139" s="12" t="n"/>
      <c r="D139" s="13" t="n"/>
      <c r="E139" s="12" t="n"/>
      <c r="F139" s="13" t="n"/>
      <c r="G139" s="12" t="n"/>
      <c r="H139" s="13" t="n"/>
      <c r="I139" s="12" t="n"/>
      <c r="J139" s="13" t="n"/>
      <c r="K139" s="12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</row>
    <row r="140" ht="18.75" customHeight="1">
      <c r="A140" s="12" t="n"/>
      <c r="B140" s="13" t="n"/>
      <c r="C140" s="12" t="n"/>
      <c r="D140" s="13" t="n"/>
      <c r="E140" s="12" t="n"/>
      <c r="F140" s="13" t="n"/>
      <c r="G140" s="12" t="n"/>
      <c r="H140" s="13" t="n"/>
      <c r="I140" s="12" t="n"/>
      <c r="J140" s="13" t="n"/>
      <c r="K140" s="12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</row>
    <row r="141" ht="18.75" customHeight="1">
      <c r="A141" s="12" t="n"/>
      <c r="B141" s="13" t="n"/>
      <c r="C141" s="12" t="n"/>
      <c r="D141" s="13" t="n"/>
      <c r="E141" s="12" t="n"/>
      <c r="F141" s="13" t="n"/>
      <c r="G141" s="12" t="n"/>
      <c r="H141" s="13" t="n"/>
      <c r="I141" s="12" t="n"/>
      <c r="J141" s="13" t="n"/>
      <c r="K141" s="12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</row>
    <row r="142" ht="18.75" customHeight="1">
      <c r="A142" s="12" t="n"/>
      <c r="B142" s="13" t="n"/>
      <c r="C142" s="12" t="n"/>
      <c r="D142" s="13" t="n"/>
      <c r="E142" s="12" t="n"/>
      <c r="F142" s="13" t="n"/>
      <c r="G142" s="12" t="n"/>
      <c r="H142" s="13" t="n"/>
      <c r="I142" s="12" t="n"/>
      <c r="J142" s="13" t="n"/>
      <c r="K142" s="12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</row>
    <row r="143" ht="18.75" customHeight="1">
      <c r="A143" s="12" t="n"/>
      <c r="B143" s="13" t="n"/>
      <c r="C143" s="12" t="n"/>
      <c r="D143" s="13" t="n"/>
      <c r="E143" s="12" t="n"/>
      <c r="F143" s="13" t="n"/>
      <c r="G143" s="12" t="n"/>
      <c r="H143" s="13" t="n"/>
      <c r="I143" s="12" t="n"/>
      <c r="J143" s="13" t="n"/>
      <c r="K143" s="12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</row>
    <row r="144" ht="18.75" customHeight="1">
      <c r="A144" s="12" t="n"/>
      <c r="B144" s="13" t="n"/>
      <c r="C144" s="12" t="n"/>
      <c r="D144" s="13" t="n"/>
      <c r="E144" s="12" t="n"/>
      <c r="F144" s="13" t="n"/>
      <c r="G144" s="12" t="n"/>
      <c r="H144" s="13" t="n"/>
      <c r="I144" s="12" t="n"/>
      <c r="J144" s="13" t="n"/>
      <c r="K144" s="12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</row>
    <row r="145" ht="18.75" customHeight="1">
      <c r="A145" s="12" t="n"/>
      <c r="B145" s="13" t="n"/>
      <c r="C145" s="12" t="n"/>
      <c r="D145" s="13" t="n"/>
      <c r="E145" s="12" t="n"/>
      <c r="F145" s="13" t="n"/>
      <c r="G145" s="12" t="n"/>
      <c r="H145" s="13" t="n"/>
      <c r="I145" s="12" t="n"/>
      <c r="J145" s="13" t="n"/>
      <c r="K145" s="12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</row>
    <row r="146" ht="18.75" customHeight="1">
      <c r="A146" s="12" t="n"/>
      <c r="B146" s="13" t="n"/>
      <c r="C146" s="12" t="n"/>
      <c r="D146" s="13" t="n"/>
      <c r="E146" s="12" t="n"/>
      <c r="F146" s="13" t="n"/>
      <c r="G146" s="12" t="n"/>
      <c r="H146" s="13" t="n"/>
      <c r="I146" s="12" t="n"/>
      <c r="J146" s="13" t="n"/>
      <c r="K146" s="12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</row>
    <row r="147" ht="18.75" customHeight="1">
      <c r="A147" s="12" t="n"/>
      <c r="B147" s="13" t="n"/>
      <c r="C147" s="12" t="n"/>
      <c r="D147" s="13" t="n"/>
      <c r="E147" s="12" t="n"/>
      <c r="F147" s="13" t="n"/>
      <c r="G147" s="12" t="n"/>
      <c r="H147" s="13" t="n"/>
      <c r="I147" s="12" t="n"/>
      <c r="J147" s="13" t="n"/>
      <c r="K147" s="12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</row>
    <row r="148" ht="18.75" customHeight="1">
      <c r="A148" s="12" t="n"/>
      <c r="B148" s="13" t="n"/>
      <c r="C148" s="12" t="n"/>
      <c r="D148" s="13" t="n"/>
      <c r="E148" s="12" t="n"/>
      <c r="F148" s="13" t="n"/>
      <c r="G148" s="12" t="n"/>
      <c r="H148" s="13" t="n"/>
      <c r="I148" s="12" t="n"/>
      <c r="J148" s="13" t="n"/>
      <c r="K148" s="12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</row>
    <row r="149" ht="18.75" customHeight="1">
      <c r="A149" s="12" t="n"/>
      <c r="B149" s="13" t="n"/>
      <c r="C149" s="12" t="n"/>
      <c r="D149" s="13" t="n"/>
      <c r="E149" s="12" t="n"/>
      <c r="F149" s="13" t="n"/>
      <c r="G149" s="12" t="n"/>
      <c r="H149" s="13" t="n"/>
      <c r="I149" s="12" t="n"/>
      <c r="J149" s="13" t="n"/>
      <c r="K149" s="12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</row>
    <row r="150" ht="18.75" customHeight="1">
      <c r="A150" s="12" t="n"/>
      <c r="B150" s="13" t="n"/>
      <c r="C150" s="12" t="n"/>
      <c r="D150" s="13" t="n"/>
      <c r="E150" s="12" t="n"/>
      <c r="F150" s="13" t="n"/>
      <c r="G150" s="12" t="n"/>
      <c r="H150" s="13" t="n"/>
      <c r="I150" s="12" t="n"/>
      <c r="J150" s="13" t="n"/>
      <c r="K150" s="12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</row>
    <row r="151" ht="18.75" customHeight="1">
      <c r="A151" s="12" t="n"/>
      <c r="B151" s="13" t="n"/>
      <c r="C151" s="12" t="n"/>
      <c r="D151" s="13" t="n"/>
      <c r="E151" s="12" t="n"/>
      <c r="F151" s="13" t="n"/>
      <c r="G151" s="12" t="n"/>
      <c r="H151" s="13" t="n"/>
      <c r="I151" s="12" t="n"/>
      <c r="J151" s="13" t="n"/>
      <c r="K151" s="12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</row>
    <row r="152" ht="18.75" customHeight="1">
      <c r="A152" s="12" t="n"/>
      <c r="B152" s="13" t="n"/>
      <c r="C152" s="12" t="n"/>
      <c r="D152" s="13" t="n"/>
      <c r="E152" s="12" t="n"/>
      <c r="F152" s="13" t="n"/>
      <c r="G152" s="12" t="n"/>
      <c r="H152" s="13" t="n"/>
      <c r="I152" s="12" t="n"/>
      <c r="J152" s="13" t="n"/>
      <c r="K152" s="12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</row>
    <row r="153" ht="18.75" customHeight="1">
      <c r="A153" s="12" t="n"/>
      <c r="B153" s="13" t="n"/>
      <c r="C153" s="12" t="n"/>
      <c r="D153" s="13" t="n"/>
      <c r="E153" s="12" t="n"/>
      <c r="F153" s="13" t="n"/>
      <c r="G153" s="12" t="n"/>
      <c r="H153" s="13" t="n"/>
      <c r="I153" s="12" t="n"/>
      <c r="J153" s="13" t="n"/>
      <c r="K153" s="12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</row>
    <row r="154" ht="18.75" customHeight="1">
      <c r="A154" s="1" t="inlineStr">
        <is>
          <t>6. Matching and Scoring (one row per treatment × reference item evaluation)</t>
        </is>
      </c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2" t="n"/>
      <c r="R154" s="20" t="n"/>
      <c r="S154" s="20" t="n"/>
      <c r="T154" s="20" t="n"/>
    </row>
    <row r="155" ht="18.75" customHeight="1">
      <c r="A155" s="8" t="inlineStr">
        <is>
          <t>Treatment</t>
        </is>
      </c>
      <c r="B155" s="8" t="inlineStr">
        <is>
          <t>RR_ID</t>
        </is>
      </c>
      <c r="C155" s="8" t="inlineStr">
        <is>
          <t>GA_ID</t>
        </is>
      </c>
      <c r="D155" s="8" t="inlineStr">
        <is>
          <t>Match Status</t>
        </is>
      </c>
      <c r="E155" s="8" t="inlineStr">
        <is>
          <t>Reviewer 1</t>
        </is>
      </c>
      <c r="F155" s="8" t="inlineStr">
        <is>
          <t>Reviewer 2</t>
        </is>
      </c>
      <c r="G155" s="8" t="inlineStr">
        <is>
          <t>Final Class</t>
        </is>
      </c>
      <c r="H155" s="8" t="inlineStr">
        <is>
          <t>Severity</t>
        </is>
      </c>
      <c r="I155" s="8" t="inlineStr">
        <is>
          <t>Severity Weight</t>
        </is>
      </c>
      <c r="J155" s="8" t="inlineStr">
        <is>
          <t>Harm Category</t>
        </is>
      </c>
      <c r="K155" s="8" t="inlineStr">
        <is>
          <t>Justification</t>
        </is>
      </c>
      <c r="L155" s="8" t="inlineStr">
        <is>
          <t>TP Flag</t>
        </is>
      </c>
      <c r="M155" s="8" t="inlineStr">
        <is>
          <t>FP Flag</t>
        </is>
      </c>
      <c r="N155" s="8" t="inlineStr">
        <is>
          <t>FN Flag</t>
        </is>
      </c>
      <c r="O155" s="8" t="inlineStr">
        <is>
          <t>Weighted TP</t>
        </is>
      </c>
      <c r="P155" s="8" t="inlineStr">
        <is>
          <t>Weighted FP</t>
        </is>
      </c>
      <c r="Q155" s="8" t="inlineStr">
        <is>
          <t>Weighted FN</t>
        </is>
      </c>
      <c r="R155" s="21" t="n"/>
      <c r="S155" s="21" t="n"/>
      <c r="T155" s="21" t="n"/>
    </row>
    <row r="156" ht="18.75" customHeight="1">
      <c r="A156" s="12" t="n"/>
      <c r="B156" s="12" t="n"/>
      <c r="C156" s="12" t="n"/>
      <c r="D156" s="12" t="n"/>
      <c r="E156" s="12" t="n"/>
      <c r="F156" s="12" t="n"/>
      <c r="G156" s="12" t="n"/>
      <c r="H156" s="14">
        <f>IFERROR(VLOOKUP($B91,$A$25:$N$54,7,FALSE),"")</f>
        <v/>
      </c>
      <c r="I156" s="15">
        <f>IF($H91="Minor",1,IF($H91="Moderate",2,IF($H91="Major",3,IF($H91="Critical",4,""))))</f>
        <v/>
      </c>
      <c r="J156" s="16" t="n"/>
      <c r="K156" s="16" t="n"/>
      <c r="L156" s="15">
        <f>IF(OR($G91="Exact TP",$G91="Equivalent TP"),1,0)</f>
        <v/>
      </c>
      <c r="M156" s="15">
        <f>IF(OR($G91="FP Extra",$G91="Harmful FP"),1,0)</f>
        <v/>
      </c>
      <c r="N156" s="15">
        <f>IF(OR($G91="FN",$G91="Partial"),1,0)</f>
        <v/>
      </c>
      <c r="O156" s="15">
        <f>IF($L91=1,$I91,0)</f>
        <v/>
      </c>
      <c r="P156" s="15">
        <f>IF($M91=1,$I91,0)</f>
        <v/>
      </c>
      <c r="Q156" s="15">
        <f>IF($N91=1,$I91,0)</f>
        <v/>
      </c>
      <c r="R156" s="20" t="n"/>
      <c r="S156" s="20" t="n"/>
      <c r="T156" s="20" t="n"/>
    </row>
    <row r="157" ht="18.75" customHeight="1">
      <c r="A157" s="12" t="n"/>
      <c r="B157" s="12" t="n"/>
      <c r="C157" s="12" t="n"/>
      <c r="D157" s="12" t="n"/>
      <c r="E157" s="12" t="n"/>
      <c r="F157" s="12" t="n"/>
      <c r="G157" s="12" t="n"/>
      <c r="H157" s="14">
        <f>IFERROR(VLOOKUP($B92,$A$25:$N$54,7,FALSE),"")</f>
        <v/>
      </c>
      <c r="I157" s="15">
        <f>IF($H92="Minor",1,IF($H92="Moderate",2,IF($H92="Major",3,IF($H92="Critical",4,""))))</f>
        <v/>
      </c>
      <c r="J157" s="16" t="n"/>
      <c r="K157" s="16" t="n"/>
      <c r="L157" s="15">
        <f>IF(OR($G92="Exact TP",$G92="Equivalent TP"),1,0)</f>
        <v/>
      </c>
      <c r="M157" s="15">
        <f>IF(OR($G92="FP Extra",$G92="Harmful FP"),1,0)</f>
        <v/>
      </c>
      <c r="N157" s="15">
        <f>IF(OR($G92="FN",$G92="Partial"),1,0)</f>
        <v/>
      </c>
      <c r="O157" s="15">
        <f>IF($L92=1,$I92,0)</f>
        <v/>
      </c>
      <c r="P157" s="15">
        <f>IF($M92=1,$I92,0)</f>
        <v/>
      </c>
      <c r="Q157" s="15">
        <f>IF($N92=1,$I92,0)</f>
        <v/>
      </c>
      <c r="R157" s="20" t="n"/>
      <c r="S157" s="20" t="n"/>
      <c r="T157" s="20" t="n"/>
    </row>
    <row r="158" ht="18.75" customHeight="1">
      <c r="A158" s="12" t="n"/>
      <c r="B158" s="12" t="n"/>
      <c r="C158" s="12" t="n"/>
      <c r="D158" s="12" t="n"/>
      <c r="E158" s="12" t="n"/>
      <c r="F158" s="12" t="n"/>
      <c r="G158" s="12" t="n"/>
      <c r="H158" s="14">
        <f>IFERROR(VLOOKUP($B93,$A$25:$N$54,7,FALSE),"")</f>
        <v/>
      </c>
      <c r="I158" s="15">
        <f>IF($H93="Minor",1,IF($H93="Moderate",2,IF($H93="Major",3,IF($H93="Critical",4,""))))</f>
        <v/>
      </c>
      <c r="J158" s="16" t="n"/>
      <c r="K158" s="16" t="n"/>
      <c r="L158" s="15">
        <f>IF(OR($G93="Exact TP",$G93="Equivalent TP"),1,0)</f>
        <v/>
      </c>
      <c r="M158" s="15">
        <f>IF(OR($G93="FP Extra",$G93="Harmful FP"),1,0)</f>
        <v/>
      </c>
      <c r="N158" s="15">
        <f>IF(OR($G93="FN",$G93="Partial"),1,0)</f>
        <v/>
      </c>
      <c r="O158" s="15">
        <f>IF($L93=1,$I93,0)</f>
        <v/>
      </c>
      <c r="P158" s="15">
        <f>IF($M93=1,$I93,0)</f>
        <v/>
      </c>
      <c r="Q158" s="15">
        <f>IF($N93=1,$I93,0)</f>
        <v/>
      </c>
      <c r="R158" s="20" t="n"/>
      <c r="S158" s="20" t="n"/>
      <c r="T158" s="20" t="n"/>
    </row>
    <row r="159" ht="18.75" customHeight="1">
      <c r="A159" s="12" t="n"/>
      <c r="B159" s="12" t="n"/>
      <c r="C159" s="12" t="n"/>
      <c r="D159" s="12" t="n"/>
      <c r="E159" s="12" t="n"/>
      <c r="F159" s="12" t="n"/>
      <c r="G159" s="12" t="n"/>
      <c r="H159" s="14">
        <f>IFERROR(VLOOKUP($B94,$A$25:$N$54,7,FALSE),"")</f>
        <v/>
      </c>
      <c r="I159" s="15">
        <f>IF($H94="Minor",1,IF($H94="Moderate",2,IF($H94="Major",3,IF($H94="Critical",4,""))))</f>
        <v/>
      </c>
      <c r="J159" s="16" t="n"/>
      <c r="K159" s="16" t="n"/>
      <c r="L159" s="15">
        <f>IF(OR($G94="Exact TP",$G94="Equivalent TP"),1,0)</f>
        <v/>
      </c>
      <c r="M159" s="15">
        <f>IF(OR($G94="FP Extra",$G94="Harmful FP"),1,0)</f>
        <v/>
      </c>
      <c r="N159" s="15">
        <f>IF(OR($G94="FN",$G94="Partial"),1,0)</f>
        <v/>
      </c>
      <c r="O159" s="15">
        <f>IF($L94=1,$I94,0)</f>
        <v/>
      </c>
      <c r="P159" s="15">
        <f>IF($M94=1,$I94,0)</f>
        <v/>
      </c>
      <c r="Q159" s="15">
        <f>IF($N94=1,$I94,0)</f>
        <v/>
      </c>
      <c r="R159" s="20" t="n"/>
      <c r="S159" s="20" t="n"/>
      <c r="T159" s="20" t="n"/>
    </row>
    <row r="160" ht="18.75" customHeight="1">
      <c r="A160" s="12" t="n"/>
      <c r="B160" s="12" t="n"/>
      <c r="C160" s="12" t="n"/>
      <c r="D160" s="12" t="n"/>
      <c r="E160" s="12" t="n"/>
      <c r="F160" s="12" t="n"/>
      <c r="G160" s="12" t="n"/>
      <c r="H160" s="14">
        <f>IFERROR(VLOOKUP($B95,$A$25:$N$54,7,FALSE),"")</f>
        <v/>
      </c>
      <c r="I160" s="15">
        <f>IF($H95="Minor",1,IF($H95="Moderate",2,IF($H95="Major",3,IF($H95="Critical",4,""))))</f>
        <v/>
      </c>
      <c r="J160" s="16" t="n"/>
      <c r="K160" s="16" t="n"/>
      <c r="L160" s="15">
        <f>IF(OR($G95="Exact TP",$G95="Equivalent TP"),1,0)</f>
        <v/>
      </c>
      <c r="M160" s="15">
        <f>IF(OR($G95="FP Extra",$G95="Harmful FP"),1,0)</f>
        <v/>
      </c>
      <c r="N160" s="15">
        <f>IF(OR($G95="FN",$G95="Partial"),1,0)</f>
        <v/>
      </c>
      <c r="O160" s="15">
        <f>IF($L95=1,$I95,0)</f>
        <v/>
      </c>
      <c r="P160" s="15">
        <f>IF($M95=1,$I95,0)</f>
        <v/>
      </c>
      <c r="Q160" s="15">
        <f>IF($N95=1,$I95,0)</f>
        <v/>
      </c>
      <c r="R160" s="20" t="n"/>
      <c r="S160" s="20" t="n"/>
      <c r="T160" s="20" t="n"/>
    </row>
    <row r="161" ht="18.75" customHeight="1">
      <c r="A161" s="12" t="n"/>
      <c r="B161" s="12" t="n"/>
      <c r="C161" s="12" t="n"/>
      <c r="D161" s="12" t="n"/>
      <c r="E161" s="12" t="n"/>
      <c r="F161" s="12" t="n"/>
      <c r="G161" s="12" t="n"/>
      <c r="H161" s="14">
        <f>IFERROR(VLOOKUP($B96,$A$25:$N$54,7,FALSE),"")</f>
        <v/>
      </c>
      <c r="I161" s="15">
        <f>IF($H96="Minor",1,IF($H96="Moderate",2,IF($H96="Major",3,IF($H96="Critical",4,""))))</f>
        <v/>
      </c>
      <c r="J161" s="16" t="n"/>
      <c r="K161" s="16" t="n"/>
      <c r="L161" s="15">
        <f>IF(OR($G96="Exact TP",$G96="Equivalent TP"),1,0)</f>
        <v/>
      </c>
      <c r="M161" s="15">
        <f>IF(OR($G96="FP Extra",$G96="Harmful FP"),1,0)</f>
        <v/>
      </c>
      <c r="N161" s="15">
        <f>IF(OR($G96="FN",$G96="Partial"),1,0)</f>
        <v/>
      </c>
      <c r="O161" s="15">
        <f>IF($L96=1,$I96,0)</f>
        <v/>
      </c>
      <c r="P161" s="15">
        <f>IF($M96=1,$I96,0)</f>
        <v/>
      </c>
      <c r="Q161" s="15">
        <f>IF($N96=1,$I96,0)</f>
        <v/>
      </c>
      <c r="R161" s="20" t="n"/>
      <c r="S161" s="20" t="n"/>
      <c r="T161" s="20" t="n"/>
    </row>
    <row r="162" ht="18.75" customHeight="1">
      <c r="A162" s="12" t="n"/>
      <c r="B162" s="12" t="n"/>
      <c r="C162" s="12" t="n"/>
      <c r="D162" s="12" t="n"/>
      <c r="E162" s="12" t="n"/>
      <c r="F162" s="12" t="n"/>
      <c r="G162" s="12" t="n"/>
      <c r="H162" s="14">
        <f>IFERROR(VLOOKUP($B97,$A$25:$N$54,7,FALSE),"")</f>
        <v/>
      </c>
      <c r="I162" s="15">
        <f>IF($H97="Minor",1,IF($H97="Moderate",2,IF($H97="Major",3,IF($H97="Critical",4,""))))</f>
        <v/>
      </c>
      <c r="J162" s="16" t="n"/>
      <c r="K162" s="16" t="n"/>
      <c r="L162" s="15">
        <f>IF(OR($G97="Exact TP",$G97="Equivalent TP"),1,0)</f>
        <v/>
      </c>
      <c r="M162" s="15">
        <f>IF(OR($G97="FP Extra",$G97="Harmful FP"),1,0)</f>
        <v/>
      </c>
      <c r="N162" s="15">
        <f>IF(OR($G97="FN",$G97="Partial"),1,0)</f>
        <v/>
      </c>
      <c r="O162" s="15">
        <f>IF($L97=1,$I97,0)</f>
        <v/>
      </c>
      <c r="P162" s="15">
        <f>IF($M97=1,$I97,0)</f>
        <v/>
      </c>
      <c r="Q162" s="15">
        <f>IF($N97=1,$I97,0)</f>
        <v/>
      </c>
      <c r="R162" s="20" t="n"/>
      <c r="S162" s="20" t="n"/>
      <c r="T162" s="20" t="n"/>
    </row>
    <row r="163" ht="18.75" customHeight="1">
      <c r="A163" s="12" t="n"/>
      <c r="B163" s="12" t="n"/>
      <c r="C163" s="12" t="n"/>
      <c r="D163" s="12" t="n"/>
      <c r="E163" s="12" t="n"/>
      <c r="F163" s="12" t="n"/>
      <c r="G163" s="12" t="n"/>
      <c r="H163" s="14">
        <f>IFERROR(VLOOKUP($B98,$A$25:$N$54,7,FALSE),"")</f>
        <v/>
      </c>
      <c r="I163" s="15">
        <f>IF($H98="Minor",1,IF($H98="Moderate",2,IF($H98="Major",3,IF($H98="Critical",4,""))))</f>
        <v/>
      </c>
      <c r="J163" s="16" t="n"/>
      <c r="K163" s="16" t="n"/>
      <c r="L163" s="15">
        <f>IF(OR($G98="Exact TP",$G98="Equivalent TP"),1,0)</f>
        <v/>
      </c>
      <c r="M163" s="15">
        <f>IF(OR($G98="FP Extra",$G98="Harmful FP"),1,0)</f>
        <v/>
      </c>
      <c r="N163" s="15">
        <f>IF(OR($G98="FN",$G98="Partial"),1,0)</f>
        <v/>
      </c>
      <c r="O163" s="15">
        <f>IF($L98=1,$I98,0)</f>
        <v/>
      </c>
      <c r="P163" s="15">
        <f>IF($M98=1,$I98,0)</f>
        <v/>
      </c>
      <c r="Q163" s="15">
        <f>IF($N98=1,$I98,0)</f>
        <v/>
      </c>
      <c r="R163" s="20" t="n"/>
      <c r="S163" s="20" t="n"/>
      <c r="T163" s="20" t="n"/>
    </row>
    <row r="164" ht="18.75" customHeight="1">
      <c r="A164" s="12" t="n"/>
      <c r="B164" s="12" t="n"/>
      <c r="C164" s="12" t="n"/>
      <c r="D164" s="12" t="n"/>
      <c r="E164" s="12" t="n"/>
      <c r="F164" s="12" t="n"/>
      <c r="G164" s="12" t="n"/>
      <c r="H164" s="14">
        <f>IFERROR(VLOOKUP($B99,$A$25:$N$54,7,FALSE),"")</f>
        <v/>
      </c>
      <c r="I164" s="15">
        <f>IF($H99="Minor",1,IF($H99="Moderate",2,IF($H99="Major",3,IF($H99="Critical",4,""))))</f>
        <v/>
      </c>
      <c r="J164" s="16" t="n"/>
      <c r="K164" s="16" t="n"/>
      <c r="L164" s="15">
        <f>IF(OR($G99="Exact TP",$G99="Equivalent TP"),1,0)</f>
        <v/>
      </c>
      <c r="M164" s="15">
        <f>IF(OR($G99="FP Extra",$G99="Harmful FP"),1,0)</f>
        <v/>
      </c>
      <c r="N164" s="15">
        <f>IF(OR($G99="FN",$G99="Partial"),1,0)</f>
        <v/>
      </c>
      <c r="O164" s="15">
        <f>IF($L99=1,$I99,0)</f>
        <v/>
      </c>
      <c r="P164" s="15">
        <f>IF($M99=1,$I99,0)</f>
        <v/>
      </c>
      <c r="Q164" s="15">
        <f>IF($N99=1,$I99,0)</f>
        <v/>
      </c>
      <c r="R164" s="20" t="n"/>
      <c r="S164" s="20" t="n"/>
      <c r="T164" s="20" t="n"/>
    </row>
    <row r="165" ht="18.75" customHeight="1">
      <c r="A165" s="12" t="n"/>
      <c r="B165" s="12" t="n"/>
      <c r="C165" s="12" t="n"/>
      <c r="D165" s="12" t="n"/>
      <c r="E165" s="12" t="n"/>
      <c r="F165" s="12" t="n"/>
      <c r="G165" s="12" t="n"/>
      <c r="H165" s="14">
        <f>IFERROR(VLOOKUP($B100,$A$25:$N$54,7,FALSE),"")</f>
        <v/>
      </c>
      <c r="I165" s="15">
        <f>IF($H100="Minor",1,IF($H100="Moderate",2,IF($H100="Major",3,IF($H100="Critical",4,""))))</f>
        <v/>
      </c>
      <c r="J165" s="16" t="n"/>
      <c r="K165" s="16" t="n"/>
      <c r="L165" s="15">
        <f>IF(OR($G100="Exact TP",$G100="Equivalent TP"),1,0)</f>
        <v/>
      </c>
      <c r="M165" s="15">
        <f>IF(OR($G100="FP Extra",$G100="Harmful FP"),1,0)</f>
        <v/>
      </c>
      <c r="N165" s="15">
        <f>IF(OR($G100="FN",$G100="Partial"),1,0)</f>
        <v/>
      </c>
      <c r="O165" s="15">
        <f>IF($L100=1,$I100,0)</f>
        <v/>
      </c>
      <c r="P165" s="15">
        <f>IF($M100=1,$I100,0)</f>
        <v/>
      </c>
      <c r="Q165" s="15">
        <f>IF($N100=1,$I100,0)</f>
        <v/>
      </c>
      <c r="R165" s="20" t="n"/>
      <c r="S165" s="20" t="n"/>
      <c r="T165" s="20" t="n"/>
    </row>
    <row r="166" ht="18.75" customHeight="1">
      <c r="A166" s="12" t="n"/>
      <c r="B166" s="12" t="n"/>
      <c r="C166" s="12" t="n"/>
      <c r="D166" s="12" t="n"/>
      <c r="E166" s="12" t="n"/>
      <c r="F166" s="12" t="n"/>
      <c r="G166" s="12" t="n"/>
      <c r="H166" s="14">
        <f>IFERROR(VLOOKUP($B101,$A$25:$N$54,7,FALSE),"")</f>
        <v/>
      </c>
      <c r="I166" s="15">
        <f>IF($H101="Minor",1,IF($H101="Moderate",2,IF($H101="Major",3,IF($H101="Critical",4,""))))</f>
        <v/>
      </c>
      <c r="J166" s="16" t="n"/>
      <c r="K166" s="16" t="n"/>
      <c r="L166" s="15">
        <f>IF(OR($G101="Exact TP",$G101="Equivalent TP"),1,0)</f>
        <v/>
      </c>
      <c r="M166" s="15">
        <f>IF(OR($G101="FP Extra",$G101="Harmful FP"),1,0)</f>
        <v/>
      </c>
      <c r="N166" s="15">
        <f>IF(OR($G101="FN",$G101="Partial"),1,0)</f>
        <v/>
      </c>
      <c r="O166" s="15">
        <f>IF($L101=1,$I101,0)</f>
        <v/>
      </c>
      <c r="P166" s="15">
        <f>IF($M101=1,$I101,0)</f>
        <v/>
      </c>
      <c r="Q166" s="15">
        <f>IF($N101=1,$I101,0)</f>
        <v/>
      </c>
      <c r="R166" s="20" t="n"/>
      <c r="S166" s="20" t="n"/>
      <c r="T166" s="20" t="n"/>
    </row>
    <row r="167" ht="18.75" customHeight="1">
      <c r="A167" s="12" t="n"/>
      <c r="B167" s="12" t="n"/>
      <c r="C167" s="12" t="n"/>
      <c r="D167" s="12" t="n"/>
      <c r="E167" s="12" t="n"/>
      <c r="F167" s="12" t="n"/>
      <c r="G167" s="12" t="n"/>
      <c r="H167" s="14">
        <f>IFERROR(VLOOKUP($B102,$A$25:$N$54,7,FALSE),"")</f>
        <v/>
      </c>
      <c r="I167" s="15">
        <f>IF($H102="Minor",1,IF($H102="Moderate",2,IF($H102="Major",3,IF($H102="Critical",4,""))))</f>
        <v/>
      </c>
      <c r="J167" s="16" t="n"/>
      <c r="K167" s="16" t="n"/>
      <c r="L167" s="15">
        <f>IF(OR($G102="Exact TP",$G102="Equivalent TP"),1,0)</f>
        <v/>
      </c>
      <c r="M167" s="15">
        <f>IF(OR($G102="FP Extra",$G102="Harmful FP"),1,0)</f>
        <v/>
      </c>
      <c r="N167" s="15">
        <f>IF(OR($G102="FN",$G102="Partial"),1,0)</f>
        <v/>
      </c>
      <c r="O167" s="15">
        <f>IF($L102=1,$I102,0)</f>
        <v/>
      </c>
      <c r="P167" s="15">
        <f>IF($M102=1,$I102,0)</f>
        <v/>
      </c>
      <c r="Q167" s="15">
        <f>IF($N102=1,$I102,0)</f>
        <v/>
      </c>
      <c r="R167" s="20" t="n"/>
      <c r="S167" s="20" t="n"/>
      <c r="T167" s="20" t="n"/>
    </row>
    <row r="168" ht="18.75" customHeight="1">
      <c r="A168" s="12" t="n"/>
      <c r="B168" s="12" t="n"/>
      <c r="C168" s="12" t="n"/>
      <c r="D168" s="12" t="n"/>
      <c r="E168" s="12" t="n"/>
      <c r="F168" s="12" t="n"/>
      <c r="G168" s="12" t="n"/>
      <c r="H168" s="14">
        <f>IFERROR(VLOOKUP($B103,$A$25:$N$54,7,FALSE),"")</f>
        <v/>
      </c>
      <c r="I168" s="15">
        <f>IF($H103="Minor",1,IF($H103="Moderate",2,IF($H103="Major",3,IF($H103="Critical",4,""))))</f>
        <v/>
      </c>
      <c r="J168" s="16" t="n"/>
      <c r="K168" s="16" t="n"/>
      <c r="L168" s="15">
        <f>IF(OR($G103="Exact TP",$G103="Equivalent TP"),1,0)</f>
        <v/>
      </c>
      <c r="M168" s="15">
        <f>IF(OR($G103="FP Extra",$G103="Harmful FP"),1,0)</f>
        <v/>
      </c>
      <c r="N168" s="15">
        <f>IF(OR($G103="FN",$G103="Partial"),1,0)</f>
        <v/>
      </c>
      <c r="O168" s="15">
        <f>IF($L103=1,$I103,0)</f>
        <v/>
      </c>
      <c r="P168" s="15">
        <f>IF($M103=1,$I103,0)</f>
        <v/>
      </c>
      <c r="Q168" s="15">
        <f>IF($N103=1,$I103,0)</f>
        <v/>
      </c>
      <c r="R168" s="20" t="n"/>
      <c r="S168" s="20" t="n"/>
      <c r="T168" s="20" t="n"/>
    </row>
    <row r="169" ht="18.75" customHeight="1">
      <c r="A169" s="12" t="n"/>
      <c r="B169" s="12" t="n"/>
      <c r="C169" s="12" t="n"/>
      <c r="D169" s="12" t="n"/>
      <c r="E169" s="12" t="n"/>
      <c r="F169" s="12" t="n"/>
      <c r="G169" s="12" t="n"/>
      <c r="H169" s="14">
        <f>IFERROR(VLOOKUP($B104,$A$25:$N$54,7,FALSE),"")</f>
        <v/>
      </c>
      <c r="I169" s="15">
        <f>IF($H104="Minor",1,IF($H104="Moderate",2,IF($H104="Major",3,IF($H104="Critical",4,""))))</f>
        <v/>
      </c>
      <c r="J169" s="16" t="n"/>
      <c r="K169" s="16" t="n"/>
      <c r="L169" s="15">
        <f>IF(OR($G104="Exact TP",$G104="Equivalent TP"),1,0)</f>
        <v/>
      </c>
      <c r="M169" s="15">
        <f>IF(OR($G104="FP Extra",$G104="Harmful FP"),1,0)</f>
        <v/>
      </c>
      <c r="N169" s="15">
        <f>IF(OR($G104="FN",$G104="Partial"),1,0)</f>
        <v/>
      </c>
      <c r="O169" s="15">
        <f>IF($L104=1,$I104,0)</f>
        <v/>
      </c>
      <c r="P169" s="15">
        <f>IF($M104=1,$I104,0)</f>
        <v/>
      </c>
      <c r="Q169" s="15">
        <f>IF($N104=1,$I104,0)</f>
        <v/>
      </c>
      <c r="R169" s="20" t="n"/>
      <c r="S169" s="20" t="n"/>
      <c r="T169" s="20" t="n"/>
    </row>
    <row r="170" ht="18.75" customHeight="1">
      <c r="A170" s="12" t="n"/>
      <c r="B170" s="12" t="n"/>
      <c r="C170" s="12" t="n"/>
      <c r="D170" s="12" t="n"/>
      <c r="E170" s="12" t="n"/>
      <c r="F170" s="12" t="n"/>
      <c r="G170" s="12" t="n"/>
      <c r="H170" s="14">
        <f>IFERROR(VLOOKUP($B105,$A$25:$N$54,7,FALSE),"")</f>
        <v/>
      </c>
      <c r="I170" s="15">
        <f>IF($H105="Minor",1,IF($H105="Moderate",2,IF($H105="Major",3,IF($H105="Critical",4,""))))</f>
        <v/>
      </c>
      <c r="J170" s="16" t="n"/>
      <c r="K170" s="16" t="n"/>
      <c r="L170" s="15">
        <f>IF(OR($G105="Exact TP",$G105="Equivalent TP"),1,0)</f>
        <v/>
      </c>
      <c r="M170" s="15">
        <f>IF(OR($G105="FP Extra",$G105="Harmful FP"),1,0)</f>
        <v/>
      </c>
      <c r="N170" s="15">
        <f>IF(OR($G105="FN",$G105="Partial"),1,0)</f>
        <v/>
      </c>
      <c r="O170" s="15">
        <f>IF($L105=1,$I105,0)</f>
        <v/>
      </c>
      <c r="P170" s="15">
        <f>IF($M105=1,$I105,0)</f>
        <v/>
      </c>
      <c r="Q170" s="15">
        <f>IF($N105=1,$I105,0)</f>
        <v/>
      </c>
      <c r="R170" s="20" t="n"/>
      <c r="S170" s="20" t="n"/>
      <c r="T170" s="20" t="n"/>
    </row>
    <row r="171" ht="18.75" customHeight="1">
      <c r="A171" s="12" t="n"/>
      <c r="B171" s="12" t="n"/>
      <c r="C171" s="12" t="n"/>
      <c r="D171" s="12" t="n"/>
      <c r="E171" s="12" t="n"/>
      <c r="F171" s="12" t="n"/>
      <c r="G171" s="12" t="n"/>
      <c r="H171" s="14">
        <f>IFERROR(VLOOKUP($B106,$A$25:$N$54,7,FALSE),"")</f>
        <v/>
      </c>
      <c r="I171" s="15">
        <f>IF($H106="Minor",1,IF($H106="Moderate",2,IF($H106="Major",3,IF($H106="Critical",4,""))))</f>
        <v/>
      </c>
      <c r="J171" s="16" t="n"/>
      <c r="K171" s="16" t="n"/>
      <c r="L171" s="15">
        <f>IF(OR($G106="Exact TP",$G106="Equivalent TP"),1,0)</f>
        <v/>
      </c>
      <c r="M171" s="15">
        <f>IF(OR($G106="FP Extra",$G106="Harmful FP"),1,0)</f>
        <v/>
      </c>
      <c r="N171" s="15">
        <f>IF(OR($G106="FN",$G106="Partial"),1,0)</f>
        <v/>
      </c>
      <c r="O171" s="15">
        <f>IF($L106=1,$I106,0)</f>
        <v/>
      </c>
      <c r="P171" s="15">
        <f>IF($M106=1,$I106,0)</f>
        <v/>
      </c>
      <c r="Q171" s="15">
        <f>IF($N106=1,$I106,0)</f>
        <v/>
      </c>
      <c r="R171" s="20" t="n"/>
      <c r="S171" s="20" t="n"/>
      <c r="T171" s="20" t="n"/>
    </row>
    <row r="172" ht="18.75" customHeight="1">
      <c r="A172" s="12" t="n"/>
      <c r="B172" s="12" t="n"/>
      <c r="C172" s="12" t="n"/>
      <c r="D172" s="12" t="n"/>
      <c r="E172" s="12" t="n"/>
      <c r="F172" s="12" t="n"/>
      <c r="G172" s="12" t="n"/>
      <c r="H172" s="14">
        <f>IFERROR(VLOOKUP($B107,$A$25:$N$54,7,FALSE),"")</f>
        <v/>
      </c>
      <c r="I172" s="15">
        <f>IF($H107="Minor",1,IF($H107="Moderate",2,IF($H107="Major",3,IF($H107="Critical",4,""))))</f>
        <v/>
      </c>
      <c r="J172" s="16" t="n"/>
      <c r="K172" s="16" t="n"/>
      <c r="L172" s="15">
        <f>IF(OR($G107="Exact TP",$G107="Equivalent TP"),1,0)</f>
        <v/>
      </c>
      <c r="M172" s="15">
        <f>IF(OR($G107="FP Extra",$G107="Harmful FP"),1,0)</f>
        <v/>
      </c>
      <c r="N172" s="15">
        <f>IF(OR($G107="FN",$G107="Partial"),1,0)</f>
        <v/>
      </c>
      <c r="O172" s="15">
        <f>IF($L107=1,$I107,0)</f>
        <v/>
      </c>
      <c r="P172" s="15">
        <f>IF($M107=1,$I107,0)</f>
        <v/>
      </c>
      <c r="Q172" s="15">
        <f>IF($N107=1,$I107,0)</f>
        <v/>
      </c>
      <c r="R172" s="20" t="n"/>
      <c r="S172" s="20" t="n"/>
      <c r="T172" s="20" t="n"/>
    </row>
    <row r="173" ht="18.75" customHeight="1">
      <c r="A173" s="12" t="n"/>
      <c r="B173" s="12" t="n"/>
      <c r="C173" s="12" t="n"/>
      <c r="D173" s="12" t="n"/>
      <c r="E173" s="12" t="n"/>
      <c r="F173" s="12" t="n"/>
      <c r="G173" s="12" t="n"/>
      <c r="H173" s="14">
        <f>IFERROR(VLOOKUP($B108,$A$25:$N$54,7,FALSE),"")</f>
        <v/>
      </c>
      <c r="I173" s="15">
        <f>IF($H108="Minor",1,IF($H108="Moderate",2,IF($H108="Major",3,IF($H108="Critical",4,""))))</f>
        <v/>
      </c>
      <c r="J173" s="16" t="n"/>
      <c r="K173" s="16" t="n"/>
      <c r="L173" s="15">
        <f>IF(OR($G108="Exact TP",$G108="Equivalent TP"),1,0)</f>
        <v/>
      </c>
      <c r="M173" s="15">
        <f>IF(OR($G108="FP Extra",$G108="Harmful FP"),1,0)</f>
        <v/>
      </c>
      <c r="N173" s="15">
        <f>IF(OR($G108="FN",$G108="Partial"),1,0)</f>
        <v/>
      </c>
      <c r="O173" s="15">
        <f>IF($L108=1,$I108,0)</f>
        <v/>
      </c>
      <c r="P173" s="15">
        <f>IF($M108=1,$I108,0)</f>
        <v/>
      </c>
      <c r="Q173" s="15">
        <f>IF($N108=1,$I108,0)</f>
        <v/>
      </c>
      <c r="R173" s="20" t="n"/>
      <c r="S173" s="20" t="n"/>
      <c r="T173" s="20" t="n"/>
    </row>
    <row r="174" ht="18.75" customHeight="1">
      <c r="A174" s="12" t="n"/>
      <c r="B174" s="12" t="n"/>
      <c r="C174" s="12" t="n"/>
      <c r="D174" s="12" t="n"/>
      <c r="E174" s="12" t="n"/>
      <c r="F174" s="12" t="n"/>
      <c r="G174" s="12" t="n"/>
      <c r="H174" s="14">
        <f>IFERROR(VLOOKUP($B109,$A$25:$N$54,7,FALSE),"")</f>
        <v/>
      </c>
      <c r="I174" s="15">
        <f>IF($H109="Minor",1,IF($H109="Moderate",2,IF($H109="Major",3,IF($H109="Critical",4,""))))</f>
        <v/>
      </c>
      <c r="J174" s="16" t="n"/>
      <c r="K174" s="16" t="n"/>
      <c r="L174" s="15">
        <f>IF(OR($G109="Exact TP",$G109="Equivalent TP"),1,0)</f>
        <v/>
      </c>
      <c r="M174" s="15">
        <f>IF(OR($G109="FP Extra",$G109="Harmful FP"),1,0)</f>
        <v/>
      </c>
      <c r="N174" s="15">
        <f>IF(OR($G109="FN",$G109="Partial"),1,0)</f>
        <v/>
      </c>
      <c r="O174" s="15">
        <f>IF($L109=1,$I109,0)</f>
        <v/>
      </c>
      <c r="P174" s="15">
        <f>IF($M109=1,$I109,0)</f>
        <v/>
      </c>
      <c r="Q174" s="15">
        <f>IF($N109=1,$I109,0)</f>
        <v/>
      </c>
      <c r="R174" s="20" t="n"/>
      <c r="S174" s="20" t="n"/>
      <c r="T174" s="20" t="n"/>
    </row>
    <row r="175" ht="18.75" customHeight="1">
      <c r="A175" s="12" t="n"/>
      <c r="B175" s="12" t="n"/>
      <c r="C175" s="12" t="n"/>
      <c r="D175" s="12" t="n"/>
      <c r="E175" s="12" t="n"/>
      <c r="F175" s="12" t="n"/>
      <c r="G175" s="12" t="n"/>
      <c r="H175" s="14">
        <f>IFERROR(VLOOKUP($B110,$A$25:$N$54,7,FALSE),"")</f>
        <v/>
      </c>
      <c r="I175" s="15">
        <f>IF($H110="Minor",1,IF($H110="Moderate",2,IF($H110="Major",3,IF($H110="Critical",4,""))))</f>
        <v/>
      </c>
      <c r="J175" s="16" t="n"/>
      <c r="K175" s="16" t="n"/>
      <c r="L175" s="15">
        <f>IF(OR($G110="Exact TP",$G110="Equivalent TP"),1,0)</f>
        <v/>
      </c>
      <c r="M175" s="15">
        <f>IF(OR($G110="FP Extra",$G110="Harmful FP"),1,0)</f>
        <v/>
      </c>
      <c r="N175" s="15">
        <f>IF(OR($G110="FN",$G110="Partial"),1,0)</f>
        <v/>
      </c>
      <c r="O175" s="15">
        <f>IF($L110=1,$I110,0)</f>
        <v/>
      </c>
      <c r="P175" s="15">
        <f>IF($M110=1,$I110,0)</f>
        <v/>
      </c>
      <c r="Q175" s="15">
        <f>IF($N110=1,$I110,0)</f>
        <v/>
      </c>
      <c r="R175" s="20" t="n"/>
      <c r="S175" s="20" t="n"/>
      <c r="T175" s="20" t="n"/>
    </row>
    <row r="176" ht="18.75" customHeight="1">
      <c r="A176" s="12" t="n"/>
      <c r="B176" s="12" t="n"/>
      <c r="C176" s="12" t="n"/>
      <c r="D176" s="12" t="n"/>
      <c r="E176" s="12" t="n"/>
      <c r="F176" s="12" t="n"/>
      <c r="G176" s="12" t="n"/>
      <c r="H176" s="14">
        <f>IFERROR(VLOOKUP($B111,$A$25:$N$54,7,FALSE),"")</f>
        <v/>
      </c>
      <c r="I176" s="15">
        <f>IF($H111="Minor",1,IF($H111="Moderate",2,IF($H111="Major",3,IF($H111="Critical",4,""))))</f>
        <v/>
      </c>
      <c r="J176" s="16" t="n"/>
      <c r="K176" s="16" t="n"/>
      <c r="L176" s="15">
        <f>IF(OR($G111="Exact TP",$G111="Equivalent TP"),1,0)</f>
        <v/>
      </c>
      <c r="M176" s="15">
        <f>IF(OR($G111="FP Extra",$G111="Harmful FP"),1,0)</f>
        <v/>
      </c>
      <c r="N176" s="15">
        <f>IF(OR($G111="FN",$G111="Partial"),1,0)</f>
        <v/>
      </c>
      <c r="O176" s="15">
        <f>IF($L111=1,$I111,0)</f>
        <v/>
      </c>
      <c r="P176" s="15">
        <f>IF($M111=1,$I111,0)</f>
        <v/>
      </c>
      <c r="Q176" s="15">
        <f>IF($N111=1,$I111,0)</f>
        <v/>
      </c>
      <c r="R176" s="20" t="n"/>
      <c r="S176" s="20" t="n"/>
      <c r="T176" s="20" t="n"/>
    </row>
    <row r="177" ht="18.75" customHeight="1">
      <c r="A177" s="12" t="n"/>
      <c r="B177" s="12" t="n"/>
      <c r="C177" s="12" t="n"/>
      <c r="D177" s="12" t="n"/>
      <c r="E177" s="12" t="n"/>
      <c r="F177" s="12" t="n"/>
      <c r="G177" s="12" t="n"/>
      <c r="H177" s="14">
        <f>IFERROR(VLOOKUP($B112,$A$25:$N$54,7,FALSE),"")</f>
        <v/>
      </c>
      <c r="I177" s="15">
        <f>IF($H112="Minor",1,IF($H112="Moderate",2,IF($H112="Major",3,IF($H112="Critical",4,""))))</f>
        <v/>
      </c>
      <c r="J177" s="16" t="n"/>
      <c r="K177" s="16" t="n"/>
      <c r="L177" s="15">
        <f>IF(OR($G112="Exact TP",$G112="Equivalent TP"),1,0)</f>
        <v/>
      </c>
      <c r="M177" s="15">
        <f>IF(OR($G112="FP Extra",$G112="Harmful FP"),1,0)</f>
        <v/>
      </c>
      <c r="N177" s="15">
        <f>IF(OR($G112="FN",$G112="Partial"),1,0)</f>
        <v/>
      </c>
      <c r="O177" s="15">
        <f>IF($L112=1,$I112,0)</f>
        <v/>
      </c>
      <c r="P177" s="15">
        <f>IF($M112=1,$I112,0)</f>
        <v/>
      </c>
      <c r="Q177" s="15">
        <f>IF($N112=1,$I112,0)</f>
        <v/>
      </c>
      <c r="R177" s="20" t="n"/>
      <c r="S177" s="20" t="n"/>
      <c r="T177" s="20" t="n"/>
    </row>
    <row r="178" ht="18.75" customHeight="1">
      <c r="A178" s="12" t="n"/>
      <c r="B178" s="12" t="n"/>
      <c r="C178" s="12" t="n"/>
      <c r="D178" s="12" t="n"/>
      <c r="E178" s="12" t="n"/>
      <c r="F178" s="12" t="n"/>
      <c r="G178" s="12" t="n"/>
      <c r="H178" s="14">
        <f>IFERROR(VLOOKUP($B113,$A$25:$N$54,7,FALSE),"")</f>
        <v/>
      </c>
      <c r="I178" s="15">
        <f>IF($H113="Minor",1,IF($H113="Moderate",2,IF($H113="Major",3,IF($H113="Critical",4,""))))</f>
        <v/>
      </c>
      <c r="J178" s="16" t="n"/>
      <c r="K178" s="16" t="n"/>
      <c r="L178" s="15">
        <f>IF(OR($G113="Exact TP",$G113="Equivalent TP"),1,0)</f>
        <v/>
      </c>
      <c r="M178" s="15">
        <f>IF(OR($G113="FP Extra",$G113="Harmful FP"),1,0)</f>
        <v/>
      </c>
      <c r="N178" s="15">
        <f>IF(OR($G113="FN",$G113="Partial"),1,0)</f>
        <v/>
      </c>
      <c r="O178" s="15">
        <f>IF($L113=1,$I113,0)</f>
        <v/>
      </c>
      <c r="P178" s="15">
        <f>IF($M113=1,$I113,0)</f>
        <v/>
      </c>
      <c r="Q178" s="15">
        <f>IF($N113=1,$I113,0)</f>
        <v/>
      </c>
      <c r="R178" s="20" t="n"/>
      <c r="S178" s="20" t="n"/>
      <c r="T178" s="20" t="n"/>
    </row>
    <row r="179" ht="18.75" customHeight="1">
      <c r="A179" s="12" t="n"/>
      <c r="B179" s="12" t="n"/>
      <c r="C179" s="12" t="n"/>
      <c r="D179" s="12" t="n"/>
      <c r="E179" s="12" t="n"/>
      <c r="F179" s="12" t="n"/>
      <c r="G179" s="12" t="n"/>
      <c r="H179" s="14">
        <f>IFERROR(VLOOKUP($B114,$A$25:$N$54,7,FALSE),"")</f>
        <v/>
      </c>
      <c r="I179" s="15">
        <f>IF($H114="Minor",1,IF($H114="Moderate",2,IF($H114="Major",3,IF($H114="Critical",4,""))))</f>
        <v/>
      </c>
      <c r="J179" s="16" t="n"/>
      <c r="K179" s="16" t="n"/>
      <c r="L179" s="15">
        <f>IF(OR($G114="Exact TP",$G114="Equivalent TP"),1,0)</f>
        <v/>
      </c>
      <c r="M179" s="15">
        <f>IF(OR($G114="FP Extra",$G114="Harmful FP"),1,0)</f>
        <v/>
      </c>
      <c r="N179" s="15">
        <f>IF(OR($G114="FN",$G114="Partial"),1,0)</f>
        <v/>
      </c>
      <c r="O179" s="15">
        <f>IF($L114=1,$I114,0)</f>
        <v/>
      </c>
      <c r="P179" s="15">
        <f>IF($M114=1,$I114,0)</f>
        <v/>
      </c>
      <c r="Q179" s="15">
        <f>IF($N114=1,$I114,0)</f>
        <v/>
      </c>
      <c r="R179" s="20" t="n"/>
      <c r="S179" s="20" t="n"/>
      <c r="T179" s="20" t="n"/>
    </row>
    <row r="180" ht="18.75" customHeight="1">
      <c r="A180" s="12" t="n"/>
      <c r="B180" s="12" t="n"/>
      <c r="C180" s="12" t="n"/>
      <c r="D180" s="12" t="n"/>
      <c r="E180" s="12" t="n"/>
      <c r="F180" s="12" t="n"/>
      <c r="G180" s="12" t="n"/>
      <c r="H180" s="14">
        <f>IFERROR(VLOOKUP($B115,$A$25:$N$54,7,FALSE),"")</f>
        <v/>
      </c>
      <c r="I180" s="15">
        <f>IF($H115="Minor",1,IF($H115="Moderate",2,IF($H115="Major",3,IF($H115="Critical",4,""))))</f>
        <v/>
      </c>
      <c r="J180" s="16" t="n"/>
      <c r="K180" s="16" t="n"/>
      <c r="L180" s="15">
        <f>IF(OR($G115="Exact TP",$G115="Equivalent TP"),1,0)</f>
        <v/>
      </c>
      <c r="M180" s="15">
        <f>IF(OR($G115="FP Extra",$G115="Harmful FP"),1,0)</f>
        <v/>
      </c>
      <c r="N180" s="15">
        <f>IF(OR($G115="FN",$G115="Partial"),1,0)</f>
        <v/>
      </c>
      <c r="O180" s="15">
        <f>IF($L115=1,$I115,0)</f>
        <v/>
      </c>
      <c r="P180" s="15">
        <f>IF($M115=1,$I115,0)</f>
        <v/>
      </c>
      <c r="Q180" s="15">
        <f>IF($N115=1,$I115,0)</f>
        <v/>
      </c>
      <c r="R180" s="20" t="n"/>
      <c r="S180" s="20" t="n"/>
      <c r="T180" s="20" t="n"/>
    </row>
    <row r="181" ht="18.75" customHeight="1">
      <c r="A181" s="12" t="n"/>
      <c r="B181" s="12" t="n"/>
      <c r="C181" s="12" t="n"/>
      <c r="D181" s="12" t="n"/>
      <c r="E181" s="12" t="n"/>
      <c r="F181" s="12" t="n"/>
      <c r="G181" s="12" t="n"/>
      <c r="H181" s="14">
        <f>IFERROR(VLOOKUP($B116,$A$25:$N$54,7,FALSE),"")</f>
        <v/>
      </c>
      <c r="I181" s="15">
        <f>IF($H116="Minor",1,IF($H116="Moderate",2,IF($H116="Major",3,IF($H116="Critical",4,""))))</f>
        <v/>
      </c>
      <c r="J181" s="16" t="n"/>
      <c r="K181" s="16" t="n"/>
      <c r="L181" s="15">
        <f>IF(OR($G116="Exact TP",$G116="Equivalent TP"),1,0)</f>
        <v/>
      </c>
      <c r="M181" s="15">
        <f>IF(OR($G116="FP Extra",$G116="Harmful FP"),1,0)</f>
        <v/>
      </c>
      <c r="N181" s="15">
        <f>IF(OR($G116="FN",$G116="Partial"),1,0)</f>
        <v/>
      </c>
      <c r="O181" s="15">
        <f>IF($L116=1,$I116,0)</f>
        <v/>
      </c>
      <c r="P181" s="15">
        <f>IF($M116=1,$I116,0)</f>
        <v/>
      </c>
      <c r="Q181" s="15">
        <f>IF($N116=1,$I116,0)</f>
        <v/>
      </c>
      <c r="R181" s="20" t="n"/>
      <c r="S181" s="20" t="n"/>
      <c r="T181" s="20" t="n"/>
    </row>
    <row r="182" ht="18.75" customHeight="1">
      <c r="A182" s="12" t="n"/>
      <c r="B182" s="12" t="n"/>
      <c r="C182" s="12" t="n"/>
      <c r="D182" s="12" t="n"/>
      <c r="E182" s="12" t="n"/>
      <c r="F182" s="12" t="n"/>
      <c r="G182" s="12" t="n"/>
      <c r="H182" s="14">
        <f>IFERROR(VLOOKUP($B117,$A$25:$N$54,7,FALSE),"")</f>
        <v/>
      </c>
      <c r="I182" s="15">
        <f>IF($H117="Minor",1,IF($H117="Moderate",2,IF($H117="Major",3,IF($H117="Critical",4,""))))</f>
        <v/>
      </c>
      <c r="J182" s="16" t="n"/>
      <c r="K182" s="16" t="n"/>
      <c r="L182" s="15">
        <f>IF(OR($G117="Exact TP",$G117="Equivalent TP"),1,0)</f>
        <v/>
      </c>
      <c r="M182" s="15">
        <f>IF(OR($G117="FP Extra",$G117="Harmful FP"),1,0)</f>
        <v/>
      </c>
      <c r="N182" s="15">
        <f>IF(OR($G117="FN",$G117="Partial"),1,0)</f>
        <v/>
      </c>
      <c r="O182" s="15">
        <f>IF($L117=1,$I117,0)</f>
        <v/>
      </c>
      <c r="P182" s="15">
        <f>IF($M117=1,$I117,0)</f>
        <v/>
      </c>
      <c r="Q182" s="15">
        <f>IF($N117=1,$I117,0)</f>
        <v/>
      </c>
      <c r="R182" s="20" t="n"/>
      <c r="S182" s="20" t="n"/>
      <c r="T182" s="20" t="n"/>
    </row>
    <row r="183" ht="18.75" customHeight="1">
      <c r="A183" s="12" t="n"/>
      <c r="B183" s="12" t="n"/>
      <c r="C183" s="12" t="n"/>
      <c r="D183" s="12" t="n"/>
      <c r="E183" s="12" t="n"/>
      <c r="F183" s="12" t="n"/>
      <c r="G183" s="12" t="n"/>
      <c r="H183" s="14">
        <f>IFERROR(VLOOKUP($B118,$A$25:$N$54,7,FALSE),"")</f>
        <v/>
      </c>
      <c r="I183" s="15">
        <f>IF($H118="Minor",1,IF($H118="Moderate",2,IF($H118="Major",3,IF($H118="Critical",4,""))))</f>
        <v/>
      </c>
      <c r="J183" s="16" t="n"/>
      <c r="K183" s="16" t="n"/>
      <c r="L183" s="15">
        <f>IF(OR($G118="Exact TP",$G118="Equivalent TP"),1,0)</f>
        <v/>
      </c>
      <c r="M183" s="15">
        <f>IF(OR($G118="FP Extra",$G118="Harmful FP"),1,0)</f>
        <v/>
      </c>
      <c r="N183" s="15">
        <f>IF(OR($G118="FN",$G118="Partial"),1,0)</f>
        <v/>
      </c>
      <c r="O183" s="15">
        <f>IF($L118=1,$I118,0)</f>
        <v/>
      </c>
      <c r="P183" s="15">
        <f>IF($M118=1,$I118,0)</f>
        <v/>
      </c>
      <c r="Q183" s="15">
        <f>IF($N118=1,$I118,0)</f>
        <v/>
      </c>
      <c r="R183" s="20" t="n"/>
      <c r="S183" s="20" t="n"/>
      <c r="T183" s="20" t="n"/>
    </row>
    <row r="184" ht="18.75" customHeight="1">
      <c r="A184" s="12" t="n"/>
      <c r="B184" s="12" t="n"/>
      <c r="C184" s="12" t="n"/>
      <c r="D184" s="12" t="n"/>
      <c r="E184" s="12" t="n"/>
      <c r="F184" s="12" t="n"/>
      <c r="G184" s="12" t="n"/>
      <c r="H184" s="14">
        <f>IFERROR(VLOOKUP($B119,$A$25:$N$54,7,FALSE),"")</f>
        <v/>
      </c>
      <c r="I184" s="15">
        <f>IF($H119="Minor",1,IF($H119="Moderate",2,IF($H119="Major",3,IF($H119="Critical",4,""))))</f>
        <v/>
      </c>
      <c r="J184" s="16" t="n"/>
      <c r="K184" s="16" t="n"/>
      <c r="L184" s="15">
        <f>IF(OR($G119="Exact TP",$G119="Equivalent TP"),1,0)</f>
        <v/>
      </c>
      <c r="M184" s="15">
        <f>IF(OR($G119="FP Extra",$G119="Harmful FP"),1,0)</f>
        <v/>
      </c>
      <c r="N184" s="15">
        <f>IF(OR($G119="FN",$G119="Partial"),1,0)</f>
        <v/>
      </c>
      <c r="O184" s="15">
        <f>IF($L119=1,$I119,0)</f>
        <v/>
      </c>
      <c r="P184" s="15">
        <f>IF($M119=1,$I119,0)</f>
        <v/>
      </c>
      <c r="Q184" s="15">
        <f>IF($N119=1,$I119,0)</f>
        <v/>
      </c>
      <c r="R184" s="20" t="n"/>
      <c r="S184" s="20" t="n"/>
      <c r="T184" s="20" t="n"/>
    </row>
    <row r="185" ht="18.75" customHeight="1">
      <c r="A185" s="12" t="n"/>
      <c r="B185" s="12" t="n"/>
      <c r="C185" s="12" t="n"/>
      <c r="D185" s="12" t="n"/>
      <c r="E185" s="12" t="n"/>
      <c r="F185" s="12" t="n"/>
      <c r="G185" s="12" t="n"/>
      <c r="H185" s="14">
        <f>IFERROR(VLOOKUP($B120,$A$25:$N$54,7,FALSE),"")</f>
        <v/>
      </c>
      <c r="I185" s="15">
        <f>IF($H120="Minor",1,IF($H120="Moderate",2,IF($H120="Major",3,IF($H120="Critical",4,""))))</f>
        <v/>
      </c>
      <c r="J185" s="16" t="n"/>
      <c r="K185" s="16" t="n"/>
      <c r="L185" s="15">
        <f>IF(OR($G120="Exact TP",$G120="Equivalent TP"),1,0)</f>
        <v/>
      </c>
      <c r="M185" s="15">
        <f>IF(OR($G120="FP Extra",$G120="Harmful FP"),1,0)</f>
        <v/>
      </c>
      <c r="N185" s="15">
        <f>IF(OR($G120="FN",$G120="Partial"),1,0)</f>
        <v/>
      </c>
      <c r="O185" s="15">
        <f>IF($L120=1,$I120,0)</f>
        <v/>
      </c>
      <c r="P185" s="15">
        <f>IF($M120=1,$I120,0)</f>
        <v/>
      </c>
      <c r="Q185" s="15">
        <f>IF($N120=1,$I120,0)</f>
        <v/>
      </c>
      <c r="R185" s="20" t="n"/>
      <c r="S185" s="20" t="n"/>
      <c r="T185" s="20" t="n"/>
    </row>
    <row r="186" ht="18.75" customHeight="1">
      <c r="A186" s="12" t="n"/>
      <c r="B186" s="12" t="n"/>
      <c r="C186" s="12" t="n"/>
      <c r="D186" s="12" t="n"/>
      <c r="E186" s="12" t="n"/>
      <c r="F186" s="12" t="n"/>
      <c r="G186" s="12" t="n"/>
      <c r="H186" s="14">
        <f>IFERROR(VLOOKUP($B121,$A$25:$N$54,7,FALSE),"")</f>
        <v/>
      </c>
      <c r="I186" s="15">
        <f>IF($H121="Minor",1,IF($H121="Moderate",2,IF($H121="Major",3,IF($H121="Critical",4,""))))</f>
        <v/>
      </c>
      <c r="J186" s="16" t="n"/>
      <c r="K186" s="16" t="n"/>
      <c r="L186" s="15">
        <f>IF(OR($G121="Exact TP",$G121="Equivalent TP"),1,0)</f>
        <v/>
      </c>
      <c r="M186" s="15">
        <f>IF(OR($G121="FP Extra",$G121="Harmful FP"),1,0)</f>
        <v/>
      </c>
      <c r="N186" s="15">
        <f>IF(OR($G121="FN",$G121="Partial"),1,0)</f>
        <v/>
      </c>
      <c r="O186" s="15">
        <f>IF($L121=1,$I121,0)</f>
        <v/>
      </c>
      <c r="P186" s="15">
        <f>IF($M121=1,$I121,0)</f>
        <v/>
      </c>
      <c r="Q186" s="15">
        <f>IF($N121=1,$I121,0)</f>
        <v/>
      </c>
      <c r="R186" s="20" t="n"/>
      <c r="S186" s="20" t="n"/>
      <c r="T186" s="20" t="n"/>
    </row>
    <row r="187" ht="18.75" customHeight="1">
      <c r="A187" s="12" t="n"/>
      <c r="B187" s="12" t="n"/>
      <c r="C187" s="12" t="n"/>
      <c r="D187" s="12" t="n"/>
      <c r="E187" s="12" t="n"/>
      <c r="F187" s="12" t="n"/>
      <c r="G187" s="12" t="n"/>
      <c r="H187" s="14">
        <f>IFERROR(VLOOKUP($B122,$A$25:$N$54,7,FALSE),"")</f>
        <v/>
      </c>
      <c r="I187" s="15">
        <f>IF($H122="Minor",1,IF($H122="Moderate",2,IF($H122="Major",3,IF($H122="Critical",4,""))))</f>
        <v/>
      </c>
      <c r="J187" s="16" t="n"/>
      <c r="K187" s="16" t="n"/>
      <c r="L187" s="15">
        <f>IF(OR($G122="Exact TP",$G122="Equivalent TP"),1,0)</f>
        <v/>
      </c>
      <c r="M187" s="15">
        <f>IF(OR($G122="FP Extra",$G122="Harmful FP"),1,0)</f>
        <v/>
      </c>
      <c r="N187" s="15">
        <f>IF(OR($G122="FN",$G122="Partial"),1,0)</f>
        <v/>
      </c>
      <c r="O187" s="15">
        <f>IF($L122=1,$I122,0)</f>
        <v/>
      </c>
      <c r="P187" s="15">
        <f>IF($M122=1,$I122,0)</f>
        <v/>
      </c>
      <c r="Q187" s="15">
        <f>IF($N122=1,$I122,0)</f>
        <v/>
      </c>
      <c r="R187" s="20" t="n"/>
      <c r="S187" s="20" t="n"/>
      <c r="T187" s="20" t="n"/>
    </row>
    <row r="188" ht="18.75" customHeight="1">
      <c r="A188" s="12" t="n"/>
      <c r="B188" s="12" t="n"/>
      <c r="C188" s="12" t="n"/>
      <c r="D188" s="12" t="n"/>
      <c r="E188" s="12" t="n"/>
      <c r="F188" s="12" t="n"/>
      <c r="G188" s="12" t="n"/>
      <c r="H188" s="14">
        <f>IFERROR(VLOOKUP($B123,$A$25:$N$54,7,FALSE),"")</f>
        <v/>
      </c>
      <c r="I188" s="15">
        <f>IF($H123="Minor",1,IF($H123="Moderate",2,IF($H123="Major",3,IF($H123="Critical",4,""))))</f>
        <v/>
      </c>
      <c r="J188" s="16" t="n"/>
      <c r="K188" s="16" t="n"/>
      <c r="L188" s="15">
        <f>IF(OR($G123="Exact TP",$G123="Equivalent TP"),1,0)</f>
        <v/>
      </c>
      <c r="M188" s="15">
        <f>IF(OR($G123="FP Extra",$G123="Harmful FP"),1,0)</f>
        <v/>
      </c>
      <c r="N188" s="15">
        <f>IF(OR($G123="FN",$G123="Partial"),1,0)</f>
        <v/>
      </c>
      <c r="O188" s="15">
        <f>IF($L123=1,$I123,0)</f>
        <v/>
      </c>
      <c r="P188" s="15">
        <f>IF($M123=1,$I123,0)</f>
        <v/>
      </c>
      <c r="Q188" s="15">
        <f>IF($N123=1,$I123,0)</f>
        <v/>
      </c>
      <c r="R188" s="20" t="n"/>
      <c r="S188" s="20" t="n"/>
      <c r="T188" s="20" t="n"/>
    </row>
    <row r="189" ht="18.75" customHeight="1">
      <c r="A189" s="12" t="n"/>
      <c r="B189" s="12" t="n"/>
      <c r="C189" s="12" t="n"/>
      <c r="D189" s="12" t="n"/>
      <c r="E189" s="12" t="n"/>
      <c r="F189" s="12" t="n"/>
      <c r="G189" s="12" t="n"/>
      <c r="H189" s="14">
        <f>IFERROR(VLOOKUP($B124,$A$25:$N$54,7,FALSE),"")</f>
        <v/>
      </c>
      <c r="I189" s="15">
        <f>IF($H124="Minor",1,IF($H124="Moderate",2,IF($H124="Major",3,IF($H124="Critical",4,""))))</f>
        <v/>
      </c>
      <c r="J189" s="16" t="n"/>
      <c r="K189" s="16" t="n"/>
      <c r="L189" s="15">
        <f>IF(OR($G124="Exact TP",$G124="Equivalent TP"),1,0)</f>
        <v/>
      </c>
      <c r="M189" s="15">
        <f>IF(OR($G124="FP Extra",$G124="Harmful FP"),1,0)</f>
        <v/>
      </c>
      <c r="N189" s="15">
        <f>IF(OR($G124="FN",$G124="Partial"),1,0)</f>
        <v/>
      </c>
      <c r="O189" s="15">
        <f>IF($L124=1,$I124,0)</f>
        <v/>
      </c>
      <c r="P189" s="15">
        <f>IF($M124=1,$I124,0)</f>
        <v/>
      </c>
      <c r="Q189" s="15">
        <f>IF($N124=1,$I124,0)</f>
        <v/>
      </c>
      <c r="R189" s="20" t="n"/>
      <c r="S189" s="20" t="n"/>
      <c r="T189" s="20" t="n"/>
    </row>
    <row r="190" ht="18.75" customHeight="1">
      <c r="A190" s="12" t="n"/>
      <c r="B190" s="12" t="n"/>
      <c r="C190" s="12" t="n"/>
      <c r="D190" s="12" t="n"/>
      <c r="E190" s="12" t="n"/>
      <c r="F190" s="12" t="n"/>
      <c r="G190" s="12" t="n"/>
      <c r="H190" s="14">
        <f>IFERROR(VLOOKUP($B125,$A$25:$N$54,7,FALSE),"")</f>
        <v/>
      </c>
      <c r="I190" s="15">
        <f>IF($H125="Minor",1,IF($H125="Moderate",2,IF($H125="Major",3,IF($H125="Critical",4,""))))</f>
        <v/>
      </c>
      <c r="J190" s="16" t="n"/>
      <c r="K190" s="16" t="n"/>
      <c r="L190" s="15">
        <f>IF(OR($G125="Exact TP",$G125="Equivalent TP"),1,0)</f>
        <v/>
      </c>
      <c r="M190" s="15">
        <f>IF(OR($G125="FP Extra",$G125="Harmful FP"),1,0)</f>
        <v/>
      </c>
      <c r="N190" s="15">
        <f>IF(OR($G125="FN",$G125="Partial"),1,0)</f>
        <v/>
      </c>
      <c r="O190" s="15">
        <f>IF($L125=1,$I125,0)</f>
        <v/>
      </c>
      <c r="P190" s="15">
        <f>IF($M125=1,$I125,0)</f>
        <v/>
      </c>
      <c r="Q190" s="15">
        <f>IF($N125=1,$I125,0)</f>
        <v/>
      </c>
      <c r="R190" s="20" t="n"/>
      <c r="S190" s="20" t="n"/>
      <c r="T190" s="20" t="n"/>
    </row>
    <row r="191" ht="18.75" customHeight="1">
      <c r="A191" s="12" t="n"/>
      <c r="B191" s="12" t="n"/>
      <c r="C191" s="12" t="n"/>
      <c r="D191" s="12" t="n"/>
      <c r="E191" s="12" t="n"/>
      <c r="F191" s="12" t="n"/>
      <c r="G191" s="12" t="n"/>
      <c r="H191" s="14">
        <f>IFERROR(VLOOKUP($B126,$A$25:$N$54,7,FALSE),"")</f>
        <v/>
      </c>
      <c r="I191" s="15">
        <f>IF($H126="Minor",1,IF($H126="Moderate",2,IF($H126="Major",3,IF($H126="Critical",4,""))))</f>
        <v/>
      </c>
      <c r="J191" s="16" t="n"/>
      <c r="K191" s="16" t="n"/>
      <c r="L191" s="15">
        <f>IF(OR($G126="Exact TP",$G126="Equivalent TP"),1,0)</f>
        <v/>
      </c>
      <c r="M191" s="15">
        <f>IF(OR($G126="FP Extra",$G126="Harmful FP"),1,0)</f>
        <v/>
      </c>
      <c r="N191" s="15">
        <f>IF(OR($G126="FN",$G126="Partial"),1,0)</f>
        <v/>
      </c>
      <c r="O191" s="15">
        <f>IF($L126=1,$I126,0)</f>
        <v/>
      </c>
      <c r="P191" s="15">
        <f>IF($M126=1,$I126,0)</f>
        <v/>
      </c>
      <c r="Q191" s="15">
        <f>IF($N126=1,$I126,0)</f>
        <v/>
      </c>
      <c r="R191" s="20" t="n"/>
      <c r="S191" s="20" t="n"/>
      <c r="T191" s="20" t="n"/>
    </row>
    <row r="192" ht="18.75" customHeight="1">
      <c r="A192" s="12" t="n"/>
      <c r="B192" s="12" t="n"/>
      <c r="C192" s="12" t="n"/>
      <c r="D192" s="12" t="n"/>
      <c r="E192" s="12" t="n"/>
      <c r="F192" s="12" t="n"/>
      <c r="G192" s="12" t="n"/>
      <c r="H192" s="14">
        <f>IFERROR(VLOOKUP($B127,$A$25:$N$54,7,FALSE),"")</f>
        <v/>
      </c>
      <c r="I192" s="15">
        <f>IF($H127="Minor",1,IF($H127="Moderate",2,IF($H127="Major",3,IF($H127="Critical",4,""))))</f>
        <v/>
      </c>
      <c r="J192" s="16" t="n"/>
      <c r="K192" s="16" t="n"/>
      <c r="L192" s="15">
        <f>IF(OR($G127="Exact TP",$G127="Equivalent TP"),1,0)</f>
        <v/>
      </c>
      <c r="M192" s="15">
        <f>IF(OR($G127="FP Extra",$G127="Harmful FP"),1,0)</f>
        <v/>
      </c>
      <c r="N192" s="15">
        <f>IF(OR($G127="FN",$G127="Partial"),1,0)</f>
        <v/>
      </c>
      <c r="O192" s="15">
        <f>IF($L127=1,$I127,0)</f>
        <v/>
      </c>
      <c r="P192" s="15">
        <f>IF($M127=1,$I127,0)</f>
        <v/>
      </c>
      <c r="Q192" s="15">
        <f>IF($N127=1,$I127,0)</f>
        <v/>
      </c>
      <c r="R192" s="20" t="n"/>
      <c r="S192" s="20" t="n"/>
      <c r="T192" s="20" t="n"/>
    </row>
    <row r="193" ht="18.75" customHeight="1">
      <c r="A193" s="12" t="n"/>
      <c r="B193" s="12" t="n"/>
      <c r="C193" s="12" t="n"/>
      <c r="D193" s="12" t="n"/>
      <c r="E193" s="12" t="n"/>
      <c r="F193" s="12" t="n"/>
      <c r="G193" s="12" t="n"/>
      <c r="H193" s="14">
        <f>IFERROR(VLOOKUP($B128,$A$25:$N$54,7,FALSE),"")</f>
        <v/>
      </c>
      <c r="I193" s="15">
        <f>IF($H128="Minor",1,IF($H128="Moderate",2,IF($H128="Major",3,IF($H128="Critical",4,""))))</f>
        <v/>
      </c>
      <c r="J193" s="16" t="n"/>
      <c r="K193" s="16" t="n"/>
      <c r="L193" s="15">
        <f>IF(OR($G128="Exact TP",$G128="Equivalent TP"),1,0)</f>
        <v/>
      </c>
      <c r="M193" s="15">
        <f>IF(OR($G128="FP Extra",$G128="Harmful FP"),1,0)</f>
        <v/>
      </c>
      <c r="N193" s="15">
        <f>IF(OR($G128="FN",$G128="Partial"),1,0)</f>
        <v/>
      </c>
      <c r="O193" s="15">
        <f>IF($L128=1,$I128,0)</f>
        <v/>
      </c>
      <c r="P193" s="15">
        <f>IF($M128=1,$I128,0)</f>
        <v/>
      </c>
      <c r="Q193" s="15">
        <f>IF($N128=1,$I128,0)</f>
        <v/>
      </c>
      <c r="R193" s="20" t="n"/>
      <c r="S193" s="20" t="n"/>
      <c r="T193" s="20" t="n"/>
    </row>
    <row r="194" ht="18.75" customHeight="1">
      <c r="A194" s="12" t="n"/>
      <c r="B194" s="12" t="n"/>
      <c r="C194" s="12" t="n"/>
      <c r="D194" s="12" t="n"/>
      <c r="E194" s="12" t="n"/>
      <c r="F194" s="12" t="n"/>
      <c r="G194" s="12" t="n"/>
      <c r="H194" s="14">
        <f>IFERROR(VLOOKUP($B129,$A$25:$N$54,7,FALSE),"")</f>
        <v/>
      </c>
      <c r="I194" s="15">
        <f>IF($H129="Minor",1,IF($H129="Moderate",2,IF($H129="Major",3,IF($H129="Critical",4,""))))</f>
        <v/>
      </c>
      <c r="J194" s="16" t="n"/>
      <c r="K194" s="16" t="n"/>
      <c r="L194" s="15">
        <f>IF(OR($G129="Exact TP",$G129="Equivalent TP"),1,0)</f>
        <v/>
      </c>
      <c r="M194" s="15">
        <f>IF(OR($G129="FP Extra",$G129="Harmful FP"),1,0)</f>
        <v/>
      </c>
      <c r="N194" s="15">
        <f>IF(OR($G129="FN",$G129="Partial"),1,0)</f>
        <v/>
      </c>
      <c r="O194" s="15">
        <f>IF($L129=1,$I129,0)</f>
        <v/>
      </c>
      <c r="P194" s="15">
        <f>IF($M129=1,$I129,0)</f>
        <v/>
      </c>
      <c r="Q194" s="15">
        <f>IF($N129=1,$I129,0)</f>
        <v/>
      </c>
      <c r="R194" s="20" t="n"/>
      <c r="S194" s="20" t="n"/>
      <c r="T194" s="20" t="n"/>
    </row>
    <row r="195" ht="18.75" customHeight="1">
      <c r="A195" s="12" t="n"/>
      <c r="B195" s="12" t="n"/>
      <c r="C195" s="12" t="n"/>
      <c r="D195" s="12" t="n"/>
      <c r="E195" s="12" t="n"/>
      <c r="F195" s="12" t="n"/>
      <c r="G195" s="12" t="n"/>
      <c r="H195" s="14">
        <f>IFERROR(VLOOKUP($B130,$A$25:$N$54,7,FALSE),"")</f>
        <v/>
      </c>
      <c r="I195" s="15">
        <f>IF($H130="Minor",1,IF($H130="Moderate",2,IF($H130="Major",3,IF($H130="Critical",4,""))))</f>
        <v/>
      </c>
      <c r="J195" s="16" t="n"/>
      <c r="K195" s="16" t="n"/>
      <c r="L195" s="15">
        <f>IF(OR($G130="Exact TP",$G130="Equivalent TP"),1,0)</f>
        <v/>
      </c>
      <c r="M195" s="15">
        <f>IF(OR($G130="FP Extra",$G130="Harmful FP"),1,0)</f>
        <v/>
      </c>
      <c r="N195" s="15">
        <f>IF(OR($G130="FN",$G130="Partial"),1,0)</f>
        <v/>
      </c>
      <c r="O195" s="15">
        <f>IF($L130=1,$I130,0)</f>
        <v/>
      </c>
      <c r="P195" s="15">
        <f>IF($M130=1,$I130,0)</f>
        <v/>
      </c>
      <c r="Q195" s="15">
        <f>IF($N130=1,$I130,0)</f>
        <v/>
      </c>
      <c r="R195" s="20" t="n"/>
      <c r="S195" s="20" t="n"/>
      <c r="T195" s="20" t="n"/>
    </row>
    <row r="196" ht="18.75" customHeight="1">
      <c r="A196" s="12" t="n"/>
      <c r="B196" s="12" t="n"/>
      <c r="C196" s="12" t="n"/>
      <c r="D196" s="12" t="n"/>
      <c r="E196" s="12" t="n"/>
      <c r="F196" s="12" t="n"/>
      <c r="G196" s="12" t="n"/>
      <c r="H196" s="14">
        <f>IFERROR(VLOOKUP($B131,$A$25:$N$54,7,FALSE),"")</f>
        <v/>
      </c>
      <c r="I196" s="15">
        <f>IF($H131="Minor",1,IF($H131="Moderate",2,IF($H131="Major",3,IF($H131="Critical",4,""))))</f>
        <v/>
      </c>
      <c r="J196" s="16" t="n"/>
      <c r="K196" s="16" t="n"/>
      <c r="L196" s="15">
        <f>IF(OR($G131="Exact TP",$G131="Equivalent TP"),1,0)</f>
        <v/>
      </c>
      <c r="M196" s="15">
        <f>IF(OR($G131="FP Extra",$G131="Harmful FP"),1,0)</f>
        <v/>
      </c>
      <c r="N196" s="15">
        <f>IF(OR($G131="FN",$G131="Partial"),1,0)</f>
        <v/>
      </c>
      <c r="O196" s="15">
        <f>IF($L131=1,$I131,0)</f>
        <v/>
      </c>
      <c r="P196" s="15">
        <f>IF($M131=1,$I131,0)</f>
        <v/>
      </c>
      <c r="Q196" s="15">
        <f>IF($N131=1,$I131,0)</f>
        <v/>
      </c>
      <c r="R196" s="20" t="n"/>
      <c r="S196" s="20" t="n"/>
      <c r="T196" s="20" t="n"/>
    </row>
    <row r="197" ht="18.75" customHeight="1">
      <c r="A197" s="12" t="n"/>
      <c r="B197" s="12" t="n"/>
      <c r="C197" s="12" t="n"/>
      <c r="D197" s="12" t="n"/>
      <c r="E197" s="12" t="n"/>
      <c r="F197" s="12" t="n"/>
      <c r="G197" s="12" t="n"/>
      <c r="H197" s="14">
        <f>IFERROR(VLOOKUP($B132,$A$25:$N$54,7,FALSE),"")</f>
        <v/>
      </c>
      <c r="I197" s="15">
        <f>IF($H132="Minor",1,IF($H132="Moderate",2,IF($H132="Major",3,IF($H132="Critical",4,""))))</f>
        <v/>
      </c>
      <c r="J197" s="16" t="n"/>
      <c r="K197" s="16" t="n"/>
      <c r="L197" s="15">
        <f>IF(OR($G132="Exact TP",$G132="Equivalent TP"),1,0)</f>
        <v/>
      </c>
      <c r="M197" s="15">
        <f>IF(OR($G132="FP Extra",$G132="Harmful FP"),1,0)</f>
        <v/>
      </c>
      <c r="N197" s="15">
        <f>IF(OR($G132="FN",$G132="Partial"),1,0)</f>
        <v/>
      </c>
      <c r="O197" s="15">
        <f>IF($L132=1,$I132,0)</f>
        <v/>
      </c>
      <c r="P197" s="15">
        <f>IF($M132=1,$I132,0)</f>
        <v/>
      </c>
      <c r="Q197" s="15">
        <f>IF($N132=1,$I132,0)</f>
        <v/>
      </c>
      <c r="R197" s="20" t="n"/>
      <c r="S197" s="20" t="n"/>
      <c r="T197" s="20" t="n"/>
    </row>
    <row r="198" ht="18.75" customHeight="1">
      <c r="A198" s="12" t="n"/>
      <c r="B198" s="12" t="n"/>
      <c r="C198" s="12" t="n"/>
      <c r="D198" s="12" t="n"/>
      <c r="E198" s="12" t="n"/>
      <c r="F198" s="12" t="n"/>
      <c r="G198" s="12" t="n"/>
      <c r="H198" s="14">
        <f>IFERROR(VLOOKUP($B133,$A$25:$N$54,7,FALSE),"")</f>
        <v/>
      </c>
      <c r="I198" s="15">
        <f>IF($H133="Minor",1,IF($H133="Moderate",2,IF($H133="Major",3,IF($H133="Critical",4,""))))</f>
        <v/>
      </c>
      <c r="J198" s="16" t="n"/>
      <c r="K198" s="16" t="n"/>
      <c r="L198" s="15">
        <f>IF(OR($G133="Exact TP",$G133="Equivalent TP"),1,0)</f>
        <v/>
      </c>
      <c r="M198" s="15">
        <f>IF(OR($G133="FP Extra",$G133="Harmful FP"),1,0)</f>
        <v/>
      </c>
      <c r="N198" s="15">
        <f>IF(OR($G133="FN",$G133="Partial"),1,0)</f>
        <v/>
      </c>
      <c r="O198" s="15">
        <f>IF($L133=1,$I133,0)</f>
        <v/>
      </c>
      <c r="P198" s="15">
        <f>IF($M133=1,$I133,0)</f>
        <v/>
      </c>
      <c r="Q198" s="15">
        <f>IF($N133=1,$I133,0)</f>
        <v/>
      </c>
      <c r="R198" s="20" t="n"/>
      <c r="S198" s="20" t="n"/>
      <c r="T198" s="20" t="n"/>
    </row>
    <row r="199" ht="18.75" customHeight="1">
      <c r="A199" s="12" t="n"/>
      <c r="B199" s="12" t="n"/>
      <c r="C199" s="12" t="n"/>
      <c r="D199" s="12" t="n"/>
      <c r="E199" s="12" t="n"/>
      <c r="F199" s="12" t="n"/>
      <c r="G199" s="12" t="n"/>
      <c r="H199" s="14">
        <f>IFERROR(VLOOKUP($B134,$A$25:$N$54,7,FALSE),"")</f>
        <v/>
      </c>
      <c r="I199" s="15">
        <f>IF($H134="Minor",1,IF($H134="Moderate",2,IF($H134="Major",3,IF($H134="Critical",4,""))))</f>
        <v/>
      </c>
      <c r="J199" s="16" t="n"/>
      <c r="K199" s="16" t="n"/>
      <c r="L199" s="15">
        <f>IF(OR($G134="Exact TP",$G134="Equivalent TP"),1,0)</f>
        <v/>
      </c>
      <c r="M199" s="15">
        <f>IF(OR($G134="FP Extra",$G134="Harmful FP"),1,0)</f>
        <v/>
      </c>
      <c r="N199" s="15">
        <f>IF(OR($G134="FN",$G134="Partial"),1,0)</f>
        <v/>
      </c>
      <c r="O199" s="15">
        <f>IF($L134=1,$I134,0)</f>
        <v/>
      </c>
      <c r="P199" s="15">
        <f>IF($M134=1,$I134,0)</f>
        <v/>
      </c>
      <c r="Q199" s="15">
        <f>IF($N134=1,$I134,0)</f>
        <v/>
      </c>
      <c r="R199" s="20" t="n"/>
      <c r="S199" s="20" t="n"/>
      <c r="T199" s="20" t="n"/>
    </row>
    <row r="200" ht="18.75" customHeight="1">
      <c r="A200" s="12" t="n"/>
      <c r="B200" s="12" t="n"/>
      <c r="C200" s="12" t="n"/>
      <c r="D200" s="12" t="n"/>
      <c r="E200" s="12" t="n"/>
      <c r="F200" s="12" t="n"/>
      <c r="G200" s="12" t="n"/>
      <c r="H200" s="14">
        <f>IFERROR(VLOOKUP($B135,$A$25:$N$54,7,FALSE),"")</f>
        <v/>
      </c>
      <c r="I200" s="15">
        <f>IF($H135="Minor",1,IF($H135="Moderate",2,IF($H135="Major",3,IF($H135="Critical",4,""))))</f>
        <v/>
      </c>
      <c r="J200" s="16" t="n"/>
      <c r="K200" s="16" t="n"/>
      <c r="L200" s="15">
        <f>IF(OR($G135="Exact TP",$G135="Equivalent TP"),1,0)</f>
        <v/>
      </c>
      <c r="M200" s="15">
        <f>IF(OR($G135="FP Extra",$G135="Harmful FP"),1,0)</f>
        <v/>
      </c>
      <c r="N200" s="15">
        <f>IF(OR($G135="FN",$G135="Partial"),1,0)</f>
        <v/>
      </c>
      <c r="O200" s="15">
        <f>IF($L135=1,$I135,0)</f>
        <v/>
      </c>
      <c r="P200" s="15">
        <f>IF($M135=1,$I135,0)</f>
        <v/>
      </c>
      <c r="Q200" s="15">
        <f>IF($N135=1,$I135,0)</f>
        <v/>
      </c>
      <c r="R200" s="20" t="n"/>
      <c r="S200" s="20" t="n"/>
      <c r="T200" s="20" t="n"/>
    </row>
    <row r="201" ht="18.75" customHeight="1">
      <c r="A201" s="12" t="n"/>
      <c r="B201" s="12" t="n"/>
      <c r="C201" s="12" t="n"/>
      <c r="D201" s="12" t="n"/>
      <c r="E201" s="12" t="n"/>
      <c r="F201" s="12" t="n"/>
      <c r="G201" s="12" t="n"/>
      <c r="H201" s="14">
        <f>IFERROR(VLOOKUP($B136,$A$25:$N$54,7,FALSE),"")</f>
        <v/>
      </c>
      <c r="I201" s="15">
        <f>IF($H136="Minor",1,IF($H136="Moderate",2,IF($H136="Major",3,IF($H136="Critical",4,""))))</f>
        <v/>
      </c>
      <c r="J201" s="16" t="n"/>
      <c r="K201" s="16" t="n"/>
      <c r="L201" s="15">
        <f>IF(OR($G136="Exact TP",$G136="Equivalent TP"),1,0)</f>
        <v/>
      </c>
      <c r="M201" s="15">
        <f>IF(OR($G136="FP Extra",$G136="Harmful FP"),1,0)</f>
        <v/>
      </c>
      <c r="N201" s="15">
        <f>IF(OR($G136="FN",$G136="Partial"),1,0)</f>
        <v/>
      </c>
      <c r="O201" s="15">
        <f>IF($L136=1,$I136,0)</f>
        <v/>
      </c>
      <c r="P201" s="15">
        <f>IF($M136=1,$I136,0)</f>
        <v/>
      </c>
      <c r="Q201" s="15">
        <f>IF($N136=1,$I136,0)</f>
        <v/>
      </c>
      <c r="R201" s="20" t="n"/>
      <c r="S201" s="20" t="n"/>
      <c r="T201" s="20" t="n"/>
    </row>
    <row r="202" ht="18.75" customHeight="1">
      <c r="A202" s="12" t="n"/>
      <c r="B202" s="12" t="n"/>
      <c r="C202" s="12" t="n"/>
      <c r="D202" s="12" t="n"/>
      <c r="E202" s="12" t="n"/>
      <c r="F202" s="12" t="n"/>
      <c r="G202" s="12" t="n"/>
      <c r="H202" s="14">
        <f>IFERROR(VLOOKUP($B137,$A$25:$N$54,7,FALSE),"")</f>
        <v/>
      </c>
      <c r="I202" s="15">
        <f>IF($H137="Minor",1,IF($H137="Moderate",2,IF($H137="Major",3,IF($H137="Critical",4,""))))</f>
        <v/>
      </c>
      <c r="J202" s="16" t="n"/>
      <c r="K202" s="16" t="n"/>
      <c r="L202" s="15">
        <f>IF(OR($G137="Exact TP",$G137="Equivalent TP"),1,0)</f>
        <v/>
      </c>
      <c r="M202" s="15">
        <f>IF(OR($G137="FP Extra",$G137="Harmful FP"),1,0)</f>
        <v/>
      </c>
      <c r="N202" s="15">
        <f>IF(OR($G137="FN",$G137="Partial"),1,0)</f>
        <v/>
      </c>
      <c r="O202" s="15">
        <f>IF($L137=1,$I137,0)</f>
        <v/>
      </c>
      <c r="P202" s="15">
        <f>IF($M137=1,$I137,0)</f>
        <v/>
      </c>
      <c r="Q202" s="15">
        <f>IF($N137=1,$I137,0)</f>
        <v/>
      </c>
      <c r="R202" s="20" t="n"/>
      <c r="S202" s="20" t="n"/>
      <c r="T202" s="20" t="n"/>
    </row>
    <row r="203" ht="18.75" customHeight="1">
      <c r="A203" s="12" t="n"/>
      <c r="B203" s="12" t="n"/>
      <c r="C203" s="12" t="n"/>
      <c r="D203" s="12" t="n"/>
      <c r="E203" s="12" t="n"/>
      <c r="F203" s="12" t="n"/>
      <c r="G203" s="12" t="n"/>
      <c r="H203" s="14">
        <f>IFERROR(VLOOKUP($B138,$A$25:$N$54,7,FALSE),"")</f>
        <v/>
      </c>
      <c r="I203" s="15">
        <f>IF($H138="Minor",1,IF($H138="Moderate",2,IF($H138="Major",3,IF($H138="Critical",4,""))))</f>
        <v/>
      </c>
      <c r="J203" s="16" t="n"/>
      <c r="K203" s="16" t="n"/>
      <c r="L203" s="15">
        <f>IF(OR($G138="Exact TP",$G138="Equivalent TP"),1,0)</f>
        <v/>
      </c>
      <c r="M203" s="15">
        <f>IF(OR($G138="FP Extra",$G138="Harmful FP"),1,0)</f>
        <v/>
      </c>
      <c r="N203" s="15">
        <f>IF(OR($G138="FN",$G138="Partial"),1,0)</f>
        <v/>
      </c>
      <c r="O203" s="15">
        <f>IF($L138=1,$I138,0)</f>
        <v/>
      </c>
      <c r="P203" s="15">
        <f>IF($M138=1,$I138,0)</f>
        <v/>
      </c>
      <c r="Q203" s="15">
        <f>IF($N138=1,$I138,0)</f>
        <v/>
      </c>
      <c r="R203" s="20" t="n"/>
      <c r="S203" s="20" t="n"/>
      <c r="T203" s="20" t="n"/>
    </row>
    <row r="204" ht="18.75" customHeight="1">
      <c r="A204" s="12" t="n"/>
      <c r="B204" s="12" t="n"/>
      <c r="C204" s="12" t="n"/>
      <c r="D204" s="12" t="n"/>
      <c r="E204" s="12" t="n"/>
      <c r="F204" s="12" t="n"/>
      <c r="G204" s="12" t="n"/>
      <c r="H204" s="14">
        <f>IFERROR(VLOOKUP($B139,$A$25:$N$54,7,FALSE),"")</f>
        <v/>
      </c>
      <c r="I204" s="15">
        <f>IF($H139="Minor",1,IF($H139="Moderate",2,IF($H139="Major",3,IF($H139="Critical",4,""))))</f>
        <v/>
      </c>
      <c r="J204" s="16" t="n"/>
      <c r="K204" s="16" t="n"/>
      <c r="L204" s="15">
        <f>IF(OR($G139="Exact TP",$G139="Equivalent TP"),1,0)</f>
        <v/>
      </c>
      <c r="M204" s="15">
        <f>IF(OR($G139="FP Extra",$G139="Harmful FP"),1,0)</f>
        <v/>
      </c>
      <c r="N204" s="15">
        <f>IF(OR($G139="FN",$G139="Partial"),1,0)</f>
        <v/>
      </c>
      <c r="O204" s="15">
        <f>IF($L139=1,$I139,0)</f>
        <v/>
      </c>
      <c r="P204" s="15">
        <f>IF($M139=1,$I139,0)</f>
        <v/>
      </c>
      <c r="Q204" s="15">
        <f>IF($N139=1,$I139,0)</f>
        <v/>
      </c>
      <c r="R204" s="20" t="n"/>
      <c r="S204" s="20" t="n"/>
      <c r="T204" s="20" t="n"/>
    </row>
    <row r="205" ht="18.75" customHeight="1">
      <c r="A205" s="12" t="n"/>
      <c r="B205" s="12" t="n"/>
      <c r="C205" s="12" t="n"/>
      <c r="D205" s="12" t="n"/>
      <c r="E205" s="12" t="n"/>
      <c r="F205" s="12" t="n"/>
      <c r="G205" s="12" t="n"/>
      <c r="H205" s="14">
        <f>IFERROR(VLOOKUP($B140,$A$25:$N$54,7,FALSE),"")</f>
        <v/>
      </c>
      <c r="I205" s="15">
        <f>IF($H140="Minor",1,IF($H140="Moderate",2,IF($H140="Major",3,IF($H140="Critical",4,""))))</f>
        <v/>
      </c>
      <c r="J205" s="16" t="n"/>
      <c r="K205" s="16" t="n"/>
      <c r="L205" s="15">
        <f>IF(OR($G140="Exact TP",$G140="Equivalent TP"),1,0)</f>
        <v/>
      </c>
      <c r="M205" s="15">
        <f>IF(OR($G140="FP Extra",$G140="Harmful FP"),1,0)</f>
        <v/>
      </c>
      <c r="N205" s="15">
        <f>IF(OR($G140="FN",$G140="Partial"),1,0)</f>
        <v/>
      </c>
      <c r="O205" s="15">
        <f>IF($L140=1,$I140,0)</f>
        <v/>
      </c>
      <c r="P205" s="15">
        <f>IF($M140=1,$I140,0)</f>
        <v/>
      </c>
      <c r="Q205" s="15">
        <f>IF($N140=1,$I140,0)</f>
        <v/>
      </c>
      <c r="R205" s="20" t="n"/>
      <c r="S205" s="20" t="n"/>
      <c r="T205" s="20" t="n"/>
    </row>
    <row r="206" ht="18.75" customHeight="1">
      <c r="A206" s="12" t="n"/>
      <c r="B206" s="12" t="n"/>
      <c r="C206" s="12" t="n"/>
      <c r="D206" s="12" t="n"/>
      <c r="E206" s="12" t="n"/>
      <c r="F206" s="12" t="n"/>
      <c r="G206" s="12" t="n"/>
      <c r="H206" s="14">
        <f>IFERROR(VLOOKUP($B141,$A$25:$N$54,7,FALSE),"")</f>
        <v/>
      </c>
      <c r="I206" s="15">
        <f>IF($H141="Minor",1,IF($H141="Moderate",2,IF($H141="Major",3,IF($H141="Critical",4,""))))</f>
        <v/>
      </c>
      <c r="J206" s="16" t="n"/>
      <c r="K206" s="16" t="n"/>
      <c r="L206" s="15">
        <f>IF(OR($G141="Exact TP",$G141="Equivalent TP"),1,0)</f>
        <v/>
      </c>
      <c r="M206" s="15">
        <f>IF(OR($G141="FP Extra",$G141="Harmful FP"),1,0)</f>
        <v/>
      </c>
      <c r="N206" s="15">
        <f>IF(OR($G141="FN",$G141="Partial"),1,0)</f>
        <v/>
      </c>
      <c r="O206" s="15">
        <f>IF($L141=1,$I141,0)</f>
        <v/>
      </c>
      <c r="P206" s="15">
        <f>IF($M141=1,$I141,0)</f>
        <v/>
      </c>
      <c r="Q206" s="15">
        <f>IF($N141=1,$I141,0)</f>
        <v/>
      </c>
      <c r="R206" s="20" t="n"/>
      <c r="S206" s="20" t="n"/>
      <c r="T206" s="20" t="n"/>
    </row>
    <row r="207" ht="18.75" customHeight="1">
      <c r="A207" s="12" t="n"/>
      <c r="B207" s="12" t="n"/>
      <c r="C207" s="12" t="n"/>
      <c r="D207" s="12" t="n"/>
      <c r="E207" s="12" t="n"/>
      <c r="F207" s="12" t="n"/>
      <c r="G207" s="12" t="n"/>
      <c r="H207" s="14">
        <f>IFERROR(VLOOKUP($B142,$A$25:$N$54,7,FALSE),"")</f>
        <v/>
      </c>
      <c r="I207" s="15">
        <f>IF($H142="Minor",1,IF($H142="Moderate",2,IF($H142="Major",3,IF($H142="Critical",4,""))))</f>
        <v/>
      </c>
      <c r="J207" s="16" t="n"/>
      <c r="K207" s="16" t="n"/>
      <c r="L207" s="15">
        <f>IF(OR($G142="Exact TP",$G142="Equivalent TP"),1,0)</f>
        <v/>
      </c>
      <c r="M207" s="15">
        <f>IF(OR($G142="FP Extra",$G142="Harmful FP"),1,0)</f>
        <v/>
      </c>
      <c r="N207" s="15">
        <f>IF(OR($G142="FN",$G142="Partial"),1,0)</f>
        <v/>
      </c>
      <c r="O207" s="15">
        <f>IF($L142=1,$I142,0)</f>
        <v/>
      </c>
      <c r="P207" s="15">
        <f>IF($M142=1,$I142,0)</f>
        <v/>
      </c>
      <c r="Q207" s="15">
        <f>IF($N142=1,$I142,0)</f>
        <v/>
      </c>
      <c r="R207" s="20" t="n"/>
      <c r="S207" s="20" t="n"/>
      <c r="T207" s="20" t="n"/>
    </row>
    <row r="208" ht="18.75" customHeight="1">
      <c r="A208" s="12" t="n"/>
      <c r="B208" s="12" t="n"/>
      <c r="C208" s="12" t="n"/>
      <c r="D208" s="12" t="n"/>
      <c r="E208" s="12" t="n"/>
      <c r="F208" s="12" t="n"/>
      <c r="G208" s="12" t="n"/>
      <c r="H208" s="14">
        <f>IFERROR(VLOOKUP($B143,$A$25:$N$54,7,FALSE),"")</f>
        <v/>
      </c>
      <c r="I208" s="15">
        <f>IF($H143="Minor",1,IF($H143="Moderate",2,IF($H143="Major",3,IF($H143="Critical",4,""))))</f>
        <v/>
      </c>
      <c r="J208" s="16" t="n"/>
      <c r="K208" s="16" t="n"/>
      <c r="L208" s="15">
        <f>IF(OR($G143="Exact TP",$G143="Equivalent TP"),1,0)</f>
        <v/>
      </c>
      <c r="M208" s="15">
        <f>IF(OR($G143="FP Extra",$G143="Harmful FP"),1,0)</f>
        <v/>
      </c>
      <c r="N208" s="15">
        <f>IF(OR($G143="FN",$G143="Partial"),1,0)</f>
        <v/>
      </c>
      <c r="O208" s="15">
        <f>IF($L143=1,$I143,0)</f>
        <v/>
      </c>
      <c r="P208" s="15">
        <f>IF($M143=1,$I143,0)</f>
        <v/>
      </c>
      <c r="Q208" s="15">
        <f>IF($N143=1,$I143,0)</f>
        <v/>
      </c>
      <c r="R208" s="20" t="n"/>
      <c r="S208" s="20" t="n"/>
      <c r="T208" s="20" t="n"/>
    </row>
    <row r="209" ht="18.75" customHeight="1">
      <c r="A209" s="12" t="n"/>
      <c r="B209" s="12" t="n"/>
      <c r="C209" s="12" t="n"/>
      <c r="D209" s="12" t="n"/>
      <c r="E209" s="12" t="n"/>
      <c r="F209" s="12" t="n"/>
      <c r="G209" s="12" t="n"/>
      <c r="H209" s="14">
        <f>IFERROR(VLOOKUP($B144,$A$25:$N$54,7,FALSE),"")</f>
        <v/>
      </c>
      <c r="I209" s="15">
        <f>IF($H144="Minor",1,IF($H144="Moderate",2,IF($H144="Major",3,IF($H144="Critical",4,""))))</f>
        <v/>
      </c>
      <c r="J209" s="16" t="n"/>
      <c r="K209" s="16" t="n"/>
      <c r="L209" s="15">
        <f>IF(OR($G144="Exact TP",$G144="Equivalent TP"),1,0)</f>
        <v/>
      </c>
      <c r="M209" s="15">
        <f>IF(OR($G144="FP Extra",$G144="Harmful FP"),1,0)</f>
        <v/>
      </c>
      <c r="N209" s="15">
        <f>IF(OR($G144="FN",$G144="Partial"),1,0)</f>
        <v/>
      </c>
      <c r="O209" s="15">
        <f>IF($L144=1,$I144,0)</f>
        <v/>
      </c>
      <c r="P209" s="15">
        <f>IF($M144=1,$I144,0)</f>
        <v/>
      </c>
      <c r="Q209" s="15">
        <f>IF($N144=1,$I144,0)</f>
        <v/>
      </c>
      <c r="R209" s="20" t="n"/>
      <c r="S209" s="20" t="n"/>
      <c r="T209" s="20" t="n"/>
    </row>
    <row r="210" ht="18.75" customHeight="1">
      <c r="A210" s="12" t="n"/>
      <c r="B210" s="12" t="n"/>
      <c r="C210" s="12" t="n"/>
      <c r="D210" s="12" t="n"/>
      <c r="E210" s="12" t="n"/>
      <c r="F210" s="12" t="n"/>
      <c r="G210" s="12" t="n"/>
      <c r="H210" s="14">
        <f>IFERROR(VLOOKUP($B145,$A$25:$N$54,7,FALSE),"")</f>
        <v/>
      </c>
      <c r="I210" s="15">
        <f>IF($H145="Minor",1,IF($H145="Moderate",2,IF($H145="Major",3,IF($H145="Critical",4,""))))</f>
        <v/>
      </c>
      <c r="J210" s="16" t="n"/>
      <c r="K210" s="16" t="n"/>
      <c r="L210" s="15">
        <f>IF(OR($G145="Exact TP",$G145="Equivalent TP"),1,0)</f>
        <v/>
      </c>
      <c r="M210" s="15">
        <f>IF(OR($G145="FP Extra",$G145="Harmful FP"),1,0)</f>
        <v/>
      </c>
      <c r="N210" s="15">
        <f>IF(OR($G145="FN",$G145="Partial"),1,0)</f>
        <v/>
      </c>
      <c r="O210" s="15">
        <f>IF($L145=1,$I145,0)</f>
        <v/>
      </c>
      <c r="P210" s="15">
        <f>IF($M145=1,$I145,0)</f>
        <v/>
      </c>
      <c r="Q210" s="15">
        <f>IF($N145=1,$I145,0)</f>
        <v/>
      </c>
      <c r="R210" s="20" t="n"/>
      <c r="S210" s="20" t="n"/>
      <c r="T210" s="20" t="n"/>
    </row>
    <row r="211" ht="18.75" customHeight="1">
      <c r="A211" s="12" t="n"/>
      <c r="B211" s="12" t="n"/>
      <c r="C211" s="12" t="n"/>
      <c r="D211" s="12" t="n"/>
      <c r="E211" s="12" t="n"/>
      <c r="F211" s="12" t="n"/>
      <c r="G211" s="12" t="n"/>
      <c r="H211" s="14">
        <f>IFERROR(VLOOKUP($B146,$A$25:$N$54,7,FALSE),"")</f>
        <v/>
      </c>
      <c r="I211" s="15">
        <f>IF($H146="Minor",1,IF($H146="Moderate",2,IF($H146="Major",3,IF($H146="Critical",4,""))))</f>
        <v/>
      </c>
      <c r="J211" s="16" t="n"/>
      <c r="K211" s="16" t="n"/>
      <c r="L211" s="15">
        <f>IF(OR($G146="Exact TP",$G146="Equivalent TP"),1,0)</f>
        <v/>
      </c>
      <c r="M211" s="15">
        <f>IF(OR($G146="FP Extra",$G146="Harmful FP"),1,0)</f>
        <v/>
      </c>
      <c r="N211" s="15">
        <f>IF(OR($G146="FN",$G146="Partial"),1,0)</f>
        <v/>
      </c>
      <c r="O211" s="15">
        <f>IF($L146=1,$I146,0)</f>
        <v/>
      </c>
      <c r="P211" s="15">
        <f>IF($M146=1,$I146,0)</f>
        <v/>
      </c>
      <c r="Q211" s="15">
        <f>IF($N146=1,$I146,0)</f>
        <v/>
      </c>
      <c r="R211" s="20" t="n"/>
      <c r="S211" s="20" t="n"/>
      <c r="T211" s="20" t="n"/>
    </row>
    <row r="212" ht="18.75" customHeight="1">
      <c r="A212" s="12" t="n"/>
      <c r="B212" s="12" t="n"/>
      <c r="C212" s="12" t="n"/>
      <c r="D212" s="12" t="n"/>
      <c r="E212" s="12" t="n"/>
      <c r="F212" s="12" t="n"/>
      <c r="G212" s="12" t="n"/>
      <c r="H212" s="14">
        <f>IFERROR(VLOOKUP($B147,$A$25:$N$54,7,FALSE),"")</f>
        <v/>
      </c>
      <c r="I212" s="15">
        <f>IF($H147="Minor",1,IF($H147="Moderate",2,IF($H147="Major",3,IF($H147="Critical",4,""))))</f>
        <v/>
      </c>
      <c r="J212" s="16" t="n"/>
      <c r="K212" s="16" t="n"/>
      <c r="L212" s="15">
        <f>IF(OR($G147="Exact TP",$G147="Equivalent TP"),1,0)</f>
        <v/>
      </c>
      <c r="M212" s="15">
        <f>IF(OR($G147="FP Extra",$G147="Harmful FP"),1,0)</f>
        <v/>
      </c>
      <c r="N212" s="15">
        <f>IF(OR($G147="FN",$G147="Partial"),1,0)</f>
        <v/>
      </c>
      <c r="O212" s="15">
        <f>IF($L147=1,$I147,0)</f>
        <v/>
      </c>
      <c r="P212" s="15">
        <f>IF($M147=1,$I147,0)</f>
        <v/>
      </c>
      <c r="Q212" s="15">
        <f>IF($N147=1,$I147,0)</f>
        <v/>
      </c>
      <c r="R212" s="20" t="n"/>
      <c r="S212" s="20" t="n"/>
      <c r="T212" s="20" t="n"/>
    </row>
    <row r="213" ht="18.75" customHeight="1">
      <c r="A213" s="12" t="n"/>
      <c r="B213" s="12" t="n"/>
      <c r="C213" s="12" t="n"/>
      <c r="D213" s="12" t="n"/>
      <c r="E213" s="12" t="n"/>
      <c r="F213" s="12" t="n"/>
      <c r="G213" s="12" t="n"/>
      <c r="H213" s="14">
        <f>IFERROR(VLOOKUP($B148,$A$25:$N$54,7,FALSE),"")</f>
        <v/>
      </c>
      <c r="I213" s="15">
        <f>IF($H148="Minor",1,IF($H148="Moderate",2,IF($H148="Major",3,IF($H148="Critical",4,""))))</f>
        <v/>
      </c>
      <c r="J213" s="16" t="n"/>
      <c r="K213" s="16" t="n"/>
      <c r="L213" s="15">
        <f>IF(OR($G148="Exact TP",$G148="Equivalent TP"),1,0)</f>
        <v/>
      </c>
      <c r="M213" s="15">
        <f>IF(OR($G148="FP Extra",$G148="Harmful FP"),1,0)</f>
        <v/>
      </c>
      <c r="N213" s="15">
        <f>IF(OR($G148="FN",$G148="Partial"),1,0)</f>
        <v/>
      </c>
      <c r="O213" s="15">
        <f>IF($L148=1,$I148,0)</f>
        <v/>
      </c>
      <c r="P213" s="15">
        <f>IF($M148=1,$I148,0)</f>
        <v/>
      </c>
      <c r="Q213" s="15">
        <f>IF($N148=1,$I148,0)</f>
        <v/>
      </c>
      <c r="R213" s="20" t="n"/>
      <c r="S213" s="20" t="n"/>
      <c r="T213" s="20" t="n"/>
    </row>
    <row r="214" ht="18.75" customFormat="1" customHeight="1" s="4">
      <c r="A214" s="12" t="n"/>
      <c r="B214" s="12" t="n"/>
      <c r="C214" s="12" t="n"/>
      <c r="D214" s="12" t="n"/>
      <c r="E214" s="12" t="n"/>
      <c r="F214" s="12" t="n"/>
      <c r="G214" s="12" t="n"/>
      <c r="H214" s="14">
        <f>IFERROR(VLOOKUP($B149,$A$25:$N$54,7,FALSE),"")</f>
        <v/>
      </c>
      <c r="I214" s="15">
        <f>IF($H149="Minor",1,IF($H149="Moderate",2,IF($H149="Major",3,IF($H149="Critical",4,""))))</f>
        <v/>
      </c>
      <c r="J214" s="16" t="n"/>
      <c r="K214" s="16" t="n"/>
      <c r="L214" s="15">
        <f>IF(OR($G149="Exact TP",$G149="Equivalent TP"),1,0)</f>
        <v/>
      </c>
      <c r="M214" s="15">
        <f>IF(OR($G149="FP Extra",$G149="Harmful FP"),1,0)</f>
        <v/>
      </c>
      <c r="N214" s="15">
        <f>IF(OR($G149="FN",$G149="Partial"),1,0)</f>
        <v/>
      </c>
      <c r="O214" s="15">
        <f>IF($L149=1,$I149,0)</f>
        <v/>
      </c>
      <c r="P214" s="15">
        <f>IF($M149=1,$I149,0)</f>
        <v/>
      </c>
      <c r="Q214" s="15">
        <f>IF($N149=1,$I149,0)</f>
        <v/>
      </c>
      <c r="R214" s="20" t="n"/>
      <c r="S214" s="20" t="n"/>
      <c r="T214" s="20" t="n"/>
    </row>
    <row r="215" ht="18.75" customHeight="1">
      <c r="A215" s="12" t="n"/>
      <c r="B215" s="12" t="n"/>
      <c r="C215" s="12" t="n"/>
      <c r="D215" s="12" t="n"/>
      <c r="E215" s="12" t="n"/>
      <c r="F215" s="12" t="n"/>
      <c r="G215" s="12" t="n"/>
      <c r="H215" s="14">
        <f>IFERROR(VLOOKUP($B150,$A$25:$N$54,7,FALSE),"")</f>
        <v/>
      </c>
      <c r="I215" s="15">
        <f>IF($H150="Minor",1,IF($H150="Moderate",2,IF($H150="Major",3,IF($H150="Critical",4,""))))</f>
        <v/>
      </c>
      <c r="J215" s="16" t="n"/>
      <c r="K215" s="16" t="n"/>
      <c r="L215" s="15">
        <f>IF(OR($G150="Exact TP",$G150="Equivalent TP"),1,0)</f>
        <v/>
      </c>
      <c r="M215" s="15">
        <f>IF(OR($G150="FP Extra",$G150="Harmful FP"),1,0)</f>
        <v/>
      </c>
      <c r="N215" s="15">
        <f>IF(OR($G150="FN",$G150="Partial"),1,0)</f>
        <v/>
      </c>
      <c r="O215" s="15">
        <f>IF($L150=1,$I150,0)</f>
        <v/>
      </c>
      <c r="P215" s="15">
        <f>IF($M150=1,$I150,0)</f>
        <v/>
      </c>
      <c r="Q215" s="15">
        <f>IF($N150=1,$I150,0)</f>
        <v/>
      </c>
      <c r="R215" s="20" t="n"/>
      <c r="S215" s="20" t="n"/>
      <c r="T215" s="20" t="n"/>
    </row>
    <row r="216" ht="18.75" customHeight="1">
      <c r="A216" s="12" t="n"/>
      <c r="B216" s="12" t="n"/>
      <c r="C216" s="12" t="n"/>
      <c r="D216" s="12" t="n"/>
      <c r="E216" s="12" t="n"/>
      <c r="F216" s="12" t="n"/>
      <c r="G216" s="12" t="n"/>
      <c r="H216" s="14">
        <f>IFERROR(VLOOKUP($B151,$A$25:$N$54,7,FALSE),"")</f>
        <v/>
      </c>
      <c r="I216" s="15">
        <f>IF($H151="Minor",1,IF($H151="Moderate",2,IF($H151="Major",3,IF($H151="Critical",4,""))))</f>
        <v/>
      </c>
      <c r="J216" s="16" t="n"/>
      <c r="K216" s="16" t="n"/>
      <c r="L216" s="15">
        <f>IF(OR($G151="Exact TP",$G151="Equivalent TP"),1,0)</f>
        <v/>
      </c>
      <c r="M216" s="15">
        <f>IF(OR($G151="FP Extra",$G151="Harmful FP"),1,0)</f>
        <v/>
      </c>
      <c r="N216" s="15">
        <f>IF(OR($G151="FN",$G151="Partial"),1,0)</f>
        <v/>
      </c>
      <c r="O216" s="15">
        <f>IF($L151=1,$I151,0)</f>
        <v/>
      </c>
      <c r="P216" s="15">
        <f>IF($M151=1,$I151,0)</f>
        <v/>
      </c>
      <c r="Q216" s="15">
        <f>IF($N151=1,$I151,0)</f>
        <v/>
      </c>
      <c r="R216" s="20" t="n"/>
      <c r="S216" s="20" t="n"/>
      <c r="T216" s="20" t="n"/>
    </row>
    <row r="217" ht="18.75" customHeight="1">
      <c r="A217" s="12" t="n"/>
      <c r="B217" s="12" t="n"/>
      <c r="C217" s="12" t="n"/>
      <c r="D217" s="12" t="n"/>
      <c r="E217" s="12" t="n"/>
      <c r="F217" s="12" t="n"/>
      <c r="G217" s="12" t="n"/>
      <c r="H217" s="14">
        <f>IFERROR(VLOOKUP($B152,$A$25:$N$54,7,FALSE),"")</f>
        <v/>
      </c>
      <c r="I217" s="15">
        <f>IF($H152="Minor",1,IF($H152="Moderate",2,IF($H152="Major",3,IF($H152="Critical",4,""))))</f>
        <v/>
      </c>
      <c r="J217" s="16" t="n"/>
      <c r="K217" s="16" t="n"/>
      <c r="L217" s="15">
        <f>IF(OR($G152="Exact TP",$G152="Equivalent TP"),1,0)</f>
        <v/>
      </c>
      <c r="M217" s="15">
        <f>IF(OR($G152="FP Extra",$G152="Harmful FP"),1,0)</f>
        <v/>
      </c>
      <c r="N217" s="15">
        <f>IF(OR($G152="FN",$G152="Partial"),1,0)</f>
        <v/>
      </c>
      <c r="O217" s="15">
        <f>IF($L152=1,$I152,0)</f>
        <v/>
      </c>
      <c r="P217" s="15">
        <f>IF($M152=1,$I152,0)</f>
        <v/>
      </c>
      <c r="Q217" s="15">
        <f>IF($N152=1,$I152,0)</f>
        <v/>
      </c>
      <c r="R217" s="20" t="n"/>
      <c r="S217" s="20" t="n"/>
      <c r="T217" s="20" t="n"/>
    </row>
    <row r="218" ht="18.75" customHeight="1">
      <c r="A218" s="12" t="n"/>
      <c r="B218" s="12" t="n"/>
      <c r="C218" s="12" t="n"/>
      <c r="D218" s="12" t="n"/>
      <c r="E218" s="12" t="n"/>
      <c r="F218" s="12" t="n"/>
      <c r="G218" s="12" t="n"/>
      <c r="H218" s="14">
        <f>IFERROR(VLOOKUP($B153,$A$25:$N$54,7,FALSE),"")</f>
        <v/>
      </c>
      <c r="I218" s="15">
        <f>IF($H153="Minor",1,IF($H153="Moderate",2,IF($H153="Major",3,IF($H153="Critical",4,""))))</f>
        <v/>
      </c>
      <c r="J218" s="16" t="n"/>
      <c r="K218" s="16" t="n"/>
      <c r="L218" s="15">
        <f>IF(OR($G153="Exact TP",$G153="Equivalent TP"),1,0)</f>
        <v/>
      </c>
      <c r="M218" s="15">
        <f>IF(OR($G153="FP Extra",$G153="Harmful FP"),1,0)</f>
        <v/>
      </c>
      <c r="N218" s="15">
        <f>IF(OR($G153="FN",$G153="Partial"),1,0)</f>
        <v/>
      </c>
      <c r="O218" s="15">
        <f>IF($L153=1,$I153,0)</f>
        <v/>
      </c>
      <c r="P218" s="15">
        <f>IF($M153=1,$I153,0)</f>
        <v/>
      </c>
      <c r="Q218" s="15">
        <f>IF($N153=1,$I153,0)</f>
        <v/>
      </c>
      <c r="R218" s="20" t="n"/>
      <c r="S218" s="20" t="n"/>
      <c r="T218" s="20" t="n"/>
    </row>
    <row r="219" ht="18.75" customHeight="1">
      <c r="A219" s="12" t="n"/>
      <c r="B219" s="12" t="n"/>
      <c r="C219" s="12" t="n"/>
      <c r="D219" s="12" t="n"/>
      <c r="E219" s="12" t="n"/>
      <c r="F219" s="12" t="n"/>
      <c r="G219" s="12" t="n"/>
      <c r="H219" s="14">
        <f>IFERROR(VLOOKUP($B154,$A$25:$N$54,7,FALSE),"")</f>
        <v/>
      </c>
      <c r="I219" s="15">
        <f>IF($H154="Minor",1,IF($H154="Moderate",2,IF($H154="Major",3,IF($H154="Critical",4,""))))</f>
        <v/>
      </c>
      <c r="J219" s="16" t="n"/>
      <c r="K219" s="16" t="n"/>
      <c r="L219" s="15">
        <f>IF(OR($G154="Exact TP",$G154="Equivalent TP"),1,0)</f>
        <v/>
      </c>
      <c r="M219" s="15">
        <f>IF(OR($G154="FP Extra",$G154="Harmful FP"),1,0)</f>
        <v/>
      </c>
      <c r="N219" s="15">
        <f>IF(OR($G154="FN",$G154="Partial"),1,0)</f>
        <v/>
      </c>
      <c r="O219" s="15">
        <f>IF($L154=1,$I154,0)</f>
        <v/>
      </c>
      <c r="P219" s="15">
        <f>IF($M154=1,$I154,0)</f>
        <v/>
      </c>
      <c r="Q219" s="15">
        <f>IF($N154=1,$I154,0)</f>
        <v/>
      </c>
      <c r="R219" s="20" t="n"/>
      <c r="S219" s="20" t="n"/>
      <c r="T219" s="20" t="n"/>
    </row>
    <row r="220" ht="18.75" customHeight="1">
      <c r="A220" s="12" t="n"/>
      <c r="B220" s="12" t="n"/>
      <c r="C220" s="12" t="n"/>
      <c r="D220" s="12" t="n"/>
      <c r="E220" s="12" t="n"/>
      <c r="F220" s="12" t="n"/>
      <c r="G220" s="12" t="n"/>
      <c r="H220" s="14">
        <f>IFERROR(VLOOKUP($B155,$A$25:$N$54,7,FALSE),"")</f>
        <v/>
      </c>
      <c r="I220" s="15">
        <f>IF($H155="Minor",1,IF($H155="Moderate",2,IF($H155="Major",3,IF($H155="Critical",4,""))))</f>
        <v/>
      </c>
      <c r="J220" s="16" t="n"/>
      <c r="K220" s="16" t="n"/>
      <c r="L220" s="15">
        <f>IF(OR($G155="Exact TP",$G155="Equivalent TP"),1,0)</f>
        <v/>
      </c>
      <c r="M220" s="15">
        <f>IF(OR($G155="FP Extra",$G155="Harmful FP"),1,0)</f>
        <v/>
      </c>
      <c r="N220" s="15">
        <f>IF(OR($G155="FN",$G155="Partial"),1,0)</f>
        <v/>
      </c>
      <c r="O220" s="15">
        <f>IF($L155=1,$I155,0)</f>
        <v/>
      </c>
      <c r="P220" s="15">
        <f>IF($M155=1,$I155,0)</f>
        <v/>
      </c>
      <c r="Q220" s="15">
        <f>IF($N155=1,$I155,0)</f>
        <v/>
      </c>
      <c r="R220" s="20" t="n"/>
      <c r="S220" s="20" t="n"/>
      <c r="T220" s="20" t="n"/>
    </row>
    <row r="221" ht="18.75" customHeight="1">
      <c r="A221" s="12" t="n"/>
      <c r="B221" s="12" t="n"/>
      <c r="C221" s="12" t="n"/>
      <c r="D221" s="12" t="n"/>
      <c r="E221" s="12" t="n"/>
      <c r="F221" s="12" t="n"/>
      <c r="G221" s="12" t="n"/>
      <c r="H221" s="14">
        <f>IFERROR(VLOOKUP($B156,$A$25:$N$54,7,FALSE),"")</f>
        <v/>
      </c>
      <c r="I221" s="15">
        <f>IF($H156="Minor",1,IF($H156="Moderate",2,IF($H156="Major",3,IF($H156="Critical",4,""))))</f>
        <v/>
      </c>
      <c r="J221" s="16" t="n"/>
      <c r="K221" s="16" t="n"/>
      <c r="L221" s="15">
        <f>IF(OR($G156="Exact TP",$G156="Equivalent TP"),1,0)</f>
        <v/>
      </c>
      <c r="M221" s="15">
        <f>IF(OR($G156="FP Extra",$G156="Harmful FP"),1,0)</f>
        <v/>
      </c>
      <c r="N221" s="15">
        <f>IF(OR($G156="FN",$G156="Partial"),1,0)</f>
        <v/>
      </c>
      <c r="O221" s="15">
        <f>IF($L156=1,$I156,0)</f>
        <v/>
      </c>
      <c r="P221" s="15">
        <f>IF($M156=1,$I156,0)</f>
        <v/>
      </c>
      <c r="Q221" s="15">
        <f>IF($N156=1,$I156,0)</f>
        <v/>
      </c>
      <c r="R221" s="20" t="n"/>
      <c r="S221" s="20" t="n"/>
      <c r="T221" s="20" t="n"/>
    </row>
    <row r="222" ht="18.75" customHeight="1">
      <c r="A222" s="12" t="n"/>
      <c r="B222" s="12" t="n"/>
      <c r="C222" s="12" t="n"/>
      <c r="D222" s="12" t="n"/>
      <c r="E222" s="12" t="n"/>
      <c r="F222" s="12" t="n"/>
      <c r="G222" s="12" t="n"/>
      <c r="H222" s="14">
        <f>IFERROR(VLOOKUP($B157,$A$25:$N$54,7,FALSE),"")</f>
        <v/>
      </c>
      <c r="I222" s="15">
        <f>IF($H157="Minor",1,IF($H157="Moderate",2,IF($H157="Major",3,IF($H157="Critical",4,""))))</f>
        <v/>
      </c>
      <c r="J222" s="16" t="n"/>
      <c r="K222" s="16" t="n"/>
      <c r="L222" s="15">
        <f>IF(OR($G157="Exact TP",$G157="Equivalent TP"),1,0)</f>
        <v/>
      </c>
      <c r="M222" s="15">
        <f>IF(OR($G157="FP Extra",$G157="Harmful FP"),1,0)</f>
        <v/>
      </c>
      <c r="N222" s="15">
        <f>IF(OR($G157="FN",$G157="Partial"),1,0)</f>
        <v/>
      </c>
      <c r="O222" s="15">
        <f>IF($L157=1,$I157,0)</f>
        <v/>
      </c>
      <c r="P222" s="15">
        <f>IF($M157=1,$I157,0)</f>
        <v/>
      </c>
      <c r="Q222" s="15">
        <f>IF($N157=1,$I157,0)</f>
        <v/>
      </c>
      <c r="R222" s="20" t="n"/>
      <c r="S222" s="20" t="n"/>
      <c r="T222" s="20" t="n"/>
    </row>
    <row r="223" ht="18.75" customFormat="1" customHeight="1" s="4">
      <c r="A223" s="12" t="n"/>
      <c r="B223" s="12" t="n"/>
      <c r="C223" s="12" t="n"/>
      <c r="D223" s="12" t="n"/>
      <c r="E223" s="12" t="n"/>
      <c r="F223" s="12" t="n"/>
      <c r="G223" s="12" t="n"/>
      <c r="H223" s="14">
        <f>IFERROR(VLOOKUP($B158,$A$25:$N$54,7,FALSE),"")</f>
        <v/>
      </c>
      <c r="I223" s="15">
        <f>IF($H158="Minor",1,IF($H158="Moderate",2,IF($H158="Major",3,IF($H158="Critical",4,""))))</f>
        <v/>
      </c>
      <c r="J223" s="16" t="n"/>
      <c r="K223" s="16" t="n"/>
      <c r="L223" s="15">
        <f>IF(OR($G158="Exact TP",$G158="Equivalent TP"),1,0)</f>
        <v/>
      </c>
      <c r="M223" s="15">
        <f>IF(OR($G158="FP Extra",$G158="Harmful FP"),1,0)</f>
        <v/>
      </c>
      <c r="N223" s="15">
        <f>IF(OR($G158="FN",$G158="Partial"),1,0)</f>
        <v/>
      </c>
      <c r="O223" s="15">
        <f>IF($L158=1,$I158,0)</f>
        <v/>
      </c>
      <c r="P223" s="15">
        <f>IF($M158=1,$I158,0)</f>
        <v/>
      </c>
      <c r="Q223" s="15">
        <f>IF($N158=1,$I158,0)</f>
        <v/>
      </c>
      <c r="R223" s="20" t="n"/>
      <c r="S223" s="20" t="n"/>
      <c r="T223" s="20" t="n"/>
    </row>
    <row r="224" ht="18.75" customFormat="1" customHeight="1" s="4">
      <c r="A224" s="12" t="n"/>
      <c r="B224" s="12" t="n"/>
      <c r="C224" s="12" t="n"/>
      <c r="D224" s="12" t="n"/>
      <c r="E224" s="12" t="n"/>
      <c r="F224" s="12" t="n"/>
      <c r="G224" s="12" t="n"/>
      <c r="H224" s="14">
        <f>IFERROR(VLOOKUP($B159,$A$25:$N$54,7,FALSE),"")</f>
        <v/>
      </c>
      <c r="I224" s="15">
        <f>IF($H159="Minor",1,IF($H159="Moderate",2,IF($H159="Major",3,IF($H159="Critical",4,""))))</f>
        <v/>
      </c>
      <c r="J224" s="16" t="n"/>
      <c r="K224" s="16" t="n"/>
      <c r="L224" s="15">
        <f>IF(OR($G159="Exact TP",$G159="Equivalent TP"),1,0)</f>
        <v/>
      </c>
      <c r="M224" s="15">
        <f>IF(OR($G159="FP Extra",$G159="Harmful FP"),1,0)</f>
        <v/>
      </c>
      <c r="N224" s="15">
        <f>IF(OR($G159="FN",$G159="Partial"),1,0)</f>
        <v/>
      </c>
      <c r="O224" s="15">
        <f>IF($L159=1,$I159,0)</f>
        <v/>
      </c>
      <c r="P224" s="15">
        <f>IF($M159=1,$I159,0)</f>
        <v/>
      </c>
      <c r="Q224" s="15">
        <f>IF($N159=1,$I159,0)</f>
        <v/>
      </c>
      <c r="R224" s="20" t="n"/>
      <c r="S224" s="20" t="n"/>
      <c r="T224" s="20" t="n"/>
    </row>
    <row r="225" ht="18.75" customFormat="1" customHeight="1" s="4">
      <c r="A225" s="12" t="n"/>
      <c r="B225" s="12" t="n"/>
      <c r="C225" s="12" t="n"/>
      <c r="D225" s="12" t="n"/>
      <c r="E225" s="12" t="n"/>
      <c r="F225" s="12" t="n"/>
      <c r="G225" s="12" t="n"/>
      <c r="H225" s="14">
        <f>IFERROR(VLOOKUP($B160,$A$25:$N$54,7,FALSE),"")</f>
        <v/>
      </c>
      <c r="I225" s="15">
        <f>IF($H160="Minor",1,IF($H160="Moderate",2,IF($H160="Major",3,IF($H160="Critical",4,""))))</f>
        <v/>
      </c>
      <c r="J225" s="16" t="n"/>
      <c r="K225" s="16" t="n"/>
      <c r="L225" s="15">
        <f>IF(OR($G160="Exact TP",$G160="Equivalent TP"),1,0)</f>
        <v/>
      </c>
      <c r="M225" s="15">
        <f>IF(OR($G160="FP Extra",$G160="Harmful FP"),1,0)</f>
        <v/>
      </c>
      <c r="N225" s="15">
        <f>IF(OR($G160="FN",$G160="Partial"),1,0)</f>
        <v/>
      </c>
      <c r="O225" s="15">
        <f>IF($L160=1,$I160,0)</f>
        <v/>
      </c>
      <c r="P225" s="15">
        <f>IF($M160=1,$I160,0)</f>
        <v/>
      </c>
      <c r="Q225" s="15">
        <f>IF($N160=1,$I160,0)</f>
        <v/>
      </c>
      <c r="R225" s="20" t="n"/>
      <c r="S225" s="20" t="n"/>
      <c r="T225" s="20" t="n"/>
    </row>
    <row r="226" ht="18.75" customFormat="1" customHeight="1" s="4">
      <c r="A226" s="12" t="n"/>
      <c r="B226" s="12" t="n"/>
      <c r="C226" s="12" t="n"/>
      <c r="D226" s="12" t="n"/>
      <c r="E226" s="12" t="n"/>
      <c r="F226" s="12" t="n"/>
      <c r="G226" s="12" t="n"/>
      <c r="H226" s="14">
        <f>IFERROR(VLOOKUP($B161,$A$25:$N$54,7,FALSE),"")</f>
        <v/>
      </c>
      <c r="I226" s="15">
        <f>IF($H161="Minor",1,IF($H161="Moderate",2,IF($H161="Major",3,IF($H161="Critical",4,""))))</f>
        <v/>
      </c>
      <c r="J226" s="16" t="n"/>
      <c r="K226" s="16" t="n"/>
      <c r="L226" s="15">
        <f>IF(OR($G161="Exact TP",$G161="Equivalent TP"),1,0)</f>
        <v/>
      </c>
      <c r="M226" s="15">
        <f>IF(OR($G161="FP Extra",$G161="Harmful FP"),1,0)</f>
        <v/>
      </c>
      <c r="N226" s="15">
        <f>IF(OR($G161="FN",$G161="Partial"),1,0)</f>
        <v/>
      </c>
      <c r="O226" s="15">
        <f>IF($L161=1,$I161,0)</f>
        <v/>
      </c>
      <c r="P226" s="15">
        <f>IF($M161=1,$I161,0)</f>
        <v/>
      </c>
      <c r="Q226" s="15">
        <f>IF($N161=1,$I161,0)</f>
        <v/>
      </c>
      <c r="R226" s="20" t="n"/>
      <c r="S226" s="20" t="n"/>
      <c r="T226" s="20" t="n"/>
    </row>
    <row r="227" ht="18.75" customFormat="1" customHeight="1" s="4">
      <c r="A227" s="12" t="n"/>
      <c r="B227" s="12" t="n"/>
      <c r="C227" s="12" t="n"/>
      <c r="D227" s="12" t="n"/>
      <c r="E227" s="12" t="n"/>
      <c r="F227" s="12" t="n"/>
      <c r="G227" s="12" t="n"/>
      <c r="H227" s="14">
        <f>IFERROR(VLOOKUP($B162,$A$25:$N$54,7,FALSE),"")</f>
        <v/>
      </c>
      <c r="I227" s="15">
        <f>IF($H162="Minor",1,IF($H162="Moderate",2,IF($H162="Major",3,IF($H162="Critical",4,""))))</f>
        <v/>
      </c>
      <c r="J227" s="16" t="n"/>
      <c r="K227" s="16" t="n"/>
      <c r="L227" s="15">
        <f>IF(OR($G162="Exact TP",$G162="Equivalent TP"),1,0)</f>
        <v/>
      </c>
      <c r="M227" s="15">
        <f>IF(OR($G162="FP Extra",$G162="Harmful FP"),1,0)</f>
        <v/>
      </c>
      <c r="N227" s="15">
        <f>IF(OR($G162="FN",$G162="Partial"),1,0)</f>
        <v/>
      </c>
      <c r="O227" s="15">
        <f>IF($L162=1,$I162,0)</f>
        <v/>
      </c>
      <c r="P227" s="15">
        <f>IF($M162=1,$I162,0)</f>
        <v/>
      </c>
      <c r="Q227" s="15">
        <f>IF($N162=1,$I162,0)</f>
        <v/>
      </c>
      <c r="R227" s="20" t="n"/>
      <c r="S227" s="20" t="n"/>
      <c r="T227" s="20" t="n"/>
    </row>
    <row r="228" ht="18.75" customFormat="1" customHeight="1" s="4">
      <c r="A228" s="12" t="n"/>
      <c r="B228" s="12" t="n"/>
      <c r="C228" s="12" t="n"/>
      <c r="D228" s="12" t="n"/>
      <c r="E228" s="12" t="n"/>
      <c r="F228" s="12" t="n"/>
      <c r="G228" s="12" t="n"/>
      <c r="H228" s="14">
        <f>IFERROR(VLOOKUP($B163,$A$25:$N$54,7,FALSE),"")</f>
        <v/>
      </c>
      <c r="I228" s="15">
        <f>IF($H163="Minor",1,IF($H163="Moderate",2,IF($H163="Major",3,IF($H163="Critical",4,""))))</f>
        <v/>
      </c>
      <c r="J228" s="16" t="n"/>
      <c r="K228" s="16" t="n"/>
      <c r="L228" s="15">
        <f>IF(OR($G163="Exact TP",$G163="Equivalent TP"),1,0)</f>
        <v/>
      </c>
      <c r="M228" s="15">
        <f>IF(OR($G163="FP Extra",$G163="Harmful FP"),1,0)</f>
        <v/>
      </c>
      <c r="N228" s="15">
        <f>IF(OR($G163="FN",$G163="Partial"),1,0)</f>
        <v/>
      </c>
      <c r="O228" s="15">
        <f>IF($L163=1,$I163,0)</f>
        <v/>
      </c>
      <c r="P228" s="15">
        <f>IF($M163=1,$I163,0)</f>
        <v/>
      </c>
      <c r="Q228" s="15">
        <f>IF($N163=1,$I163,0)</f>
        <v/>
      </c>
      <c r="R228" s="20" t="n"/>
      <c r="S228" s="20" t="n"/>
      <c r="T228" s="20" t="n"/>
    </row>
    <row r="229" ht="18.75" customFormat="1" customHeight="1" s="4">
      <c r="A229" s="12" t="n"/>
      <c r="B229" s="12" t="n"/>
      <c r="C229" s="12" t="n"/>
      <c r="D229" s="12" t="n"/>
      <c r="E229" s="12" t="n"/>
      <c r="F229" s="12" t="n"/>
      <c r="G229" s="12" t="n"/>
      <c r="H229" s="14">
        <f>IFERROR(VLOOKUP($B164,$A$25:$N$54,7,FALSE),"")</f>
        <v/>
      </c>
      <c r="I229" s="15">
        <f>IF($H164="Minor",1,IF($H164="Moderate",2,IF($H164="Major",3,IF($H164="Critical",4,""))))</f>
        <v/>
      </c>
      <c r="J229" s="16" t="n"/>
      <c r="K229" s="16" t="n"/>
      <c r="L229" s="15">
        <f>IF(OR($G164="Exact TP",$G164="Equivalent TP"),1,0)</f>
        <v/>
      </c>
      <c r="M229" s="15">
        <f>IF(OR($G164="FP Extra",$G164="Harmful FP"),1,0)</f>
        <v/>
      </c>
      <c r="N229" s="15">
        <f>IF(OR($G164="FN",$G164="Partial"),1,0)</f>
        <v/>
      </c>
      <c r="O229" s="15">
        <f>IF($L164=1,$I164,0)</f>
        <v/>
      </c>
      <c r="P229" s="15">
        <f>IF($M164=1,$I164,0)</f>
        <v/>
      </c>
      <c r="Q229" s="15">
        <f>IF($N164=1,$I164,0)</f>
        <v/>
      </c>
      <c r="R229" s="20" t="n"/>
      <c r="S229" s="20" t="n"/>
      <c r="T229" s="20" t="n"/>
    </row>
    <row r="230" ht="18.75" customFormat="1" customHeight="1" s="4">
      <c r="A230" s="12" t="n"/>
      <c r="B230" s="12" t="n"/>
      <c r="C230" s="12" t="n"/>
      <c r="D230" s="12" t="n"/>
      <c r="E230" s="12" t="n"/>
      <c r="F230" s="12" t="n"/>
      <c r="G230" s="12" t="n"/>
      <c r="H230" s="14">
        <f>IFERROR(VLOOKUP($B165,$A$25:$N$54,7,FALSE),"")</f>
        <v/>
      </c>
      <c r="I230" s="15">
        <f>IF($H165="Minor",1,IF($H165="Moderate",2,IF($H165="Major",3,IF($H165="Critical",4,""))))</f>
        <v/>
      </c>
      <c r="J230" s="16" t="n"/>
      <c r="K230" s="16" t="n"/>
      <c r="L230" s="15">
        <f>IF(OR($G165="Exact TP",$G165="Equivalent TP"),1,0)</f>
        <v/>
      </c>
      <c r="M230" s="15">
        <f>IF(OR($G165="FP Extra",$G165="Harmful FP"),1,0)</f>
        <v/>
      </c>
      <c r="N230" s="15">
        <f>IF(OR($G165="FN",$G165="Partial"),1,0)</f>
        <v/>
      </c>
      <c r="O230" s="15">
        <f>IF($L165=1,$I165,0)</f>
        <v/>
      </c>
      <c r="P230" s="15">
        <f>IF($M165=1,$I165,0)</f>
        <v/>
      </c>
      <c r="Q230" s="15">
        <f>IF($N165=1,$I165,0)</f>
        <v/>
      </c>
      <c r="R230" s="20" t="n"/>
      <c r="S230" s="20" t="n"/>
      <c r="T230" s="20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4">
        <f>IFERROR(VLOOKUP($B166,$A$25:$N$54,7,FALSE),"")</f>
        <v/>
      </c>
      <c r="I231" s="15">
        <f>IF($H166="Minor",1,IF($H166="Moderate",2,IF($H166="Major",3,IF($H166="Critical",4,""))))</f>
        <v/>
      </c>
      <c r="J231" s="16" t="n"/>
      <c r="K231" s="16" t="n"/>
      <c r="L231" s="15">
        <f>IF(OR($G166="Exact TP",$G166="Equivalent TP"),1,0)</f>
        <v/>
      </c>
      <c r="M231" s="15">
        <f>IF(OR($G166="FP Extra",$G166="Harmful FP"),1,0)</f>
        <v/>
      </c>
      <c r="N231" s="15">
        <f>IF(OR($G166="FN",$G166="Partial"),1,0)</f>
        <v/>
      </c>
      <c r="O231" s="15">
        <f>IF($L166=1,$I166,0)</f>
        <v/>
      </c>
      <c r="P231" s="15">
        <f>IF($M166=1,$I166,0)</f>
        <v/>
      </c>
      <c r="Q231" s="15">
        <f>IF($N166=1,$I166,0)</f>
        <v/>
      </c>
      <c r="R231" s="20" t="n"/>
      <c r="S231" s="20" t="n"/>
      <c r="T231" s="20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4">
        <f>IFERROR(VLOOKUP($B167,$A$25:$N$54,7,FALSE),"")</f>
        <v/>
      </c>
      <c r="I232" s="15">
        <f>IF($H167="Minor",1,IF($H167="Moderate",2,IF($H167="Major",3,IF($H167="Critical",4,""))))</f>
        <v/>
      </c>
      <c r="J232" s="16" t="n"/>
      <c r="K232" s="16" t="n"/>
      <c r="L232" s="15">
        <f>IF(OR($G167="Exact TP",$G167="Equivalent TP"),1,0)</f>
        <v/>
      </c>
      <c r="M232" s="15">
        <f>IF(OR($G167="FP Extra",$G167="Harmful FP"),1,0)</f>
        <v/>
      </c>
      <c r="N232" s="15">
        <f>IF(OR($G167="FN",$G167="Partial"),1,0)</f>
        <v/>
      </c>
      <c r="O232" s="15">
        <f>IF($L167=1,$I167,0)</f>
        <v/>
      </c>
      <c r="P232" s="15">
        <f>IF($M167=1,$I167,0)</f>
        <v/>
      </c>
      <c r="Q232" s="15">
        <f>IF($N167=1,$I167,0)</f>
        <v/>
      </c>
      <c r="R232" s="20" t="n"/>
      <c r="S232" s="20" t="n"/>
      <c r="T232" s="20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4">
        <f>IFERROR(VLOOKUP($B168,$A$25:$N$54,7,FALSE),"")</f>
        <v/>
      </c>
      <c r="I233" s="15">
        <f>IF($H168="Minor",1,IF($H168="Moderate",2,IF($H168="Major",3,IF($H168="Critical",4,""))))</f>
        <v/>
      </c>
      <c r="J233" s="16" t="n"/>
      <c r="K233" s="16" t="n"/>
      <c r="L233" s="15">
        <f>IF(OR($G168="Exact TP",$G168="Equivalent TP"),1,0)</f>
        <v/>
      </c>
      <c r="M233" s="15">
        <f>IF(OR($G168="FP Extra",$G168="Harmful FP"),1,0)</f>
        <v/>
      </c>
      <c r="N233" s="15">
        <f>IF(OR($G168="FN",$G168="Partial"),1,0)</f>
        <v/>
      </c>
      <c r="O233" s="15">
        <f>IF($L168=1,$I168,0)</f>
        <v/>
      </c>
      <c r="P233" s="15">
        <f>IF($M168=1,$I168,0)</f>
        <v/>
      </c>
      <c r="Q233" s="15">
        <f>IF($N168=1,$I168,0)</f>
        <v/>
      </c>
      <c r="R233" s="20" t="n"/>
      <c r="S233" s="20" t="n"/>
      <c r="T233" s="20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4">
        <f>IFERROR(VLOOKUP($B169,$A$25:$N$54,7,FALSE),"")</f>
        <v/>
      </c>
      <c r="I234" s="15">
        <f>IF($H169="Minor",1,IF($H169="Moderate",2,IF($H169="Major",3,IF($H169="Critical",4,""))))</f>
        <v/>
      </c>
      <c r="J234" s="16" t="n"/>
      <c r="K234" s="16" t="n"/>
      <c r="L234" s="15">
        <f>IF(OR($G169="Exact TP",$G169="Equivalent TP"),1,0)</f>
        <v/>
      </c>
      <c r="M234" s="15">
        <f>IF(OR($G169="FP Extra",$G169="Harmful FP"),1,0)</f>
        <v/>
      </c>
      <c r="N234" s="15">
        <f>IF(OR($G169="FN",$G169="Partial"),1,0)</f>
        <v/>
      </c>
      <c r="O234" s="15">
        <f>IF($L169=1,$I169,0)</f>
        <v/>
      </c>
      <c r="P234" s="15">
        <f>IF($M169=1,$I169,0)</f>
        <v/>
      </c>
      <c r="Q234" s="15">
        <f>IF($N169=1,$I169,0)</f>
        <v/>
      </c>
      <c r="R234" s="20" t="n"/>
      <c r="S234" s="20" t="n"/>
      <c r="T234" s="20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4">
        <f>IFERROR(VLOOKUP($B170,$A$25:$N$54,7,FALSE),"")</f>
        <v/>
      </c>
      <c r="I235" s="15">
        <f>IF($H170="Minor",1,IF($H170="Moderate",2,IF($H170="Major",3,IF($H170="Critical",4,""))))</f>
        <v/>
      </c>
      <c r="J235" s="16" t="n"/>
      <c r="K235" s="16" t="n"/>
      <c r="L235" s="15">
        <f>IF(OR($G170="Exact TP",$G170="Equivalent TP"),1,0)</f>
        <v/>
      </c>
      <c r="M235" s="15">
        <f>IF(OR($G170="FP Extra",$G170="Harmful FP"),1,0)</f>
        <v/>
      </c>
      <c r="N235" s="15">
        <f>IF(OR($G170="FN",$G170="Partial"),1,0)</f>
        <v/>
      </c>
      <c r="O235" s="15">
        <f>IF($L170=1,$I170,0)</f>
        <v/>
      </c>
      <c r="P235" s="15">
        <f>IF($M170=1,$I170,0)</f>
        <v/>
      </c>
      <c r="Q235" s="15">
        <f>IF($N170=1,$I170,0)</f>
        <v/>
      </c>
      <c r="R235" s="20" t="n"/>
      <c r="S235" s="20" t="n"/>
      <c r="T235" s="20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4">
        <f>IFERROR(VLOOKUP($B171,$A$25:$N$54,7,FALSE),"")</f>
        <v/>
      </c>
      <c r="I236" s="15">
        <f>IF($H171="Minor",1,IF($H171="Moderate",2,IF($H171="Major",3,IF($H171="Critical",4,""))))</f>
        <v/>
      </c>
      <c r="J236" s="16" t="n"/>
      <c r="K236" s="16" t="n"/>
      <c r="L236" s="15">
        <f>IF(OR($G171="Exact TP",$G171="Equivalent TP"),1,0)</f>
        <v/>
      </c>
      <c r="M236" s="15">
        <f>IF(OR($G171="FP Extra",$G171="Harmful FP"),1,0)</f>
        <v/>
      </c>
      <c r="N236" s="15">
        <f>IF(OR($G171="FN",$G171="Partial"),1,0)</f>
        <v/>
      </c>
      <c r="O236" s="15">
        <f>IF($L171=1,$I171,0)</f>
        <v/>
      </c>
      <c r="P236" s="15">
        <f>IF($M171=1,$I171,0)</f>
        <v/>
      </c>
      <c r="Q236" s="15">
        <f>IF($N171=1,$I171,0)</f>
        <v/>
      </c>
      <c r="R236" s="20" t="n"/>
      <c r="S236" s="20" t="n"/>
      <c r="T236" s="20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4">
        <f>IFERROR(VLOOKUP($B172,$A$25:$N$54,7,FALSE),"")</f>
        <v/>
      </c>
      <c r="I237" s="15">
        <f>IF($H172="Minor",1,IF($H172="Moderate",2,IF($H172="Major",3,IF($H172="Critical",4,""))))</f>
        <v/>
      </c>
      <c r="J237" s="16" t="n"/>
      <c r="K237" s="16" t="n"/>
      <c r="L237" s="15">
        <f>IF(OR($G172="Exact TP",$G172="Equivalent TP"),1,0)</f>
        <v/>
      </c>
      <c r="M237" s="15">
        <f>IF(OR($G172="FP Extra",$G172="Harmful FP"),1,0)</f>
        <v/>
      </c>
      <c r="N237" s="15">
        <f>IF(OR($G172="FN",$G172="Partial"),1,0)</f>
        <v/>
      </c>
      <c r="O237" s="15">
        <f>IF($L172=1,$I172,0)</f>
        <v/>
      </c>
      <c r="P237" s="15">
        <f>IF($M172=1,$I172,0)</f>
        <v/>
      </c>
      <c r="Q237" s="15">
        <f>IF($N172=1,$I172,0)</f>
        <v/>
      </c>
      <c r="R237" s="20" t="n"/>
      <c r="S237" s="20" t="n"/>
      <c r="T237" s="20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4">
        <f>IFERROR(VLOOKUP($B173,$A$25:$N$54,7,FALSE),"")</f>
        <v/>
      </c>
      <c r="I238" s="15">
        <f>IF($H173="Minor",1,IF($H173="Moderate",2,IF($H173="Major",3,IF($H173="Critical",4,""))))</f>
        <v/>
      </c>
      <c r="J238" s="16" t="n"/>
      <c r="K238" s="16" t="n"/>
      <c r="L238" s="15">
        <f>IF(OR($G173="Exact TP",$G173="Equivalent TP"),1,0)</f>
        <v/>
      </c>
      <c r="M238" s="15">
        <f>IF(OR($G173="FP Extra",$G173="Harmful FP"),1,0)</f>
        <v/>
      </c>
      <c r="N238" s="15">
        <f>IF(OR($G173="FN",$G173="Partial"),1,0)</f>
        <v/>
      </c>
      <c r="O238" s="15">
        <f>IF($L173=1,$I173,0)</f>
        <v/>
      </c>
      <c r="P238" s="15">
        <f>IF($M173=1,$I173,0)</f>
        <v/>
      </c>
      <c r="Q238" s="15">
        <f>IF($N173=1,$I173,0)</f>
        <v/>
      </c>
      <c r="R238" s="20" t="n"/>
      <c r="S238" s="20" t="n"/>
      <c r="T238" s="20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4">
        <f>IFERROR(VLOOKUP($B174,$A$25:$N$54,7,FALSE),"")</f>
        <v/>
      </c>
      <c r="I239" s="15">
        <f>IF($H174="Minor",1,IF($H174="Moderate",2,IF($H174="Major",3,IF($H174="Critical",4,""))))</f>
        <v/>
      </c>
      <c r="J239" s="16" t="n"/>
      <c r="K239" s="16" t="n"/>
      <c r="L239" s="15">
        <f>IF(OR($G174="Exact TP",$G174="Equivalent TP"),1,0)</f>
        <v/>
      </c>
      <c r="M239" s="15">
        <f>IF(OR($G174="FP Extra",$G174="Harmful FP"),1,0)</f>
        <v/>
      </c>
      <c r="N239" s="15">
        <f>IF(OR($G174="FN",$G174="Partial"),1,0)</f>
        <v/>
      </c>
      <c r="O239" s="15">
        <f>IF($L174=1,$I174,0)</f>
        <v/>
      </c>
      <c r="P239" s="15">
        <f>IF($M174=1,$I174,0)</f>
        <v/>
      </c>
      <c r="Q239" s="15">
        <f>IF($N174=1,$I174,0)</f>
        <v/>
      </c>
      <c r="R239" s="20" t="n"/>
      <c r="S239" s="20" t="n"/>
      <c r="T239" s="20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4">
        <f>IFERROR(VLOOKUP($B175,$A$25:$N$54,7,FALSE),"")</f>
        <v/>
      </c>
      <c r="I240" s="15">
        <f>IF($H175="Minor",1,IF($H175="Moderate",2,IF($H175="Major",3,IF($H175="Critical",4,""))))</f>
        <v/>
      </c>
      <c r="J240" s="16" t="n"/>
      <c r="K240" s="16" t="n"/>
      <c r="L240" s="15">
        <f>IF(OR($G175="Exact TP",$G175="Equivalent TP"),1,0)</f>
        <v/>
      </c>
      <c r="M240" s="15">
        <f>IF(OR($G175="FP Extra",$G175="Harmful FP"),1,0)</f>
        <v/>
      </c>
      <c r="N240" s="15">
        <f>IF(OR($G175="FN",$G175="Partial"),1,0)</f>
        <v/>
      </c>
      <c r="O240" s="15">
        <f>IF($L175=1,$I175,0)</f>
        <v/>
      </c>
      <c r="P240" s="15">
        <f>IF($M175=1,$I175,0)</f>
        <v/>
      </c>
      <c r="Q240" s="15">
        <f>IF($N175=1,$I175,0)</f>
        <v/>
      </c>
      <c r="R240" s="20" t="n"/>
      <c r="S240" s="20" t="n"/>
      <c r="T240" s="20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4">
        <f>IFERROR(VLOOKUP($B176,$A$25:$N$54,7,FALSE),"")</f>
        <v/>
      </c>
      <c r="I241" s="15">
        <f>IF($H176="Minor",1,IF($H176="Moderate",2,IF($H176="Major",3,IF($H176="Critical",4,""))))</f>
        <v/>
      </c>
      <c r="J241" s="16" t="n"/>
      <c r="K241" s="16" t="n"/>
      <c r="L241" s="15">
        <f>IF(OR($G176="Exact TP",$G176="Equivalent TP"),1,0)</f>
        <v/>
      </c>
      <c r="M241" s="15">
        <f>IF(OR($G176="FP Extra",$G176="Harmful FP"),1,0)</f>
        <v/>
      </c>
      <c r="N241" s="15">
        <f>IF(OR($G176="FN",$G176="Partial"),1,0)</f>
        <v/>
      </c>
      <c r="O241" s="15">
        <f>IF($L176=1,$I176,0)</f>
        <v/>
      </c>
      <c r="P241" s="15">
        <f>IF($M176=1,$I176,0)</f>
        <v/>
      </c>
      <c r="Q241" s="15">
        <f>IF($N176=1,$I176,0)</f>
        <v/>
      </c>
      <c r="R241" s="20" t="n"/>
      <c r="S241" s="20" t="n"/>
      <c r="T241" s="20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4">
        <f>IFERROR(VLOOKUP($B177,$A$25:$N$54,7,FALSE),"")</f>
        <v/>
      </c>
      <c r="I242" s="15">
        <f>IF($H177="Minor",1,IF($H177="Moderate",2,IF($H177="Major",3,IF($H177="Critical",4,""))))</f>
        <v/>
      </c>
      <c r="J242" s="16" t="n"/>
      <c r="K242" s="16" t="n"/>
      <c r="L242" s="15">
        <f>IF(OR($G177="Exact TP",$G177="Equivalent TP"),1,0)</f>
        <v/>
      </c>
      <c r="M242" s="15">
        <f>IF(OR($G177="FP Extra",$G177="Harmful FP"),1,0)</f>
        <v/>
      </c>
      <c r="N242" s="15">
        <f>IF(OR($G177="FN",$G177="Partial"),1,0)</f>
        <v/>
      </c>
      <c r="O242" s="15">
        <f>IF($L177=1,$I177,0)</f>
        <v/>
      </c>
      <c r="P242" s="15">
        <f>IF($M177=1,$I177,0)</f>
        <v/>
      </c>
      <c r="Q242" s="15">
        <f>IF($N177=1,$I177,0)</f>
        <v/>
      </c>
      <c r="R242" s="20" t="n"/>
      <c r="S242" s="20" t="n"/>
      <c r="T242" s="20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4">
        <f>IFERROR(VLOOKUP($B178,$A$25:$N$54,7,FALSE),"")</f>
        <v/>
      </c>
      <c r="I243" s="15">
        <f>IF($H178="Minor",1,IF($H178="Moderate",2,IF($H178="Major",3,IF($H178="Critical",4,""))))</f>
        <v/>
      </c>
      <c r="J243" s="16" t="n"/>
      <c r="K243" s="16" t="n"/>
      <c r="L243" s="15">
        <f>IF(OR($G178="Exact TP",$G178="Equivalent TP"),1,0)</f>
        <v/>
      </c>
      <c r="M243" s="15">
        <f>IF(OR($G178="FP Extra",$G178="Harmful FP"),1,0)</f>
        <v/>
      </c>
      <c r="N243" s="15">
        <f>IF(OR($G178="FN",$G178="Partial"),1,0)</f>
        <v/>
      </c>
      <c r="O243" s="15">
        <f>IF($L178=1,$I178,0)</f>
        <v/>
      </c>
      <c r="P243" s="15">
        <f>IF($M178=1,$I178,0)</f>
        <v/>
      </c>
      <c r="Q243" s="15">
        <f>IF($N178=1,$I178,0)</f>
        <v/>
      </c>
      <c r="R243" s="20" t="n"/>
      <c r="S243" s="20" t="n"/>
      <c r="T243" s="20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4">
        <f>IFERROR(VLOOKUP($B179,$A$25:$N$54,7,FALSE),"")</f>
        <v/>
      </c>
      <c r="I244" s="15">
        <f>IF($H179="Minor",1,IF($H179="Moderate",2,IF($H179="Major",3,IF($H179="Critical",4,""))))</f>
        <v/>
      </c>
      <c r="J244" s="16" t="n"/>
      <c r="K244" s="16" t="n"/>
      <c r="L244" s="15">
        <f>IF(OR($G179="Exact TP",$G179="Equivalent TP"),1,0)</f>
        <v/>
      </c>
      <c r="M244" s="15">
        <f>IF(OR($G179="FP Extra",$G179="Harmful FP"),1,0)</f>
        <v/>
      </c>
      <c r="N244" s="15">
        <f>IF(OR($G179="FN",$G179="Partial"),1,0)</f>
        <v/>
      </c>
      <c r="O244" s="15">
        <f>IF($L179=1,$I179,0)</f>
        <v/>
      </c>
      <c r="P244" s="15">
        <f>IF($M179=1,$I179,0)</f>
        <v/>
      </c>
      <c r="Q244" s="15">
        <f>IF($N179=1,$I179,0)</f>
        <v/>
      </c>
      <c r="R244" s="20" t="n"/>
      <c r="S244" s="20" t="n"/>
      <c r="T244" s="20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4">
        <f>IFERROR(VLOOKUP($B180,$A$25:$N$54,7,FALSE),"")</f>
        <v/>
      </c>
      <c r="I245" s="15">
        <f>IF($H180="Minor",1,IF($H180="Moderate",2,IF($H180="Major",3,IF($H180="Critical",4,""))))</f>
        <v/>
      </c>
      <c r="J245" s="16" t="n"/>
      <c r="K245" s="16" t="n"/>
      <c r="L245" s="15">
        <f>IF(OR($G180="Exact TP",$G180="Equivalent TP"),1,0)</f>
        <v/>
      </c>
      <c r="M245" s="15">
        <f>IF(OR($G180="FP Extra",$G180="Harmful FP"),1,0)</f>
        <v/>
      </c>
      <c r="N245" s="15">
        <f>IF(OR($G180="FN",$G180="Partial"),1,0)</f>
        <v/>
      </c>
      <c r="O245" s="15">
        <f>IF($L180=1,$I180,0)</f>
        <v/>
      </c>
      <c r="P245" s="15">
        <f>IF($M180=1,$I180,0)</f>
        <v/>
      </c>
      <c r="Q245" s="15">
        <f>IF($N180=1,$I180,0)</f>
        <v/>
      </c>
      <c r="R245" s="20" t="n"/>
      <c r="S245" s="20" t="n"/>
      <c r="T245" s="20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4">
        <f>IFERROR(VLOOKUP($B181,$A$25:$N$54,7,FALSE),"")</f>
        <v/>
      </c>
      <c r="I246" s="15">
        <f>IF($H181="Minor",1,IF($H181="Moderate",2,IF($H181="Major",3,IF($H181="Critical",4,""))))</f>
        <v/>
      </c>
      <c r="J246" s="16" t="n"/>
      <c r="K246" s="16" t="n"/>
      <c r="L246" s="15">
        <f>IF(OR($G181="Exact TP",$G181="Equivalent TP"),1,0)</f>
        <v/>
      </c>
      <c r="M246" s="15">
        <f>IF(OR($G181="FP Extra",$G181="Harmful FP"),1,0)</f>
        <v/>
      </c>
      <c r="N246" s="15">
        <f>IF(OR($G181="FN",$G181="Partial"),1,0)</f>
        <v/>
      </c>
      <c r="O246" s="15">
        <f>IF($L181=1,$I181,0)</f>
        <v/>
      </c>
      <c r="P246" s="15">
        <f>IF($M181=1,$I181,0)</f>
        <v/>
      </c>
      <c r="Q246" s="15">
        <f>IF($N181=1,$I181,0)</f>
        <v/>
      </c>
      <c r="R246" s="20" t="n"/>
      <c r="S246" s="20" t="n"/>
      <c r="T246" s="20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4">
        <f>IFERROR(VLOOKUP($B182,$A$25:$N$54,7,FALSE),"")</f>
        <v/>
      </c>
      <c r="I247" s="15">
        <f>IF($H182="Minor",1,IF($H182="Moderate",2,IF($H182="Major",3,IF($H182="Critical",4,""))))</f>
        <v/>
      </c>
      <c r="J247" s="16" t="n"/>
      <c r="K247" s="16" t="n"/>
      <c r="L247" s="15">
        <f>IF(OR($G182="Exact TP",$G182="Equivalent TP"),1,0)</f>
        <v/>
      </c>
      <c r="M247" s="15">
        <f>IF(OR($G182="FP Extra",$G182="Harmful FP"),1,0)</f>
        <v/>
      </c>
      <c r="N247" s="15">
        <f>IF(OR($G182="FN",$G182="Partial"),1,0)</f>
        <v/>
      </c>
      <c r="O247" s="15">
        <f>IF($L182=1,$I182,0)</f>
        <v/>
      </c>
      <c r="P247" s="15">
        <f>IF($M182=1,$I182,0)</f>
        <v/>
      </c>
      <c r="Q247" s="15">
        <f>IF($N182=1,$I182,0)</f>
        <v/>
      </c>
      <c r="R247" s="20" t="n"/>
      <c r="S247" s="20" t="n"/>
      <c r="T247" s="20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4">
        <f>IFERROR(VLOOKUP($B183,$A$25:$N$54,7,FALSE),"")</f>
        <v/>
      </c>
      <c r="I248" s="15">
        <f>IF($H183="Minor",1,IF($H183="Moderate",2,IF($H183="Major",3,IF($H183="Critical",4,""))))</f>
        <v/>
      </c>
      <c r="J248" s="16" t="n"/>
      <c r="K248" s="16" t="n"/>
      <c r="L248" s="15">
        <f>IF(OR($G183="Exact TP",$G183="Equivalent TP"),1,0)</f>
        <v/>
      </c>
      <c r="M248" s="15">
        <f>IF(OR($G183="FP Extra",$G183="Harmful FP"),1,0)</f>
        <v/>
      </c>
      <c r="N248" s="15">
        <f>IF(OR($G183="FN",$G183="Partial"),1,0)</f>
        <v/>
      </c>
      <c r="O248" s="15">
        <f>IF($L183=1,$I183,0)</f>
        <v/>
      </c>
      <c r="P248" s="15">
        <f>IF($M183=1,$I183,0)</f>
        <v/>
      </c>
      <c r="Q248" s="15">
        <f>IF($N183=1,$I183,0)</f>
        <v/>
      </c>
      <c r="R248" s="20" t="n"/>
      <c r="S248" s="20" t="n"/>
      <c r="T248" s="20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4">
        <f>IFERROR(VLOOKUP($B184,$A$25:$N$54,7,FALSE),"")</f>
        <v/>
      </c>
      <c r="I249" s="15">
        <f>IF($H184="Minor",1,IF($H184="Moderate",2,IF($H184="Major",3,IF($H184="Critical",4,""))))</f>
        <v/>
      </c>
      <c r="J249" s="16" t="n"/>
      <c r="K249" s="16" t="n"/>
      <c r="L249" s="15">
        <f>IF(OR($G184="Exact TP",$G184="Equivalent TP"),1,0)</f>
        <v/>
      </c>
      <c r="M249" s="15">
        <f>IF(OR($G184="FP Extra",$G184="Harmful FP"),1,0)</f>
        <v/>
      </c>
      <c r="N249" s="15">
        <f>IF(OR($G184="FN",$G184="Partial"),1,0)</f>
        <v/>
      </c>
      <c r="O249" s="15">
        <f>IF($L184=1,$I184,0)</f>
        <v/>
      </c>
      <c r="P249" s="15">
        <f>IF($M184=1,$I184,0)</f>
        <v/>
      </c>
      <c r="Q249" s="15">
        <f>IF($N184=1,$I184,0)</f>
        <v/>
      </c>
      <c r="R249" s="20" t="n"/>
      <c r="S249" s="20" t="n"/>
      <c r="T249" s="20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4">
        <f>IFERROR(VLOOKUP($B185,$A$25:$N$54,7,FALSE),"")</f>
        <v/>
      </c>
      <c r="I250" s="15">
        <f>IF($H185="Minor",1,IF($H185="Moderate",2,IF($H185="Major",3,IF($H185="Critical",4,""))))</f>
        <v/>
      </c>
      <c r="J250" s="16" t="n"/>
      <c r="K250" s="16" t="n"/>
      <c r="L250" s="15">
        <f>IF(OR($G185="Exact TP",$G185="Equivalent TP"),1,0)</f>
        <v/>
      </c>
      <c r="M250" s="15">
        <f>IF(OR($G185="FP Extra",$G185="Harmful FP"),1,0)</f>
        <v/>
      </c>
      <c r="N250" s="15">
        <f>IF(OR($G185="FN",$G185="Partial"),1,0)</f>
        <v/>
      </c>
      <c r="O250" s="15">
        <f>IF($L185=1,$I185,0)</f>
        <v/>
      </c>
      <c r="P250" s="15">
        <f>IF($M185=1,$I185,0)</f>
        <v/>
      </c>
      <c r="Q250" s="15">
        <f>IF($N185=1,$I185,0)</f>
        <v/>
      </c>
      <c r="R250" s="20" t="n"/>
      <c r="S250" s="20" t="n"/>
      <c r="T250" s="20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4">
        <f>IFERROR(VLOOKUP($B186,$A$25:$N$54,7,FALSE),"")</f>
        <v/>
      </c>
      <c r="I251" s="15">
        <f>IF($H186="Minor",1,IF($H186="Moderate",2,IF($H186="Major",3,IF($H186="Critical",4,""))))</f>
        <v/>
      </c>
      <c r="J251" s="16" t="n"/>
      <c r="K251" s="16" t="n"/>
      <c r="L251" s="15">
        <f>IF(OR($G186="Exact TP",$G186="Equivalent TP"),1,0)</f>
        <v/>
      </c>
      <c r="M251" s="15">
        <f>IF(OR($G186="FP Extra",$G186="Harmful FP"),1,0)</f>
        <v/>
      </c>
      <c r="N251" s="15">
        <f>IF(OR($G186="FN",$G186="Partial"),1,0)</f>
        <v/>
      </c>
      <c r="O251" s="15">
        <f>IF($L186=1,$I186,0)</f>
        <v/>
      </c>
      <c r="P251" s="15">
        <f>IF($M186=1,$I186,0)</f>
        <v/>
      </c>
      <c r="Q251" s="15">
        <f>IF($N186=1,$I186,0)</f>
        <v/>
      </c>
      <c r="R251" s="20" t="n"/>
      <c r="S251" s="20" t="n"/>
      <c r="T251" s="20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4">
        <f>IFERROR(VLOOKUP($B187,$A$25:$N$54,7,FALSE),"")</f>
        <v/>
      </c>
      <c r="I252" s="15">
        <f>IF($H187="Minor",1,IF($H187="Moderate",2,IF($H187="Major",3,IF($H187="Critical",4,""))))</f>
        <v/>
      </c>
      <c r="J252" s="16" t="n"/>
      <c r="K252" s="16" t="n"/>
      <c r="L252" s="15">
        <f>IF(OR($G187="Exact TP",$G187="Equivalent TP"),1,0)</f>
        <v/>
      </c>
      <c r="M252" s="15">
        <f>IF(OR($G187="FP Extra",$G187="Harmful FP"),1,0)</f>
        <v/>
      </c>
      <c r="N252" s="15">
        <f>IF(OR($G187="FN",$G187="Partial"),1,0)</f>
        <v/>
      </c>
      <c r="O252" s="15">
        <f>IF($L187=1,$I187,0)</f>
        <v/>
      </c>
      <c r="P252" s="15">
        <f>IF($M187=1,$I187,0)</f>
        <v/>
      </c>
      <c r="Q252" s="15">
        <f>IF($N187=1,$I187,0)</f>
        <v/>
      </c>
      <c r="R252" s="20" t="n"/>
      <c r="S252" s="20" t="n"/>
      <c r="T252" s="20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4">
        <f>IFERROR(VLOOKUP($B188,$A$25:$N$54,7,FALSE),"")</f>
        <v/>
      </c>
      <c r="I253" s="15">
        <f>IF($H188="Minor",1,IF($H188="Moderate",2,IF($H188="Major",3,IF($H188="Critical",4,""))))</f>
        <v/>
      </c>
      <c r="J253" s="16" t="n"/>
      <c r="K253" s="16" t="n"/>
      <c r="L253" s="15">
        <f>IF(OR($G188="Exact TP",$G188="Equivalent TP"),1,0)</f>
        <v/>
      </c>
      <c r="M253" s="15">
        <f>IF(OR($G188="FP Extra",$G188="Harmful FP"),1,0)</f>
        <v/>
      </c>
      <c r="N253" s="15">
        <f>IF(OR($G188="FN",$G188="Partial"),1,0)</f>
        <v/>
      </c>
      <c r="O253" s="15">
        <f>IF($L188=1,$I188,0)</f>
        <v/>
      </c>
      <c r="P253" s="15">
        <f>IF($M188=1,$I188,0)</f>
        <v/>
      </c>
      <c r="Q253" s="15">
        <f>IF($N188=1,$I188,0)</f>
        <v/>
      </c>
      <c r="R253" s="20" t="n"/>
      <c r="S253" s="20" t="n"/>
      <c r="T253" s="20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4">
        <f>IFERROR(VLOOKUP($B189,$A$25:$N$54,7,FALSE),"")</f>
        <v/>
      </c>
      <c r="I254" s="15">
        <f>IF($H189="Minor",1,IF($H189="Moderate",2,IF($H189="Major",3,IF($H189="Critical",4,""))))</f>
        <v/>
      </c>
      <c r="J254" s="16" t="n"/>
      <c r="K254" s="16" t="n"/>
      <c r="L254" s="15">
        <f>IF(OR($G189="Exact TP",$G189="Equivalent TP"),1,0)</f>
        <v/>
      </c>
      <c r="M254" s="15">
        <f>IF(OR($G189="FP Extra",$G189="Harmful FP"),1,0)</f>
        <v/>
      </c>
      <c r="N254" s="15">
        <f>IF(OR($G189="FN",$G189="Partial"),1,0)</f>
        <v/>
      </c>
      <c r="O254" s="15">
        <f>IF($L189=1,$I189,0)</f>
        <v/>
      </c>
      <c r="P254" s="15">
        <f>IF($M189=1,$I189,0)</f>
        <v/>
      </c>
      <c r="Q254" s="15">
        <f>IF($N189=1,$I189,0)</f>
        <v/>
      </c>
      <c r="R254" s="20" t="n"/>
      <c r="S254" s="20" t="n"/>
      <c r="T254" s="20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4">
        <f>IFERROR(VLOOKUP($B190,$A$25:$N$54,7,FALSE),"")</f>
        <v/>
      </c>
      <c r="I255" s="15">
        <f>IF($H190="Minor",1,IF($H190="Moderate",2,IF($H190="Major",3,IF($H190="Critical",4,""))))</f>
        <v/>
      </c>
      <c r="J255" s="16" t="n"/>
      <c r="K255" s="16" t="n"/>
      <c r="L255" s="15">
        <f>IF(OR($G190="Exact TP",$G190="Equivalent TP"),1,0)</f>
        <v/>
      </c>
      <c r="M255" s="15">
        <f>IF(OR($G190="FP Extra",$G190="Harmful FP"),1,0)</f>
        <v/>
      </c>
      <c r="N255" s="15">
        <f>IF(OR($G190="FN",$G190="Partial"),1,0)</f>
        <v/>
      </c>
      <c r="O255" s="15">
        <f>IF($L190=1,$I190,0)</f>
        <v/>
      </c>
      <c r="P255" s="15">
        <f>IF($M190=1,$I190,0)</f>
        <v/>
      </c>
      <c r="Q255" s="15">
        <f>IF($N190=1,$I190,0)</f>
        <v/>
      </c>
      <c r="R255" s="20" t="n"/>
      <c r="S255" s="20" t="n"/>
      <c r="T255" s="20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4">
        <f>IFERROR(VLOOKUP($B191,$A$25:$N$54,7,FALSE),"")</f>
        <v/>
      </c>
      <c r="I256" s="15">
        <f>IF($H191="Minor",1,IF($H191="Moderate",2,IF($H191="Major",3,IF($H191="Critical",4,""))))</f>
        <v/>
      </c>
      <c r="J256" s="16" t="n"/>
      <c r="K256" s="16" t="n"/>
      <c r="L256" s="15">
        <f>IF(OR($G191="Exact TP",$G191="Equivalent TP"),1,0)</f>
        <v/>
      </c>
      <c r="M256" s="15">
        <f>IF(OR($G191="FP Extra",$G191="Harmful FP"),1,0)</f>
        <v/>
      </c>
      <c r="N256" s="15">
        <f>IF(OR($G191="FN",$G191="Partial"),1,0)</f>
        <v/>
      </c>
      <c r="O256" s="15">
        <f>IF($L191=1,$I191,0)</f>
        <v/>
      </c>
      <c r="P256" s="15">
        <f>IF($M191=1,$I191,0)</f>
        <v/>
      </c>
      <c r="Q256" s="15">
        <f>IF($N191=1,$I191,0)</f>
        <v/>
      </c>
      <c r="R256" s="20" t="n"/>
      <c r="S256" s="20" t="n"/>
      <c r="T256" s="20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4">
        <f>IFERROR(VLOOKUP($B192,$A$25:$N$54,7,FALSE),"")</f>
        <v/>
      </c>
      <c r="I257" s="15">
        <f>IF($H192="Minor",1,IF($H192="Moderate",2,IF($H192="Major",3,IF($H192="Critical",4,""))))</f>
        <v/>
      </c>
      <c r="J257" s="16" t="n"/>
      <c r="K257" s="16" t="n"/>
      <c r="L257" s="15">
        <f>IF(OR($G192="Exact TP",$G192="Equivalent TP"),1,0)</f>
        <v/>
      </c>
      <c r="M257" s="15">
        <f>IF(OR($G192="FP Extra",$G192="Harmful FP"),1,0)</f>
        <v/>
      </c>
      <c r="N257" s="15">
        <f>IF(OR($G192="FN",$G192="Partial"),1,0)</f>
        <v/>
      </c>
      <c r="O257" s="15">
        <f>IF($L192=1,$I192,0)</f>
        <v/>
      </c>
      <c r="P257" s="15">
        <f>IF($M192=1,$I192,0)</f>
        <v/>
      </c>
      <c r="Q257" s="15">
        <f>IF($N192=1,$I192,0)</f>
        <v/>
      </c>
      <c r="R257" s="20" t="n"/>
      <c r="S257" s="20" t="n"/>
      <c r="T257" s="20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4">
        <f>IFERROR(VLOOKUP($B193,$A$25:$N$54,7,FALSE),"")</f>
        <v/>
      </c>
      <c r="I258" s="15">
        <f>IF($H193="Minor",1,IF($H193="Moderate",2,IF($H193="Major",3,IF($H193="Critical",4,""))))</f>
        <v/>
      </c>
      <c r="J258" s="16" t="n"/>
      <c r="K258" s="16" t="n"/>
      <c r="L258" s="15">
        <f>IF(OR($G193="Exact TP",$G193="Equivalent TP"),1,0)</f>
        <v/>
      </c>
      <c r="M258" s="15">
        <f>IF(OR($G193="FP Extra",$G193="Harmful FP"),1,0)</f>
        <v/>
      </c>
      <c r="N258" s="15">
        <f>IF(OR($G193="FN",$G193="Partial"),1,0)</f>
        <v/>
      </c>
      <c r="O258" s="15">
        <f>IF($L193=1,$I193,0)</f>
        <v/>
      </c>
      <c r="P258" s="15">
        <f>IF($M193=1,$I193,0)</f>
        <v/>
      </c>
      <c r="Q258" s="15">
        <f>IF($N193=1,$I193,0)</f>
        <v/>
      </c>
      <c r="R258" s="20" t="n"/>
      <c r="S258" s="20" t="n"/>
      <c r="T258" s="20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4">
        <f>IFERROR(VLOOKUP($B194,$A$25:$N$54,7,FALSE),"")</f>
        <v/>
      </c>
      <c r="I259" s="15">
        <f>IF($H194="Minor",1,IF($H194="Moderate",2,IF($H194="Major",3,IF($H194="Critical",4,""))))</f>
        <v/>
      </c>
      <c r="J259" s="16" t="n"/>
      <c r="K259" s="16" t="n"/>
      <c r="L259" s="15">
        <f>IF(OR($G194="Exact TP",$G194="Equivalent TP"),1,0)</f>
        <v/>
      </c>
      <c r="M259" s="15">
        <f>IF(OR($G194="FP Extra",$G194="Harmful FP"),1,0)</f>
        <v/>
      </c>
      <c r="N259" s="15">
        <f>IF(OR($G194="FN",$G194="Partial"),1,0)</f>
        <v/>
      </c>
      <c r="O259" s="15">
        <f>IF($L194=1,$I194,0)</f>
        <v/>
      </c>
      <c r="P259" s="15">
        <f>IF($M194=1,$I194,0)</f>
        <v/>
      </c>
      <c r="Q259" s="15">
        <f>IF($N194=1,$I194,0)</f>
        <v/>
      </c>
      <c r="R259" s="20" t="n"/>
      <c r="S259" s="20" t="n"/>
      <c r="T259" s="20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4">
        <f>IFERROR(VLOOKUP($B195,$A$25:$N$54,7,FALSE),"")</f>
        <v/>
      </c>
      <c r="I260" s="15">
        <f>IF($H195="Minor",1,IF($H195="Moderate",2,IF($H195="Major",3,IF($H195="Critical",4,""))))</f>
        <v/>
      </c>
      <c r="J260" s="16" t="n"/>
      <c r="K260" s="16" t="n"/>
      <c r="L260" s="15">
        <f>IF(OR($G195="Exact TP",$G195="Equivalent TP"),1,0)</f>
        <v/>
      </c>
      <c r="M260" s="15">
        <f>IF(OR($G195="FP Extra",$G195="Harmful FP"),1,0)</f>
        <v/>
      </c>
      <c r="N260" s="15">
        <f>IF(OR($G195="FN",$G195="Partial"),1,0)</f>
        <v/>
      </c>
      <c r="O260" s="15">
        <f>IF($L195=1,$I195,0)</f>
        <v/>
      </c>
      <c r="P260" s="15">
        <f>IF($M195=1,$I195,0)</f>
        <v/>
      </c>
      <c r="Q260" s="15">
        <f>IF($N195=1,$I195,0)</f>
        <v/>
      </c>
      <c r="R260" s="20" t="n"/>
      <c r="S260" s="20" t="n"/>
      <c r="T260" s="20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4">
        <f>IFERROR(VLOOKUP($B196,$A$25:$N$54,7,FALSE),"")</f>
        <v/>
      </c>
      <c r="I261" s="15">
        <f>IF($H196="Minor",1,IF($H196="Moderate",2,IF($H196="Major",3,IF($H196="Critical",4,""))))</f>
        <v/>
      </c>
      <c r="J261" s="16" t="n"/>
      <c r="K261" s="16" t="n"/>
      <c r="L261" s="15">
        <f>IF(OR($G196="Exact TP",$G196="Equivalent TP"),1,0)</f>
        <v/>
      </c>
      <c r="M261" s="15">
        <f>IF(OR($G196="FP Extra",$G196="Harmful FP"),1,0)</f>
        <v/>
      </c>
      <c r="N261" s="15">
        <f>IF(OR($G196="FN",$G196="Partial"),1,0)</f>
        <v/>
      </c>
      <c r="O261" s="15">
        <f>IF($L196=1,$I196,0)</f>
        <v/>
      </c>
      <c r="P261" s="15">
        <f>IF($M196=1,$I196,0)</f>
        <v/>
      </c>
      <c r="Q261" s="15">
        <f>IF($N196=1,$I196,0)</f>
        <v/>
      </c>
      <c r="R261" s="20" t="n"/>
      <c r="S261" s="20" t="n"/>
      <c r="T261" s="20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4">
        <f>IFERROR(VLOOKUP($B197,$A$25:$N$54,7,FALSE),"")</f>
        <v/>
      </c>
      <c r="I262" s="15">
        <f>IF($H197="Minor",1,IF($H197="Moderate",2,IF($H197="Major",3,IF($H197="Critical",4,""))))</f>
        <v/>
      </c>
      <c r="J262" s="16" t="n"/>
      <c r="K262" s="16" t="n"/>
      <c r="L262" s="15">
        <f>IF(OR($G197="Exact TP",$G197="Equivalent TP"),1,0)</f>
        <v/>
      </c>
      <c r="M262" s="15">
        <f>IF(OR($G197="FP Extra",$G197="Harmful FP"),1,0)</f>
        <v/>
      </c>
      <c r="N262" s="15">
        <f>IF(OR($G197="FN",$G197="Partial"),1,0)</f>
        <v/>
      </c>
      <c r="O262" s="15">
        <f>IF($L197=1,$I197,0)</f>
        <v/>
      </c>
      <c r="P262" s="15">
        <f>IF($M197=1,$I197,0)</f>
        <v/>
      </c>
      <c r="Q262" s="15">
        <f>IF($N197=1,$I197,0)</f>
        <v/>
      </c>
      <c r="R262" s="20" t="n"/>
      <c r="S262" s="20" t="n"/>
      <c r="T262" s="20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4">
        <f>IFERROR(VLOOKUP($B198,$A$25:$N$54,7,FALSE),"")</f>
        <v/>
      </c>
      <c r="I263" s="15">
        <f>IF($H198="Minor",1,IF($H198="Moderate",2,IF($H198="Major",3,IF($H198="Critical",4,""))))</f>
        <v/>
      </c>
      <c r="J263" s="16" t="n"/>
      <c r="K263" s="16" t="n"/>
      <c r="L263" s="15">
        <f>IF(OR($G198="Exact TP",$G198="Equivalent TP"),1,0)</f>
        <v/>
      </c>
      <c r="M263" s="15">
        <f>IF(OR($G198="FP Extra",$G198="Harmful FP"),1,0)</f>
        <v/>
      </c>
      <c r="N263" s="15">
        <f>IF(OR($G198="FN",$G198="Partial"),1,0)</f>
        <v/>
      </c>
      <c r="O263" s="15">
        <f>IF($L198=1,$I198,0)</f>
        <v/>
      </c>
      <c r="P263" s="15">
        <f>IF($M198=1,$I198,0)</f>
        <v/>
      </c>
      <c r="Q263" s="15">
        <f>IF($N198=1,$I198,0)</f>
        <v/>
      </c>
      <c r="R263" s="20" t="n"/>
      <c r="S263" s="20" t="n"/>
      <c r="T263" s="20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4">
        <f>IFERROR(VLOOKUP($B199,$A$25:$N$54,7,FALSE),"")</f>
        <v/>
      </c>
      <c r="I264" s="15">
        <f>IF($H199="Minor",1,IF($H199="Moderate",2,IF($H199="Major",3,IF($H199="Critical",4,""))))</f>
        <v/>
      </c>
      <c r="J264" s="16" t="n"/>
      <c r="K264" s="16" t="n"/>
      <c r="L264" s="15">
        <f>IF(OR($G199="Exact TP",$G199="Equivalent TP"),1,0)</f>
        <v/>
      </c>
      <c r="M264" s="15">
        <f>IF(OR($G199="FP Extra",$G199="Harmful FP"),1,0)</f>
        <v/>
      </c>
      <c r="N264" s="15">
        <f>IF(OR($G199="FN",$G199="Partial"),1,0)</f>
        <v/>
      </c>
      <c r="O264" s="15">
        <f>IF($L199=1,$I199,0)</f>
        <v/>
      </c>
      <c r="P264" s="15">
        <f>IF($M199=1,$I199,0)</f>
        <v/>
      </c>
      <c r="Q264" s="15">
        <f>IF($N199=1,$I199,0)</f>
        <v/>
      </c>
      <c r="R264" s="20" t="n"/>
      <c r="S264" s="20" t="n"/>
      <c r="T264" s="20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4">
        <f>IFERROR(VLOOKUP($B200,$A$25:$N$54,7,FALSE),"")</f>
        <v/>
      </c>
      <c r="I265" s="15">
        <f>IF($H200="Minor",1,IF($H200="Moderate",2,IF($H200="Major",3,IF($H200="Critical",4,""))))</f>
        <v/>
      </c>
      <c r="J265" s="16" t="n"/>
      <c r="K265" s="16" t="n"/>
      <c r="L265" s="15">
        <f>IF(OR($G200="Exact TP",$G200="Equivalent TP"),1,0)</f>
        <v/>
      </c>
      <c r="M265" s="15">
        <f>IF(OR($G200="FP Extra",$G200="Harmful FP"),1,0)</f>
        <v/>
      </c>
      <c r="N265" s="15">
        <f>IF(OR($G200="FN",$G200="Partial"),1,0)</f>
        <v/>
      </c>
      <c r="O265" s="15">
        <f>IF($L200=1,$I200,0)</f>
        <v/>
      </c>
      <c r="P265" s="15">
        <f>IF($M200=1,$I200,0)</f>
        <v/>
      </c>
      <c r="Q265" s="15">
        <f>IF($N200=1,$I200,0)</f>
        <v/>
      </c>
      <c r="R265" s="20" t="n"/>
      <c r="S265" s="20" t="n"/>
      <c r="T265" s="20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4">
        <f>IFERROR(VLOOKUP($B201,$A$25:$N$54,7,FALSE),"")</f>
        <v/>
      </c>
      <c r="I266" s="15">
        <f>IF($H201="Minor",1,IF($H201="Moderate",2,IF($H201="Major",3,IF($H201="Critical",4,""))))</f>
        <v/>
      </c>
      <c r="J266" s="16" t="n"/>
      <c r="K266" s="16" t="n"/>
      <c r="L266" s="15">
        <f>IF(OR($G201="Exact TP",$G201="Equivalent TP"),1,0)</f>
        <v/>
      </c>
      <c r="M266" s="15">
        <f>IF(OR($G201="FP Extra",$G201="Harmful FP"),1,0)</f>
        <v/>
      </c>
      <c r="N266" s="15">
        <f>IF(OR($G201="FN",$G201="Partial"),1,0)</f>
        <v/>
      </c>
      <c r="O266" s="15">
        <f>IF($L201=1,$I201,0)</f>
        <v/>
      </c>
      <c r="P266" s="15">
        <f>IF($M201=1,$I201,0)</f>
        <v/>
      </c>
      <c r="Q266" s="15">
        <f>IF($N201=1,$I201,0)</f>
        <v/>
      </c>
      <c r="R266" s="20" t="n"/>
      <c r="S266" s="20" t="n"/>
      <c r="T266" s="20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4">
        <f>IFERROR(VLOOKUP($B202,$A$25:$N$54,7,FALSE),"")</f>
        <v/>
      </c>
      <c r="I267" s="15">
        <f>IF($H202="Minor",1,IF($H202="Moderate",2,IF($H202="Major",3,IF($H202="Critical",4,""))))</f>
        <v/>
      </c>
      <c r="J267" s="16" t="n"/>
      <c r="K267" s="16" t="n"/>
      <c r="L267" s="15">
        <f>IF(OR($G202="Exact TP",$G202="Equivalent TP"),1,0)</f>
        <v/>
      </c>
      <c r="M267" s="15">
        <f>IF(OR($G202="FP Extra",$G202="Harmful FP"),1,0)</f>
        <v/>
      </c>
      <c r="N267" s="15">
        <f>IF(OR($G202="FN",$G202="Partial"),1,0)</f>
        <v/>
      </c>
      <c r="O267" s="15">
        <f>IF($L202=1,$I202,0)</f>
        <v/>
      </c>
      <c r="P267" s="15">
        <f>IF($M202=1,$I202,0)</f>
        <v/>
      </c>
      <c r="Q267" s="15">
        <f>IF($N202=1,$I202,0)</f>
        <v/>
      </c>
      <c r="R267" s="20" t="n"/>
      <c r="S267" s="20" t="n"/>
      <c r="T267" s="20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4">
        <f>IFERROR(VLOOKUP($B203,$A$25:$N$54,7,FALSE),"")</f>
        <v/>
      </c>
      <c r="I268" s="15">
        <f>IF($H203="Minor",1,IF($H203="Moderate",2,IF($H203="Major",3,IF($H203="Critical",4,""))))</f>
        <v/>
      </c>
      <c r="J268" s="16" t="n"/>
      <c r="K268" s="16" t="n"/>
      <c r="L268" s="15">
        <f>IF(OR($G203="Exact TP",$G203="Equivalent TP"),1,0)</f>
        <v/>
      </c>
      <c r="M268" s="15">
        <f>IF(OR($G203="FP Extra",$G203="Harmful FP"),1,0)</f>
        <v/>
      </c>
      <c r="N268" s="15">
        <f>IF(OR($G203="FN",$G203="Partial"),1,0)</f>
        <v/>
      </c>
      <c r="O268" s="15">
        <f>IF($L203=1,$I203,0)</f>
        <v/>
      </c>
      <c r="P268" s="15">
        <f>IF($M203=1,$I203,0)</f>
        <v/>
      </c>
      <c r="Q268" s="15">
        <f>IF($N203=1,$I203,0)</f>
        <v/>
      </c>
      <c r="R268" s="20" t="n"/>
      <c r="S268" s="20" t="n"/>
      <c r="T268" s="20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4">
        <f>IFERROR(VLOOKUP($B204,$A$25:$N$54,7,FALSE),"")</f>
        <v/>
      </c>
      <c r="I269" s="15">
        <f>IF($H204="Minor",1,IF($H204="Moderate",2,IF($H204="Major",3,IF($H204="Critical",4,""))))</f>
        <v/>
      </c>
      <c r="J269" s="16" t="n"/>
      <c r="K269" s="16" t="n"/>
      <c r="L269" s="15">
        <f>IF(OR($G204="Exact TP",$G204="Equivalent TP"),1,0)</f>
        <v/>
      </c>
      <c r="M269" s="15">
        <f>IF(OR($G204="FP Extra",$G204="Harmful FP"),1,0)</f>
        <v/>
      </c>
      <c r="N269" s="15">
        <f>IF(OR($G204="FN",$G204="Partial"),1,0)</f>
        <v/>
      </c>
      <c r="O269" s="15">
        <f>IF($L204=1,$I204,0)</f>
        <v/>
      </c>
      <c r="P269" s="15">
        <f>IF($M204=1,$I204,0)</f>
        <v/>
      </c>
      <c r="Q269" s="15">
        <f>IF($N204=1,$I204,0)</f>
        <v/>
      </c>
      <c r="R269" s="20" t="n"/>
      <c r="S269" s="20" t="n"/>
      <c r="T269" s="20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4">
        <f>IFERROR(VLOOKUP($B205,$A$25:$N$54,7,FALSE),"")</f>
        <v/>
      </c>
      <c r="I270" s="15">
        <f>IF($H205="Minor",1,IF($H205="Moderate",2,IF($H205="Major",3,IF($H205="Critical",4,""))))</f>
        <v/>
      </c>
      <c r="J270" s="16" t="n"/>
      <c r="K270" s="16" t="n"/>
      <c r="L270" s="15">
        <f>IF(OR($G205="Exact TP",$G205="Equivalent TP"),1,0)</f>
        <v/>
      </c>
      <c r="M270" s="15">
        <f>IF(OR($G205="FP Extra",$G205="Harmful FP"),1,0)</f>
        <v/>
      </c>
      <c r="N270" s="15">
        <f>IF(OR($G205="FN",$G205="Partial"),1,0)</f>
        <v/>
      </c>
      <c r="O270" s="15">
        <f>IF($L205=1,$I205,0)</f>
        <v/>
      </c>
      <c r="P270" s="15">
        <f>IF($M205=1,$I205,0)</f>
        <v/>
      </c>
      <c r="Q270" s="15">
        <f>IF($N205=1,$I205,0)</f>
        <v/>
      </c>
      <c r="R270" s="20" t="n"/>
      <c r="S270" s="20" t="n"/>
      <c r="T270" s="20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4">
        <f>IFERROR(VLOOKUP($B206,$A$25:$N$54,7,FALSE),"")</f>
        <v/>
      </c>
      <c r="I271" s="15">
        <f>IF($H206="Minor",1,IF($H206="Moderate",2,IF($H206="Major",3,IF($H206="Critical",4,""))))</f>
        <v/>
      </c>
      <c r="J271" s="16" t="n"/>
      <c r="K271" s="16" t="n"/>
      <c r="L271" s="15">
        <f>IF(OR($G206="Exact TP",$G206="Equivalent TP"),1,0)</f>
        <v/>
      </c>
      <c r="M271" s="15">
        <f>IF(OR($G206="FP Extra",$G206="Harmful FP"),1,0)</f>
        <v/>
      </c>
      <c r="N271" s="15">
        <f>IF(OR($G206="FN",$G206="Partial"),1,0)</f>
        <v/>
      </c>
      <c r="O271" s="15">
        <f>IF($L206=1,$I206,0)</f>
        <v/>
      </c>
      <c r="P271" s="15">
        <f>IF($M206=1,$I206,0)</f>
        <v/>
      </c>
      <c r="Q271" s="15">
        <f>IF($N206=1,$I206,0)</f>
        <v/>
      </c>
      <c r="R271" s="20" t="n"/>
      <c r="S271" s="20" t="n"/>
      <c r="T271" s="20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4">
        <f>IFERROR(VLOOKUP($B207,$A$25:$N$54,7,FALSE),"")</f>
        <v/>
      </c>
      <c r="I272" s="15">
        <f>IF($H207="Minor",1,IF($H207="Moderate",2,IF($H207="Major",3,IF($H207="Critical",4,""))))</f>
        <v/>
      </c>
      <c r="J272" s="16" t="n"/>
      <c r="K272" s="16" t="n"/>
      <c r="L272" s="15">
        <f>IF(OR($G207="Exact TP",$G207="Equivalent TP"),1,0)</f>
        <v/>
      </c>
      <c r="M272" s="15">
        <f>IF(OR($G207="FP Extra",$G207="Harmful FP"),1,0)</f>
        <v/>
      </c>
      <c r="N272" s="15">
        <f>IF(OR($G207="FN",$G207="Partial"),1,0)</f>
        <v/>
      </c>
      <c r="O272" s="15">
        <f>IF($L207=1,$I207,0)</f>
        <v/>
      </c>
      <c r="P272" s="15">
        <f>IF($M207=1,$I207,0)</f>
        <v/>
      </c>
      <c r="Q272" s="15">
        <f>IF($N207=1,$I207,0)</f>
        <v/>
      </c>
      <c r="R272" s="20" t="n"/>
      <c r="S272" s="20" t="n"/>
      <c r="T272" s="20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4">
        <f>IFERROR(VLOOKUP($B208,$A$25:$N$54,7,FALSE),"")</f>
        <v/>
      </c>
      <c r="I273" s="15">
        <f>IF($H208="Minor",1,IF($H208="Moderate",2,IF($H208="Major",3,IF($H208="Critical",4,""))))</f>
        <v/>
      </c>
      <c r="J273" s="16" t="n"/>
      <c r="K273" s="16" t="n"/>
      <c r="L273" s="15">
        <f>IF(OR($G208="Exact TP",$G208="Equivalent TP"),1,0)</f>
        <v/>
      </c>
      <c r="M273" s="15">
        <f>IF(OR($G208="FP Extra",$G208="Harmful FP"),1,0)</f>
        <v/>
      </c>
      <c r="N273" s="15">
        <f>IF(OR($G208="FN",$G208="Partial"),1,0)</f>
        <v/>
      </c>
      <c r="O273" s="15">
        <f>IF($L208=1,$I208,0)</f>
        <v/>
      </c>
      <c r="P273" s="15">
        <f>IF($M208=1,$I208,0)</f>
        <v/>
      </c>
      <c r="Q273" s="15">
        <f>IF($N208=1,$I208,0)</f>
        <v/>
      </c>
      <c r="R273" s="20" t="n"/>
      <c r="S273" s="20" t="n"/>
      <c r="T273" s="20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4">
        <f>IFERROR(VLOOKUP($B209,$A$25:$N$54,7,FALSE),"")</f>
        <v/>
      </c>
      <c r="I274" s="15">
        <f>IF($H209="Minor",1,IF($H209="Moderate",2,IF($H209="Major",3,IF($H209="Critical",4,""))))</f>
        <v/>
      </c>
      <c r="J274" s="16" t="n"/>
      <c r="K274" s="16" t="n"/>
      <c r="L274" s="15">
        <f>IF(OR($G209="Exact TP",$G209="Equivalent TP"),1,0)</f>
        <v/>
      </c>
      <c r="M274" s="15">
        <f>IF(OR($G209="FP Extra",$G209="Harmful FP"),1,0)</f>
        <v/>
      </c>
      <c r="N274" s="15">
        <f>IF(OR($G209="FN",$G209="Partial"),1,0)</f>
        <v/>
      </c>
      <c r="O274" s="15">
        <f>IF($L209=1,$I209,0)</f>
        <v/>
      </c>
      <c r="P274" s="15">
        <f>IF($M209=1,$I209,0)</f>
        <v/>
      </c>
      <c r="Q274" s="15">
        <f>IF($N209=1,$I209,0)</f>
        <v/>
      </c>
      <c r="R274" s="20" t="n"/>
      <c r="S274" s="20" t="n"/>
      <c r="T274" s="20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4">
        <f>IFERROR(VLOOKUP($B210,$A$25:$N$54,7,FALSE),"")</f>
        <v/>
      </c>
      <c r="I275" s="15">
        <f>IF($H210="Minor",1,IF($H210="Moderate",2,IF($H210="Major",3,IF($H210="Critical",4,""))))</f>
        <v/>
      </c>
      <c r="J275" s="16" t="n"/>
      <c r="K275" s="16" t="n"/>
      <c r="L275" s="15">
        <f>IF(OR($G210="Exact TP",$G210="Equivalent TP"),1,0)</f>
        <v/>
      </c>
      <c r="M275" s="15">
        <f>IF(OR($G210="FP Extra",$G210="Harmful FP"),1,0)</f>
        <v/>
      </c>
      <c r="N275" s="15">
        <f>IF(OR($G210="FN",$G210="Partial"),1,0)</f>
        <v/>
      </c>
      <c r="O275" s="15">
        <f>IF($L210=1,$I210,0)</f>
        <v/>
      </c>
      <c r="P275" s="15">
        <f>IF($M210=1,$I210,0)</f>
        <v/>
      </c>
      <c r="Q275" s="15">
        <f>IF($N210=1,$I210,0)</f>
        <v/>
      </c>
      <c r="R275" s="20" t="n"/>
      <c r="S275" s="20" t="n"/>
      <c r="T275" s="20" t="n"/>
    </row>
    <row r="276">
      <c r="A276" s="20" t="n"/>
      <c r="B276" s="20" t="n"/>
      <c r="C276" s="21" t="n"/>
      <c r="D276" s="21" t="n"/>
      <c r="E276" s="20" t="n"/>
      <c r="F276" s="21" t="n"/>
      <c r="G276" s="21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</row>
    <row r="277">
      <c r="A277" s="20" t="n"/>
      <c r="B277" s="20" t="n"/>
      <c r="C277" s="21" t="n"/>
      <c r="D277" s="21" t="n"/>
      <c r="E277" s="20" t="n"/>
      <c r="F277" s="21" t="n"/>
      <c r="G277" s="21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</row>
    <row r="278">
      <c r="A278" s="1" t="inlineStr">
        <is>
          <t>7. Behavioral and Quality Evaluation by Treatment</t>
        </is>
      </c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2" t="n"/>
      <c r="Q278" s="20" t="n"/>
      <c r="R278" s="20" t="n"/>
      <c r="S278" s="20" t="n"/>
      <c r="T278" s="20" t="n"/>
    </row>
    <row r="279">
      <c r="A279" s="8" t="inlineStr">
        <is>
          <t>Treatment</t>
        </is>
      </c>
      <c r="B279" s="8" t="inlineStr">
        <is>
          <t>Build Status</t>
        </is>
      </c>
      <c r="C279" s="8" t="inlineStr">
        <is>
          <t>Tests Total</t>
        </is>
      </c>
      <c r="D279" s="8" t="inlineStr">
        <is>
          <t>Tests Passed</t>
        </is>
      </c>
      <c r="E279" s="8" t="inlineStr">
        <is>
          <t>Test Pass Rate</t>
        </is>
      </c>
      <c r="F279" s="8" t="inlineStr">
        <is>
          <t>Behavior Score</t>
        </is>
      </c>
      <c r="G279" s="8" t="inlineStr">
        <is>
          <t>Runtime Issues</t>
        </is>
      </c>
      <c r="H279" s="8" t="inlineStr">
        <is>
          <t>Smells Before</t>
        </is>
      </c>
      <c r="I279" s="8" t="inlineStr">
        <is>
          <t>Smells After</t>
        </is>
      </c>
      <c r="J279" s="8" t="inlineStr">
        <is>
          <t>Smell Red.%</t>
        </is>
      </c>
      <c r="K279" s="8" t="inlineStr">
        <is>
          <t>Complexity Before</t>
        </is>
      </c>
      <c r="L279" s="8" t="inlineStr">
        <is>
          <t>Complexity After</t>
        </is>
      </c>
      <c r="M279" s="8" t="inlineStr">
        <is>
          <t>Complexity Red.%</t>
        </is>
      </c>
      <c r="N279" s="8" t="inlineStr">
        <is>
          <t>MI Before</t>
        </is>
      </c>
      <c r="O279" s="8" t="inlineStr">
        <is>
          <t>MI After</t>
        </is>
      </c>
      <c r="P279" s="8" t="inlineStr">
        <is>
          <t>MI Change</t>
        </is>
      </c>
      <c r="Q279" s="8" t="inlineStr">
        <is>
          <t>Repair Effort (hrs)</t>
        </is>
      </c>
      <c r="R279" s="8" t="inlineStr">
        <is>
          <t>Integration Readiness</t>
        </is>
      </c>
      <c r="S279" s="8" t="inlineStr">
        <is>
          <t>Notes</t>
        </is>
      </c>
      <c r="T279" s="21" t="n"/>
    </row>
    <row r="280">
      <c r="A280" s="6" t="inlineStr">
        <is>
          <t>AI-Assisted</t>
        </is>
      </c>
      <c r="B280" s="12" t="n"/>
      <c r="C280" s="12" t="n"/>
      <c r="D280" s="12" t="n"/>
      <c r="E280" s="17">
        <f>IFERROR(D215/C215,"")</f>
        <v/>
      </c>
      <c r="F280" s="18" t="n"/>
      <c r="G280" s="12" t="n"/>
      <c r="H280" s="12" t="n"/>
      <c r="I280" s="12" t="n"/>
      <c r="J280" s="17">
        <f>IFERROR((H215-I215)/H215,"")</f>
        <v/>
      </c>
      <c r="K280" s="12" t="n"/>
      <c r="L280" s="12" t="n"/>
      <c r="M280" s="17">
        <f>IFERROR((K215-L215)/K215,"")</f>
        <v/>
      </c>
      <c r="N280" s="12" t="n"/>
      <c r="O280" s="12" t="n"/>
      <c r="P280" s="19">
        <f>IFERROR(O215-N215,"")</f>
        <v/>
      </c>
      <c r="Q280" s="18" t="n"/>
      <c r="R280" s="12" t="n"/>
      <c r="S280" s="12" t="n"/>
      <c r="T280" s="20" t="n"/>
    </row>
    <row r="281">
      <c r="A281" s="6" t="inlineStr">
        <is>
          <t>Auto Tool A</t>
        </is>
      </c>
      <c r="B281" s="12" t="n"/>
      <c r="C281" s="12" t="n"/>
      <c r="D281" s="12" t="n"/>
      <c r="E281" s="17">
        <f>IFERROR(D216/C216,"")</f>
        <v/>
      </c>
      <c r="F281" s="18" t="n"/>
      <c r="G281" s="12" t="n"/>
      <c r="H281" s="12" t="n"/>
      <c r="I281" s="12" t="n"/>
      <c r="J281" s="17">
        <f>IFERROR((H216-I216)/H216,"")</f>
        <v/>
      </c>
      <c r="K281" s="12" t="n"/>
      <c r="L281" s="12" t="n"/>
      <c r="M281" s="17">
        <f>IFERROR((K216-L216)/K216,"")</f>
        <v/>
      </c>
      <c r="N281" s="12" t="n"/>
      <c r="O281" s="12" t="n"/>
      <c r="P281" s="19">
        <f>IFERROR(O216-N216,"")</f>
        <v/>
      </c>
      <c r="Q281" s="18" t="n"/>
      <c r="R281" s="12" t="n"/>
      <c r="S281" s="12" t="n"/>
      <c r="T281" s="20" t="n"/>
    </row>
    <row r="282">
      <c r="A282" s="6" t="inlineStr">
        <is>
          <t>Auto Tool B</t>
        </is>
      </c>
      <c r="B282" s="12" t="n"/>
      <c r="C282" s="12" t="n"/>
      <c r="D282" s="12" t="n"/>
      <c r="E282" s="17">
        <f>IFERROR(D217/C217,"")</f>
        <v/>
      </c>
      <c r="F282" s="18" t="n"/>
      <c r="G282" s="12" t="n"/>
      <c r="H282" s="12" t="n"/>
      <c r="I282" s="12" t="n"/>
      <c r="J282" s="17">
        <f>IFERROR((H217-I217)/H217,"")</f>
        <v/>
      </c>
      <c r="K282" s="12" t="n"/>
      <c r="L282" s="12" t="n"/>
      <c r="M282" s="17">
        <f>IFERROR((K217-L217)/K217,"")</f>
        <v/>
      </c>
      <c r="N282" s="12" t="n"/>
      <c r="O282" s="12" t="n"/>
      <c r="P282" s="19">
        <f>IFERROR(O217-N217,"")</f>
        <v/>
      </c>
      <c r="Q282" s="18" t="n"/>
      <c r="R282" s="12" t="n"/>
      <c r="S282" s="12" t="n"/>
      <c r="T282" s="20" t="n"/>
    </row>
    <row r="283">
      <c r="A283" s="6" t="inlineStr">
        <is>
          <t>Auto Tool C</t>
        </is>
      </c>
      <c r="B283" s="12" t="n"/>
      <c r="C283" s="12" t="n"/>
      <c r="D283" s="12" t="n"/>
      <c r="E283" s="17">
        <f>IFERROR(D218/C218,"")</f>
        <v/>
      </c>
      <c r="F283" s="18" t="n"/>
      <c r="G283" s="12" t="n"/>
      <c r="H283" s="12" t="n"/>
      <c r="I283" s="12" t="n"/>
      <c r="J283" s="17">
        <f>IFERROR((H218-I218)/H218,"")</f>
        <v/>
      </c>
      <c r="K283" s="12" t="n"/>
      <c r="L283" s="12" t="n"/>
      <c r="M283" s="17">
        <f>IFERROR((K218-L218)/K218,"")</f>
        <v/>
      </c>
      <c r="N283" s="12" t="n"/>
      <c r="O283" s="12" t="n"/>
      <c r="P283" s="19">
        <f>IFERROR(O218-N218,"")</f>
        <v/>
      </c>
      <c r="Q283" s="18" t="n"/>
      <c r="R283" s="12" t="n"/>
      <c r="S283" s="12" t="n"/>
      <c r="T283" s="20" t="n"/>
    </row>
    <row r="284">
      <c r="A284" s="20" t="n"/>
      <c r="B284" s="20" t="n"/>
      <c r="C284" s="21" t="n"/>
      <c r="D284" s="21" t="n"/>
      <c r="E284" s="20" t="n"/>
      <c r="F284" s="21" t="n"/>
      <c r="G284" s="21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</row>
    <row r="285">
      <c r="A285" s="20" t="n"/>
      <c r="B285" s="20" t="n"/>
      <c r="C285" s="21" t="n"/>
      <c r="D285" s="21" t="n"/>
      <c r="E285" s="20" t="n"/>
      <c r="F285" s="21" t="n"/>
      <c r="G285" s="21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</row>
    <row r="286">
      <c r="A286" s="20" t="n"/>
      <c r="B286" s="20" t="n"/>
      <c r="C286" s="21" t="n"/>
      <c r="D286" s="21" t="n"/>
      <c r="E286" s="20" t="n"/>
      <c r="F286" s="21" t="n"/>
      <c r="G286" s="21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</row>
    <row r="287">
      <c r="A287" s="1" t="inlineStr">
        <is>
          <t>8. Representative Examples / Notes</t>
        </is>
      </c>
      <c r="B287" s="41" t="n"/>
      <c r="C287" s="41" t="n"/>
      <c r="D287" s="41" t="n"/>
      <c r="E287" s="41" t="n"/>
      <c r="F287" s="41" t="n"/>
      <c r="G287" s="41" t="n"/>
      <c r="H287" s="42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</row>
    <row r="288">
      <c r="A288" s="8" t="inlineStr">
        <is>
          <t>Treatment</t>
        </is>
      </c>
      <c r="B288" s="8" t="inlineStr">
        <is>
          <t>RR_ID</t>
        </is>
      </c>
      <c r="C288" s="8" t="inlineStr">
        <is>
          <t>GA_ID</t>
        </is>
      </c>
      <c r="D288" s="8" t="inlineStr">
        <is>
          <t>Short Label</t>
        </is>
      </c>
      <c r="E288" s="8" t="inlineStr">
        <is>
          <t>Why Representative</t>
        </is>
      </c>
      <c r="F288" s="8" t="inlineStr">
        <is>
          <t>Outcome Summary</t>
        </is>
      </c>
      <c r="G288" s="8" t="inlineStr">
        <is>
          <t>Code Pointer / Diff Ref</t>
        </is>
      </c>
      <c r="H288" s="8" t="inlineStr">
        <is>
          <t>Notes</t>
        </is>
      </c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</row>
    <row r="289">
      <c r="A289" s="12" t="n"/>
      <c r="B289" s="13" t="n"/>
      <c r="C289" s="12" t="n"/>
      <c r="D289" s="13" t="n"/>
      <c r="E289" s="12" t="n"/>
      <c r="F289" s="13" t="n"/>
      <c r="G289" s="12" t="n"/>
      <c r="H289" s="13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</row>
    <row r="290">
      <c r="A290" s="12" t="n"/>
      <c r="B290" s="13" t="n"/>
      <c r="C290" s="12" t="n"/>
      <c r="D290" s="13" t="n"/>
      <c r="E290" s="12" t="n"/>
      <c r="F290" s="13" t="n"/>
      <c r="G290" s="12" t="n"/>
      <c r="H290" s="13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</row>
    <row r="291">
      <c r="A291" s="12" t="n"/>
      <c r="B291" s="13" t="n"/>
      <c r="C291" s="12" t="n"/>
      <c r="D291" s="13" t="n"/>
      <c r="E291" s="12" t="n"/>
      <c r="F291" s="13" t="n"/>
      <c r="G291" s="12" t="n"/>
      <c r="H291" s="13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</row>
    <row r="292">
      <c r="A292" s="12" t="n"/>
      <c r="B292" s="13" t="n"/>
      <c r="C292" s="12" t="n"/>
      <c r="D292" s="13" t="n"/>
      <c r="E292" s="12" t="n"/>
      <c r="F292" s="13" t="n"/>
      <c r="G292" s="12" t="n"/>
      <c r="H292" s="13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</row>
    <row r="293">
      <c r="A293" s="12" t="n"/>
      <c r="B293" s="13" t="n"/>
      <c r="C293" s="12" t="n"/>
      <c r="D293" s="13" t="n"/>
      <c r="E293" s="12" t="n"/>
      <c r="F293" s="13" t="n"/>
      <c r="G293" s="12" t="n"/>
      <c r="H293" s="13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</row>
    <row r="294">
      <c r="A294" s="12" t="n"/>
      <c r="B294" s="13" t="n"/>
      <c r="C294" s="12" t="n"/>
      <c r="D294" s="13" t="n"/>
      <c r="E294" s="12" t="n"/>
      <c r="F294" s="13" t="n"/>
      <c r="G294" s="12" t="n"/>
      <c r="H294" s="13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</row>
    <row r="295">
      <c r="A295" s="12" t="n"/>
      <c r="B295" s="13" t="n"/>
      <c r="C295" s="12" t="n"/>
      <c r="D295" s="13" t="n"/>
      <c r="E295" s="12" t="n"/>
      <c r="F295" s="13" t="n"/>
      <c r="G295" s="12" t="n"/>
      <c r="H295" s="13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</row>
  </sheetData>
  <mergeCells count="9">
    <mergeCell ref="A1:T1"/>
    <mergeCell ref="A89:Q89"/>
    <mergeCell ref="H4:T4"/>
    <mergeCell ref="A14:J14"/>
    <mergeCell ref="A57:K57"/>
    <mergeCell ref="A222:H222"/>
    <mergeCell ref="A4:F4"/>
    <mergeCell ref="A23:N23"/>
    <mergeCell ref="A213:P2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0"/>
    <pageSetUpPr/>
  </sheetPr>
  <dimension ref="A1:T230"/>
  <sheetViews>
    <sheetView workbookViewId="0">
      <selection activeCell="A1" sqref="A1"/>
    </sheetView>
  </sheetViews>
  <sheetFormatPr baseColWidth="8" defaultRowHeight="15"/>
  <cols>
    <col width="18.005" bestFit="1" customWidth="1" style="20" min="1" max="1"/>
    <col width="18.005" bestFit="1" customWidth="1" style="20" min="2" max="2"/>
    <col width="24.005" bestFit="1" customWidth="1" style="21" min="3" max="3"/>
    <col width="24.005" bestFit="1" customWidth="1" style="21" min="4" max="4"/>
    <col width="18.005" bestFit="1" customWidth="1" style="20" min="5" max="5"/>
    <col width="18.005" bestFit="1" customWidth="1" style="21" min="6" max="6"/>
    <col width="14.005" bestFit="1" customWidth="1" style="21" min="7" max="7"/>
    <col width="14.005" bestFit="1" customWidth="1" style="20" min="8" max="8"/>
    <col width="14.005" bestFit="1" customWidth="1" style="20" min="9" max="9"/>
    <col width="18.005" bestFit="1" customWidth="1" style="20" min="10" max="10"/>
    <col width="18.005" bestFit="1" customWidth="1" style="20" min="11" max="11"/>
    <col width="14.005" bestFit="1" customWidth="1" style="20" min="12" max="12"/>
    <col width="14.005" bestFit="1" customWidth="1" style="20" min="13" max="13"/>
    <col width="18.005" bestFit="1" customWidth="1" style="20" min="14" max="14"/>
    <col width="14.005" bestFit="1" customWidth="1" style="20" min="15" max="15"/>
    <col width="14.005" bestFit="1" customWidth="1" style="20" min="16" max="16"/>
    <col width="14.005" bestFit="1" customWidth="1" style="20" min="17" max="17"/>
    <col width="14.005" bestFit="1" customWidth="1" style="20" min="18" max="18"/>
    <col width="14.005" bestFit="1" customWidth="1" style="20" min="19" max="19"/>
    <col width="14.005" bestFit="1" customWidth="1" style="20" min="20" max="20"/>
  </cols>
  <sheetData>
    <row r="1" ht="18.75" customHeight="1">
      <c r="A1" s="1" t="inlineStr">
        <is>
          <t>Module_M3 — Data Collection Sheet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18.75" customFormat="1" customHeight="1" s="4">
      <c r="A2" s="5" t="inlineStr">
        <is>
          <t>Blue-font cells are for input. Black-font cells contain formulas. Replace placeholders only where appropriate.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ht="18.75" customHeight="1">
      <c r="A3" s="20" t="n"/>
      <c r="B3" s="20" t="n"/>
      <c r="C3" s="21" t="n"/>
      <c r="D3" s="21" t="n"/>
      <c r="E3" s="20" t="n"/>
      <c r="F3" s="21" t="n"/>
      <c r="G3" s="21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8.75" customHeight="1">
      <c r="A4" s="1" t="inlineStr">
        <is>
          <t>1. Module Metadata</t>
        </is>
      </c>
      <c r="B4" s="41" t="n"/>
      <c r="C4" s="41" t="n"/>
      <c r="D4" s="41" t="n"/>
      <c r="E4" s="41" t="n"/>
      <c r="F4" s="42" t="n"/>
      <c r="G4" s="21" t="n"/>
      <c r="H4" s="1" t="inlineStr">
        <is>
          <t>2. Auto-Calculated Summary by Treatment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2" t="n"/>
    </row>
    <row r="5" ht="18.75" customHeight="1">
      <c r="A5" s="6" t="inlineStr">
        <is>
          <t>Module ID</t>
        </is>
      </c>
      <c r="B5" s="7" t="inlineStr">
        <is>
          <t>M3</t>
        </is>
      </c>
      <c r="C5" s="21" t="n"/>
      <c r="D5" s="21" t="n"/>
      <c r="E5" s="20" t="n"/>
      <c r="F5" s="21" t="n"/>
      <c r="G5" s="21" t="n"/>
      <c r="H5" s="8" t="inlineStr">
        <is>
          <t>Treatment</t>
        </is>
      </c>
      <c r="I5" s="8" t="inlineStr">
        <is>
          <t>TP</t>
        </is>
      </c>
      <c r="J5" s="8" t="inlineStr">
        <is>
          <t>Partial</t>
        </is>
      </c>
      <c r="K5" s="8" t="inlineStr">
        <is>
          <t>FP</t>
        </is>
      </c>
      <c r="L5" s="8" t="inlineStr">
        <is>
          <t>FN</t>
        </is>
      </c>
      <c r="M5" s="8" t="inlineStr">
        <is>
          <t>Precision</t>
        </is>
      </c>
      <c r="N5" s="8" t="inlineStr">
        <is>
          <t>Recall</t>
        </is>
      </c>
      <c r="O5" s="8" t="inlineStr">
        <is>
          <t>F1</t>
        </is>
      </c>
      <c r="P5" s="8" t="inlineStr">
        <is>
          <t>Weighted F1</t>
        </is>
      </c>
      <c r="Q5" s="8" t="inlineStr">
        <is>
          <t>Behavior Score</t>
        </is>
      </c>
      <c r="R5" s="8" t="inlineStr">
        <is>
          <t>Smell Red.%</t>
        </is>
      </c>
      <c r="S5" s="8" t="inlineStr">
        <is>
          <t>Integration</t>
        </is>
      </c>
      <c r="T5" s="20" t="n"/>
    </row>
    <row r="6" ht="18.75" customHeight="1">
      <c r="A6" s="6" t="inlineStr">
        <is>
          <t>Module Name</t>
        </is>
      </c>
      <c r="B6" s="7" t="n"/>
      <c r="C6" s="21" t="n"/>
      <c r="D6" s="21" t="n"/>
      <c r="E6" s="20" t="n"/>
      <c r="F6" s="21" t="n"/>
      <c r="G6" s="21" t="n"/>
      <c r="H6" s="6" t="inlineStr">
        <is>
          <t>AI-Assisted</t>
        </is>
      </c>
      <c r="I6" s="9">
        <f>SUMIFS($L$89:$L$210,$A$89:$A$210,$H6)</f>
        <v/>
      </c>
      <c r="J6" s="9">
        <f>COUNTIFS($A$89:$A$210,$H6,$G$89:$G$210,"Partial")</f>
        <v/>
      </c>
      <c r="K6" s="9">
        <f>SUMIFS($M$89:$M$210,$A$89:$A$210,$H6)</f>
        <v/>
      </c>
      <c r="L6" s="9">
        <f>SUMIFS($N$89:$N$210,$A$89:$A$210,$H6)</f>
        <v/>
      </c>
      <c r="M6" s="10">
        <f>IFERROR(I6/(I6+K6),"")</f>
        <v/>
      </c>
      <c r="N6" s="10">
        <f>IFERROR(I6/(I6+L6),"")</f>
        <v/>
      </c>
      <c r="O6" s="10">
        <f>IFERROR(2*M6*N6/(M6+N6),"")</f>
        <v/>
      </c>
      <c r="P6" s="10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9">
        <f>IFERROR(INDEX($F$215:$F$218,MATCH($H6,$A$215:$A$218,0)),"")</f>
        <v/>
      </c>
      <c r="R6" s="10">
        <f>IFERROR(INDEX($J$215:$J$218,MATCH($H6,$A$215:$A$218,0)),"")</f>
        <v/>
      </c>
      <c r="S6" s="11">
        <f>IFERROR(INDEX($R$215:$R$218,MATCH($H6,$A$215:$A$218,0)),"")</f>
        <v/>
      </c>
      <c r="T6" s="20" t="n"/>
    </row>
    <row r="7" ht="18.75" customHeight="1">
      <c r="A7" s="6" t="inlineStr">
        <is>
          <t>Functional Area</t>
        </is>
      </c>
      <c r="B7" s="7" t="n"/>
      <c r="C7" s="21" t="n"/>
      <c r="D7" s="21" t="n"/>
      <c r="E7" s="20" t="n"/>
      <c r="F7" s="21" t="n"/>
      <c r="G7" s="21" t="n"/>
      <c r="H7" s="6" t="inlineStr">
        <is>
          <t>Auto Tool A</t>
        </is>
      </c>
      <c r="I7" s="9">
        <f>SUMIFS($L$89:$L$210,$A$89:$A$210,$H7)</f>
        <v/>
      </c>
      <c r="J7" s="9">
        <f>COUNTIFS($A$89:$A$210,$H7,$G$89:$G$210,"Partial")</f>
        <v/>
      </c>
      <c r="K7" s="9">
        <f>SUMIFS($M$89:$M$210,$A$89:$A$210,$H7)</f>
        <v/>
      </c>
      <c r="L7" s="9">
        <f>SUMIFS($N$89:$N$210,$A$89:$A$210,$H7)</f>
        <v/>
      </c>
      <c r="M7" s="10">
        <f>IFERROR(I7/(I7+K7),"")</f>
        <v/>
      </c>
      <c r="N7" s="10">
        <f>IFERROR(I7/(I7+L7),"")</f>
        <v/>
      </c>
      <c r="O7" s="10">
        <f>IFERROR(2*M7*N7/(M7+N7),"")</f>
        <v/>
      </c>
      <c r="P7" s="10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9">
        <f>IFERROR(INDEX($F$215:$F$218,MATCH($H7,$A$215:$A$218,0)),"")</f>
        <v/>
      </c>
      <c r="R7" s="10">
        <f>IFERROR(INDEX($J$215:$J$218,MATCH($H7,$A$215:$A$218,0)),"")</f>
        <v/>
      </c>
      <c r="S7" s="11">
        <f>IFERROR(INDEX($R$215:$R$218,MATCH($H7,$A$215:$A$218,0)),"")</f>
        <v/>
      </c>
      <c r="T7" s="20" t="n"/>
    </row>
    <row r="8" ht="18.75" customHeight="1">
      <c r="A8" s="6" t="inlineStr">
        <is>
          <t>Complexity Level</t>
        </is>
      </c>
      <c r="B8" s="7" t="n"/>
      <c r="C8" s="21" t="n"/>
      <c r="D8" s="21" t="n"/>
      <c r="E8" s="20" t="n"/>
      <c r="F8" s="21" t="n"/>
      <c r="G8" s="21" t="n"/>
      <c r="H8" s="6" t="inlineStr">
        <is>
          <t>Auto Tool B</t>
        </is>
      </c>
      <c r="I8" s="9">
        <f>SUMIFS($L$89:$L$210,$A$89:$A$210,$H8)</f>
        <v/>
      </c>
      <c r="J8" s="9">
        <f>COUNTIFS($A$89:$A$210,$H8,$G$89:$G$210,"Partial")</f>
        <v/>
      </c>
      <c r="K8" s="9">
        <f>SUMIFS($M$89:$M$210,$A$89:$A$210,$H8)</f>
        <v/>
      </c>
      <c r="L8" s="9">
        <f>SUMIFS($N$89:$N$210,$A$89:$A$210,$H8)</f>
        <v/>
      </c>
      <c r="M8" s="10">
        <f>IFERROR(I8/(I8+K8),"")</f>
        <v/>
      </c>
      <c r="N8" s="10">
        <f>IFERROR(I8/(I8+L8),"")</f>
        <v/>
      </c>
      <c r="O8" s="10">
        <f>IFERROR(2*M8*N8/(M8+N8),"")</f>
        <v/>
      </c>
      <c r="P8" s="10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9">
        <f>IFERROR(INDEX($F$215:$F$218,MATCH($H8,$A$215:$A$218,0)),"")</f>
        <v/>
      </c>
      <c r="R8" s="10">
        <f>IFERROR(INDEX($J$215:$J$218,MATCH($H8,$A$215:$A$218,0)),"")</f>
        <v/>
      </c>
      <c r="S8" s="11">
        <f>IFERROR(INDEX($R$215:$R$218,MATCH($H8,$A$215:$A$218,0)),"")</f>
        <v/>
      </c>
      <c r="T8" s="20" t="n"/>
    </row>
    <row r="9" ht="18.75" customHeight="1">
      <c r="A9" s="6" t="inlineStr">
        <is>
          <t>Approx. LOC</t>
        </is>
      </c>
      <c r="B9" s="7" t="n"/>
      <c r="C9" s="21" t="n"/>
      <c r="D9" s="21" t="n"/>
      <c r="E9" s="20" t="n"/>
      <c r="F9" s="21" t="n"/>
      <c r="G9" s="21" t="n"/>
      <c r="H9" s="6" t="inlineStr">
        <is>
          <t>Auto Tool C</t>
        </is>
      </c>
      <c r="I9" s="9">
        <f>SUMIFS($L$89:$L$210,$A$89:$A$210,$H9)</f>
        <v/>
      </c>
      <c r="J9" s="9">
        <f>COUNTIFS($A$89:$A$210,$H9,$G$89:$G$210,"Partial")</f>
        <v/>
      </c>
      <c r="K9" s="9">
        <f>SUMIFS($M$89:$M$210,$A$89:$A$210,$H9)</f>
        <v/>
      </c>
      <c r="L9" s="9">
        <f>SUMIFS($N$89:$N$210,$A$89:$A$210,$H9)</f>
        <v/>
      </c>
      <c r="M9" s="10">
        <f>IFERROR(I9/(I9+K9),"")</f>
        <v/>
      </c>
      <c r="N9" s="10">
        <f>IFERROR(I9/(I9+L9),"")</f>
        <v/>
      </c>
      <c r="O9" s="10">
        <f>IFERROR(2*M9*N9/(M9+N9),"")</f>
        <v/>
      </c>
      <c r="P9" s="10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9">
        <f>IFERROR(INDEX($F$215:$F$218,MATCH($H9,$A$215:$A$218,0)),"")</f>
        <v/>
      </c>
      <c r="R9" s="10">
        <f>IFERROR(INDEX($J$215:$J$218,MATCH($H9,$A$215:$A$218,0)),"")</f>
        <v/>
      </c>
      <c r="S9" s="11">
        <f>IFERROR(INDEX($R$215:$R$218,MATCH($H9,$A$215:$A$218,0)),"")</f>
        <v/>
      </c>
      <c r="T9" s="20" t="n"/>
    </row>
    <row r="10" ht="18.75" customHeight="1">
      <c r="A10" s="6" t="inlineStr">
        <is>
          <t>Python Files</t>
        </is>
      </c>
      <c r="B10" s="7" t="n"/>
      <c r="C10" s="21" t="n"/>
      <c r="D10" s="21" t="n"/>
      <c r="E10" s="20" t="n"/>
      <c r="F10" s="21" t="n"/>
      <c r="G10" s="21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8.75" customHeight="1">
      <c r="A11" s="6" t="inlineStr">
        <is>
          <t>Initial Smell Count</t>
        </is>
      </c>
      <c r="B11" s="7" t="n"/>
      <c r="C11" s="21" t="n"/>
      <c r="D11" s="21" t="n"/>
      <c r="E11" s="20" t="n"/>
      <c r="F11" s="21" t="n"/>
      <c r="G11" s="21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18.75" customHeight="1">
      <c r="A12" s="6" t="inlineStr">
        <is>
          <t>Evaluator(s)</t>
        </is>
      </c>
      <c r="B12" s="7" t="n"/>
      <c r="C12" s="21" t="n"/>
      <c r="D12" s="21" t="n"/>
      <c r="E12" s="20" t="n"/>
      <c r="F12" s="21" t="n"/>
      <c r="G12" s="21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8.75" customHeight="1">
      <c r="A13" s="20" t="n"/>
      <c r="B13" s="20" t="n"/>
      <c r="C13" s="21" t="n"/>
      <c r="D13" s="21" t="n"/>
      <c r="E13" s="20" t="n"/>
      <c r="F13" s="21" t="n"/>
      <c r="G13" s="21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18.75" customHeight="1">
      <c r="A14" s="1" t="inlineStr">
        <is>
          <t>3. Treatment Run Log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8.75" customFormat="1" customHeight="1" s="4">
      <c r="A15" s="8" t="inlineStr">
        <is>
          <t>Treatment</t>
        </is>
      </c>
      <c r="B15" s="8" t="inlineStr">
        <is>
          <t>Tool / Workflow</t>
        </is>
      </c>
      <c r="C15" s="8" t="inlineStr">
        <is>
          <t>Model Version</t>
        </is>
      </c>
      <c r="D15" s="8" t="inlineStr">
        <is>
          <t>Prompt Template</t>
        </is>
      </c>
      <c r="E15" s="8" t="inlineStr">
        <is>
          <t>Run Date</t>
        </is>
      </c>
      <c r="F15" s="8" t="inlineStr">
        <is>
          <t>Human Iterations</t>
        </is>
      </c>
      <c r="G15" s="8" t="inlineStr">
        <is>
          <t>Output ID</t>
        </is>
      </c>
      <c r="H15" s="8" t="inlineStr">
        <is>
          <t>Files Changed</t>
        </is>
      </c>
      <c r="I15" s="8" t="inlineStr">
        <is>
          <t>LOC Changed</t>
        </is>
      </c>
      <c r="J15" s="8" t="inlineStr">
        <is>
          <t>Build Status</t>
        </is>
      </c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8.75" customHeight="1">
      <c r="A16" s="6" t="inlineStr">
        <is>
          <t>AI-Assisted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8.75" customHeight="1">
      <c r="A17" s="6" t="inlineStr">
        <is>
          <t>Auto Tool 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8.75" customHeight="1">
      <c r="A18" s="6" t="inlineStr">
        <is>
          <t>Auto Tool B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8.75" customHeight="1">
      <c r="A19" s="6" t="inlineStr">
        <is>
          <t>Auto Tool C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.75" customHeight="1">
      <c r="A20" s="20" t="n"/>
      <c r="B20" s="20" t="n"/>
      <c r="C20" s="21" t="n"/>
      <c r="D20" s="21" t="n"/>
      <c r="E20" s="20" t="n"/>
      <c r="F20" s="21" t="n"/>
      <c r="G20" s="21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8.75" customHeight="1">
      <c r="A21" s="20" t="n"/>
      <c r="B21" s="20" t="n"/>
      <c r="C21" s="21" t="n"/>
      <c r="D21" s="21" t="n"/>
      <c r="E21" s="20" t="n"/>
      <c r="F21" s="21" t="n"/>
      <c r="G21" s="2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.75" customHeight="1">
      <c r="A22" s="20" t="n"/>
      <c r="B22" s="20" t="n"/>
      <c r="C22" s="21" t="n"/>
      <c r="D22" s="21" t="n"/>
      <c r="E22" s="20" t="n"/>
      <c r="F22" s="21" t="n"/>
      <c r="G22" s="21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18.75" customHeight="1">
      <c r="A23" s="1" t="inlineStr">
        <is>
          <t>4. Reference Refactoring Registry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  <c r="O23" s="20" t="n"/>
      <c r="P23" s="20" t="n"/>
      <c r="Q23" s="20" t="n"/>
      <c r="R23" s="20" t="n"/>
      <c r="S23" s="20" t="n"/>
      <c r="T23" s="20" t="n"/>
    </row>
    <row r="24" ht="18.75" customFormat="1" customHeight="1" s="4">
      <c r="A24" s="8" t="inlineStr">
        <is>
          <t>RR_ID</t>
        </is>
      </c>
      <c r="B24" s="8" t="inlineStr">
        <is>
          <t>Location</t>
        </is>
      </c>
      <c r="C24" s="8" t="inlineStr">
        <is>
          <t>Issue Description</t>
        </is>
      </c>
      <c r="D24" s="8" t="inlineStr">
        <is>
          <t>Issue Type</t>
        </is>
      </c>
      <c r="E24" s="8" t="inlineStr">
        <is>
          <t>Refactoring Type</t>
        </is>
      </c>
      <c r="F24" s="8" t="inlineStr">
        <is>
          <t>Intent</t>
        </is>
      </c>
      <c r="G24" s="8" t="inlineStr">
        <is>
          <t>Severity</t>
        </is>
      </c>
      <c r="H24" s="8" t="inlineStr">
        <is>
          <t>Granularity</t>
        </is>
      </c>
      <c r="I24" s="8" t="inlineStr">
        <is>
          <t>Dependency Scope</t>
        </is>
      </c>
      <c r="J24" s="8" t="inlineStr">
        <is>
          <t>Behavioral Risk</t>
        </is>
      </c>
      <c r="K24" s="8" t="inlineStr">
        <is>
          <t>Context Dependence</t>
        </is>
      </c>
      <c r="L24" s="8" t="inlineStr">
        <is>
          <t>Mandatory?</t>
        </is>
      </c>
      <c r="M24" s="8" t="inlineStr">
        <is>
          <t>Acceptable Alternatives</t>
        </is>
      </c>
      <c r="N24" s="8" t="inlineStr">
        <is>
          <t>Notes</t>
        </is>
      </c>
      <c r="O24" s="21" t="n"/>
      <c r="P24" s="21" t="n"/>
      <c r="Q24" s="21" t="n"/>
      <c r="R24" s="21" t="n"/>
      <c r="S24" s="21" t="n"/>
      <c r="T24" s="21" t="n"/>
    </row>
    <row r="25" ht="18.75" customFormat="1" customHeight="1" s="4">
      <c r="A25" s="12" t="n"/>
      <c r="B25" s="13" t="n"/>
      <c r="C25" s="12" t="n"/>
      <c r="D25" s="13" t="n"/>
      <c r="E25" s="12" t="n"/>
      <c r="F25" s="13" t="n"/>
      <c r="G25" s="12" t="n"/>
      <c r="H25" s="13" t="n"/>
      <c r="I25" s="12" t="n"/>
      <c r="J25" s="13" t="n"/>
      <c r="K25" s="12" t="n"/>
      <c r="L25" s="13" t="n"/>
      <c r="M25" s="12" t="n"/>
      <c r="N25" s="13" t="n"/>
      <c r="O25" s="21" t="n"/>
      <c r="P25" s="21" t="n"/>
      <c r="Q25" s="21" t="n"/>
      <c r="R25" s="21" t="n"/>
      <c r="S25" s="21" t="n"/>
      <c r="T25" s="21" t="n"/>
    </row>
    <row r="26" ht="18.75" customFormat="1" customHeight="1" s="4">
      <c r="A26" s="12" t="n"/>
      <c r="B26" s="13" t="n"/>
      <c r="C26" s="12" t="n"/>
      <c r="D26" s="13" t="n"/>
      <c r="E26" s="12" t="n"/>
      <c r="F26" s="13" t="n"/>
      <c r="G26" s="12" t="n"/>
      <c r="H26" s="13" t="n"/>
      <c r="I26" s="12" t="n"/>
      <c r="J26" s="13" t="n"/>
      <c r="K26" s="12" t="n"/>
      <c r="L26" s="13" t="n"/>
      <c r="M26" s="12" t="n"/>
      <c r="N26" s="13" t="n"/>
      <c r="O26" s="21" t="n"/>
      <c r="P26" s="21" t="n"/>
      <c r="Q26" s="21" t="n"/>
      <c r="R26" s="21" t="n"/>
      <c r="S26" s="21" t="n"/>
      <c r="T26" s="21" t="n"/>
    </row>
    <row r="27" ht="18.75" customFormat="1" customHeight="1" s="4">
      <c r="A27" s="12" t="n"/>
      <c r="B27" s="13" t="n"/>
      <c r="C27" s="12" t="n"/>
      <c r="D27" s="13" t="n"/>
      <c r="E27" s="12" t="n"/>
      <c r="F27" s="13" t="n"/>
      <c r="G27" s="12" t="n"/>
      <c r="H27" s="13" t="n"/>
      <c r="I27" s="12" t="n"/>
      <c r="J27" s="13" t="n"/>
      <c r="K27" s="12" t="n"/>
      <c r="L27" s="13" t="n"/>
      <c r="M27" s="12" t="n"/>
      <c r="N27" s="13" t="n"/>
      <c r="O27" s="21" t="n"/>
      <c r="P27" s="21" t="n"/>
      <c r="Q27" s="21" t="n"/>
      <c r="R27" s="21" t="n"/>
      <c r="S27" s="21" t="n"/>
      <c r="T27" s="21" t="n"/>
    </row>
    <row r="28" ht="18.75" customFormat="1" customHeight="1" s="4">
      <c r="A28" s="12" t="n"/>
      <c r="B28" s="13" t="n"/>
      <c r="C28" s="12" t="n"/>
      <c r="D28" s="13" t="n"/>
      <c r="E28" s="12" t="n"/>
      <c r="F28" s="13" t="n"/>
      <c r="G28" s="12" t="n"/>
      <c r="H28" s="13" t="n"/>
      <c r="I28" s="12" t="n"/>
      <c r="J28" s="13" t="n"/>
      <c r="K28" s="12" t="n"/>
      <c r="L28" s="13" t="n"/>
      <c r="M28" s="12" t="n"/>
      <c r="N28" s="13" t="n"/>
      <c r="O28" s="21" t="n"/>
      <c r="P28" s="21" t="n"/>
      <c r="Q28" s="21" t="n"/>
      <c r="R28" s="21" t="n"/>
      <c r="S28" s="21" t="n"/>
      <c r="T28" s="21" t="n"/>
    </row>
    <row r="29" ht="18.75" customFormat="1" customHeight="1" s="4">
      <c r="A29" s="12" t="n"/>
      <c r="B29" s="13" t="n"/>
      <c r="C29" s="12" t="n"/>
      <c r="D29" s="13" t="n"/>
      <c r="E29" s="12" t="n"/>
      <c r="F29" s="13" t="n"/>
      <c r="G29" s="12" t="n"/>
      <c r="H29" s="13" t="n"/>
      <c r="I29" s="12" t="n"/>
      <c r="J29" s="13" t="n"/>
      <c r="K29" s="12" t="n"/>
      <c r="L29" s="13" t="n"/>
      <c r="M29" s="12" t="n"/>
      <c r="N29" s="13" t="n"/>
      <c r="O29" s="21" t="n"/>
      <c r="P29" s="21" t="n"/>
      <c r="Q29" s="21" t="n"/>
      <c r="R29" s="21" t="n"/>
      <c r="S29" s="21" t="n"/>
      <c r="T29" s="21" t="n"/>
    </row>
    <row r="30" ht="18.75" customFormat="1" customHeight="1" s="4">
      <c r="A30" s="12" t="n"/>
      <c r="B30" s="13" t="n"/>
      <c r="C30" s="12" t="n"/>
      <c r="D30" s="13" t="n"/>
      <c r="E30" s="12" t="n"/>
      <c r="F30" s="13" t="n"/>
      <c r="G30" s="12" t="n"/>
      <c r="H30" s="13" t="n"/>
      <c r="I30" s="12" t="n"/>
      <c r="J30" s="13" t="n"/>
      <c r="K30" s="12" t="n"/>
      <c r="L30" s="13" t="n"/>
      <c r="M30" s="12" t="n"/>
      <c r="N30" s="13" t="n"/>
      <c r="O30" s="21" t="n"/>
      <c r="P30" s="21" t="n"/>
      <c r="Q30" s="21" t="n"/>
      <c r="R30" s="21" t="n"/>
      <c r="S30" s="21" t="n"/>
      <c r="T30" s="21" t="n"/>
    </row>
    <row r="31" ht="18.75" customFormat="1" customHeight="1" s="4">
      <c r="A31" s="12" t="n"/>
      <c r="B31" s="13" t="n"/>
      <c r="C31" s="12" t="n"/>
      <c r="D31" s="13" t="n"/>
      <c r="E31" s="12" t="n"/>
      <c r="F31" s="13" t="n"/>
      <c r="G31" s="12" t="n"/>
      <c r="H31" s="13" t="n"/>
      <c r="I31" s="12" t="n"/>
      <c r="J31" s="13" t="n"/>
      <c r="K31" s="12" t="n"/>
      <c r="L31" s="13" t="n"/>
      <c r="M31" s="12" t="n"/>
      <c r="N31" s="13" t="n"/>
      <c r="O31" s="21" t="n"/>
      <c r="P31" s="21" t="n"/>
      <c r="Q31" s="21" t="n"/>
      <c r="R31" s="21" t="n"/>
      <c r="S31" s="21" t="n"/>
      <c r="T31" s="21" t="n"/>
    </row>
    <row r="32" ht="18.75" customFormat="1" customHeight="1" s="4">
      <c r="A32" s="12" t="n"/>
      <c r="B32" s="13" t="n"/>
      <c r="C32" s="12" t="n"/>
      <c r="D32" s="13" t="n"/>
      <c r="E32" s="12" t="n"/>
      <c r="F32" s="13" t="n"/>
      <c r="G32" s="12" t="n"/>
      <c r="H32" s="13" t="n"/>
      <c r="I32" s="12" t="n"/>
      <c r="J32" s="13" t="n"/>
      <c r="K32" s="12" t="n"/>
      <c r="L32" s="13" t="n"/>
      <c r="M32" s="12" t="n"/>
      <c r="N32" s="13" t="n"/>
      <c r="O32" s="21" t="n"/>
      <c r="P32" s="21" t="n"/>
      <c r="Q32" s="21" t="n"/>
      <c r="R32" s="21" t="n"/>
      <c r="S32" s="21" t="n"/>
      <c r="T32" s="21" t="n"/>
    </row>
    <row r="33" ht="18.75" customFormat="1" customHeight="1" s="4">
      <c r="A33" s="12" t="n"/>
      <c r="B33" s="13" t="n"/>
      <c r="C33" s="12" t="n"/>
      <c r="D33" s="13" t="n"/>
      <c r="E33" s="12" t="n"/>
      <c r="F33" s="13" t="n"/>
      <c r="G33" s="12" t="n"/>
      <c r="H33" s="13" t="n"/>
      <c r="I33" s="12" t="n"/>
      <c r="J33" s="13" t="n"/>
      <c r="K33" s="12" t="n"/>
      <c r="L33" s="13" t="n"/>
      <c r="M33" s="12" t="n"/>
      <c r="N33" s="13" t="n"/>
      <c r="O33" s="21" t="n"/>
      <c r="P33" s="21" t="n"/>
      <c r="Q33" s="21" t="n"/>
      <c r="R33" s="21" t="n"/>
      <c r="S33" s="21" t="n"/>
      <c r="T33" s="21" t="n"/>
    </row>
    <row r="34" ht="18.75" customFormat="1" customHeight="1" s="4">
      <c r="A34" s="12" t="n"/>
      <c r="B34" s="13" t="n"/>
      <c r="C34" s="12" t="n"/>
      <c r="D34" s="13" t="n"/>
      <c r="E34" s="12" t="n"/>
      <c r="F34" s="13" t="n"/>
      <c r="G34" s="12" t="n"/>
      <c r="H34" s="13" t="n"/>
      <c r="I34" s="12" t="n"/>
      <c r="J34" s="13" t="n"/>
      <c r="K34" s="12" t="n"/>
      <c r="L34" s="13" t="n"/>
      <c r="M34" s="12" t="n"/>
      <c r="N34" s="13" t="n"/>
      <c r="O34" s="21" t="n"/>
      <c r="P34" s="21" t="n"/>
      <c r="Q34" s="21" t="n"/>
      <c r="R34" s="21" t="n"/>
      <c r="S34" s="21" t="n"/>
      <c r="T34" s="21" t="n"/>
    </row>
    <row r="35" ht="18.75" customFormat="1" customHeight="1" s="4">
      <c r="A35" s="12" t="n"/>
      <c r="B35" s="13" t="n"/>
      <c r="C35" s="12" t="n"/>
      <c r="D35" s="13" t="n"/>
      <c r="E35" s="12" t="n"/>
      <c r="F35" s="13" t="n"/>
      <c r="G35" s="12" t="n"/>
      <c r="H35" s="13" t="n"/>
      <c r="I35" s="12" t="n"/>
      <c r="J35" s="13" t="n"/>
      <c r="K35" s="12" t="n"/>
      <c r="L35" s="13" t="n"/>
      <c r="M35" s="12" t="n"/>
      <c r="N35" s="13" t="n"/>
      <c r="O35" s="21" t="n"/>
      <c r="P35" s="21" t="n"/>
      <c r="Q35" s="21" t="n"/>
      <c r="R35" s="21" t="n"/>
      <c r="S35" s="21" t="n"/>
      <c r="T35" s="21" t="n"/>
    </row>
    <row r="36" ht="18.75" customFormat="1" customHeight="1" s="4">
      <c r="A36" s="12" t="n"/>
      <c r="B36" s="13" t="n"/>
      <c r="C36" s="12" t="n"/>
      <c r="D36" s="13" t="n"/>
      <c r="E36" s="12" t="n"/>
      <c r="F36" s="13" t="n"/>
      <c r="G36" s="12" t="n"/>
      <c r="H36" s="13" t="n"/>
      <c r="I36" s="12" t="n"/>
      <c r="J36" s="13" t="n"/>
      <c r="K36" s="12" t="n"/>
      <c r="L36" s="13" t="n"/>
      <c r="M36" s="12" t="n"/>
      <c r="N36" s="13" t="n"/>
      <c r="O36" s="21" t="n"/>
      <c r="P36" s="21" t="n"/>
      <c r="Q36" s="21" t="n"/>
      <c r="R36" s="21" t="n"/>
      <c r="S36" s="21" t="n"/>
      <c r="T36" s="21" t="n"/>
    </row>
    <row r="37" ht="18.75" customFormat="1" customHeight="1" s="4">
      <c r="A37" s="12" t="n"/>
      <c r="B37" s="13" t="n"/>
      <c r="C37" s="12" t="n"/>
      <c r="D37" s="13" t="n"/>
      <c r="E37" s="12" t="n"/>
      <c r="F37" s="13" t="n"/>
      <c r="G37" s="12" t="n"/>
      <c r="H37" s="13" t="n"/>
      <c r="I37" s="12" t="n"/>
      <c r="J37" s="13" t="n"/>
      <c r="K37" s="12" t="n"/>
      <c r="L37" s="13" t="n"/>
      <c r="M37" s="12" t="n"/>
      <c r="N37" s="13" t="n"/>
      <c r="O37" s="21" t="n"/>
      <c r="P37" s="21" t="n"/>
      <c r="Q37" s="21" t="n"/>
      <c r="R37" s="21" t="n"/>
      <c r="S37" s="21" t="n"/>
      <c r="T37" s="21" t="n"/>
    </row>
    <row r="38" ht="18.75" customFormat="1" customHeight="1" s="4">
      <c r="A38" s="12" t="n"/>
      <c r="B38" s="13" t="n"/>
      <c r="C38" s="12" t="n"/>
      <c r="D38" s="13" t="n"/>
      <c r="E38" s="12" t="n"/>
      <c r="F38" s="13" t="n"/>
      <c r="G38" s="12" t="n"/>
      <c r="H38" s="13" t="n"/>
      <c r="I38" s="12" t="n"/>
      <c r="J38" s="13" t="n"/>
      <c r="K38" s="12" t="n"/>
      <c r="L38" s="13" t="n"/>
      <c r="M38" s="12" t="n"/>
      <c r="N38" s="13" t="n"/>
      <c r="O38" s="21" t="n"/>
      <c r="P38" s="21" t="n"/>
      <c r="Q38" s="21" t="n"/>
      <c r="R38" s="21" t="n"/>
      <c r="S38" s="21" t="n"/>
      <c r="T38" s="21" t="n"/>
    </row>
    <row r="39" ht="18.75" customFormat="1" customHeight="1" s="4">
      <c r="A39" s="12" t="n"/>
      <c r="B39" s="13" t="n"/>
      <c r="C39" s="12" t="n"/>
      <c r="D39" s="13" t="n"/>
      <c r="E39" s="12" t="n"/>
      <c r="F39" s="13" t="n"/>
      <c r="G39" s="12" t="n"/>
      <c r="H39" s="13" t="n"/>
      <c r="I39" s="12" t="n"/>
      <c r="J39" s="13" t="n"/>
      <c r="K39" s="12" t="n"/>
      <c r="L39" s="13" t="n"/>
      <c r="M39" s="12" t="n"/>
      <c r="N39" s="13" t="n"/>
      <c r="O39" s="21" t="n"/>
      <c r="P39" s="21" t="n"/>
      <c r="Q39" s="21" t="n"/>
      <c r="R39" s="21" t="n"/>
      <c r="S39" s="21" t="n"/>
      <c r="T39" s="21" t="n"/>
    </row>
    <row r="40" ht="18.75" customFormat="1" customHeight="1" s="4">
      <c r="A40" s="12" t="n"/>
      <c r="B40" s="13" t="n"/>
      <c r="C40" s="12" t="n"/>
      <c r="D40" s="13" t="n"/>
      <c r="E40" s="12" t="n"/>
      <c r="F40" s="13" t="n"/>
      <c r="G40" s="12" t="n"/>
      <c r="H40" s="13" t="n"/>
      <c r="I40" s="12" t="n"/>
      <c r="J40" s="13" t="n"/>
      <c r="K40" s="12" t="n"/>
      <c r="L40" s="13" t="n"/>
      <c r="M40" s="12" t="n"/>
      <c r="N40" s="13" t="n"/>
      <c r="O40" s="21" t="n"/>
      <c r="P40" s="21" t="n"/>
      <c r="Q40" s="21" t="n"/>
      <c r="R40" s="21" t="n"/>
      <c r="S40" s="21" t="n"/>
      <c r="T40" s="21" t="n"/>
    </row>
    <row r="41" ht="18.75" customFormat="1" customHeight="1" s="4">
      <c r="A41" s="12" t="n"/>
      <c r="B41" s="13" t="n"/>
      <c r="C41" s="12" t="n"/>
      <c r="D41" s="13" t="n"/>
      <c r="E41" s="12" t="n"/>
      <c r="F41" s="13" t="n"/>
      <c r="G41" s="12" t="n"/>
      <c r="H41" s="13" t="n"/>
      <c r="I41" s="12" t="n"/>
      <c r="J41" s="13" t="n"/>
      <c r="K41" s="12" t="n"/>
      <c r="L41" s="13" t="n"/>
      <c r="M41" s="12" t="n"/>
      <c r="N41" s="13" t="n"/>
      <c r="O41" s="21" t="n"/>
      <c r="P41" s="21" t="n"/>
      <c r="Q41" s="21" t="n"/>
      <c r="R41" s="21" t="n"/>
      <c r="S41" s="21" t="n"/>
      <c r="T41" s="21" t="n"/>
    </row>
    <row r="42" ht="18.75" customFormat="1" customHeight="1" s="4">
      <c r="A42" s="12" t="n"/>
      <c r="B42" s="13" t="n"/>
      <c r="C42" s="12" t="n"/>
      <c r="D42" s="13" t="n"/>
      <c r="E42" s="12" t="n"/>
      <c r="F42" s="13" t="n"/>
      <c r="G42" s="12" t="n"/>
      <c r="H42" s="13" t="n"/>
      <c r="I42" s="12" t="n"/>
      <c r="J42" s="13" t="n"/>
      <c r="K42" s="12" t="n"/>
      <c r="L42" s="13" t="n"/>
      <c r="M42" s="12" t="n"/>
      <c r="N42" s="13" t="n"/>
      <c r="O42" s="21" t="n"/>
      <c r="P42" s="21" t="n"/>
      <c r="Q42" s="21" t="n"/>
      <c r="R42" s="21" t="n"/>
      <c r="S42" s="21" t="n"/>
      <c r="T42" s="21" t="n"/>
    </row>
    <row r="43" ht="18.75" customFormat="1" customHeight="1" s="4">
      <c r="A43" s="12" t="n"/>
      <c r="B43" s="13" t="n"/>
      <c r="C43" s="12" t="n"/>
      <c r="D43" s="13" t="n"/>
      <c r="E43" s="12" t="n"/>
      <c r="F43" s="13" t="n"/>
      <c r="G43" s="12" t="n"/>
      <c r="H43" s="13" t="n"/>
      <c r="I43" s="12" t="n"/>
      <c r="J43" s="13" t="n"/>
      <c r="K43" s="12" t="n"/>
      <c r="L43" s="13" t="n"/>
      <c r="M43" s="12" t="n"/>
      <c r="N43" s="13" t="n"/>
      <c r="O43" s="21" t="n"/>
      <c r="P43" s="21" t="n"/>
      <c r="Q43" s="21" t="n"/>
      <c r="R43" s="21" t="n"/>
      <c r="S43" s="21" t="n"/>
      <c r="T43" s="21" t="n"/>
    </row>
    <row r="44" ht="18.75" customFormat="1" customHeight="1" s="4">
      <c r="A44" s="12" t="n"/>
      <c r="B44" s="13" t="n"/>
      <c r="C44" s="12" t="n"/>
      <c r="D44" s="13" t="n"/>
      <c r="E44" s="12" t="n"/>
      <c r="F44" s="13" t="n"/>
      <c r="G44" s="12" t="n"/>
      <c r="H44" s="13" t="n"/>
      <c r="I44" s="12" t="n"/>
      <c r="J44" s="13" t="n"/>
      <c r="K44" s="12" t="n"/>
      <c r="L44" s="13" t="n"/>
      <c r="M44" s="12" t="n"/>
      <c r="N44" s="13" t="n"/>
      <c r="O44" s="21" t="n"/>
      <c r="P44" s="21" t="n"/>
      <c r="Q44" s="21" t="n"/>
      <c r="R44" s="21" t="n"/>
      <c r="S44" s="21" t="n"/>
      <c r="T44" s="21" t="n"/>
    </row>
    <row r="45" ht="18.75" customFormat="1" customHeight="1" s="4">
      <c r="A45" s="12" t="n"/>
      <c r="B45" s="13" t="n"/>
      <c r="C45" s="12" t="n"/>
      <c r="D45" s="13" t="n"/>
      <c r="E45" s="12" t="n"/>
      <c r="F45" s="13" t="n"/>
      <c r="G45" s="12" t="n"/>
      <c r="H45" s="13" t="n"/>
      <c r="I45" s="12" t="n"/>
      <c r="J45" s="13" t="n"/>
      <c r="K45" s="12" t="n"/>
      <c r="L45" s="13" t="n"/>
      <c r="M45" s="12" t="n"/>
      <c r="N45" s="13" t="n"/>
      <c r="O45" s="21" t="n"/>
      <c r="P45" s="21" t="n"/>
      <c r="Q45" s="21" t="n"/>
      <c r="R45" s="21" t="n"/>
      <c r="S45" s="21" t="n"/>
      <c r="T45" s="21" t="n"/>
    </row>
    <row r="46" ht="18.75" customFormat="1" customHeight="1" s="4">
      <c r="A46" s="12" t="n"/>
      <c r="B46" s="13" t="n"/>
      <c r="C46" s="12" t="n"/>
      <c r="D46" s="13" t="n"/>
      <c r="E46" s="12" t="n"/>
      <c r="F46" s="13" t="n"/>
      <c r="G46" s="12" t="n"/>
      <c r="H46" s="13" t="n"/>
      <c r="I46" s="12" t="n"/>
      <c r="J46" s="13" t="n"/>
      <c r="K46" s="12" t="n"/>
      <c r="L46" s="13" t="n"/>
      <c r="M46" s="12" t="n"/>
      <c r="N46" s="13" t="n"/>
      <c r="O46" s="21" t="n"/>
      <c r="P46" s="21" t="n"/>
      <c r="Q46" s="21" t="n"/>
      <c r="R46" s="21" t="n"/>
      <c r="S46" s="21" t="n"/>
      <c r="T46" s="21" t="n"/>
    </row>
    <row r="47" ht="18.75" customFormat="1" customHeight="1" s="4">
      <c r="A47" s="12" t="n"/>
      <c r="B47" s="13" t="n"/>
      <c r="C47" s="12" t="n"/>
      <c r="D47" s="13" t="n"/>
      <c r="E47" s="12" t="n"/>
      <c r="F47" s="13" t="n"/>
      <c r="G47" s="12" t="n"/>
      <c r="H47" s="13" t="n"/>
      <c r="I47" s="12" t="n"/>
      <c r="J47" s="13" t="n"/>
      <c r="K47" s="12" t="n"/>
      <c r="L47" s="13" t="n"/>
      <c r="M47" s="12" t="n"/>
      <c r="N47" s="13" t="n"/>
      <c r="O47" s="21" t="n"/>
      <c r="P47" s="21" t="n"/>
      <c r="Q47" s="21" t="n"/>
      <c r="R47" s="21" t="n"/>
      <c r="S47" s="21" t="n"/>
      <c r="T47" s="21" t="n"/>
    </row>
    <row r="48" ht="18.75" customFormat="1" customHeight="1" s="4">
      <c r="A48" s="12" t="n"/>
      <c r="B48" s="13" t="n"/>
      <c r="C48" s="12" t="n"/>
      <c r="D48" s="13" t="n"/>
      <c r="E48" s="12" t="n"/>
      <c r="F48" s="13" t="n"/>
      <c r="G48" s="12" t="n"/>
      <c r="H48" s="13" t="n"/>
      <c r="I48" s="12" t="n"/>
      <c r="J48" s="13" t="n"/>
      <c r="K48" s="12" t="n"/>
      <c r="L48" s="13" t="n"/>
      <c r="M48" s="12" t="n"/>
      <c r="N48" s="13" t="n"/>
      <c r="O48" s="21" t="n"/>
      <c r="P48" s="21" t="n"/>
      <c r="Q48" s="21" t="n"/>
      <c r="R48" s="21" t="n"/>
      <c r="S48" s="21" t="n"/>
      <c r="T48" s="21" t="n"/>
    </row>
    <row r="49" ht="18.75" customFormat="1" customHeight="1" s="4">
      <c r="A49" s="12" t="n"/>
      <c r="B49" s="13" t="n"/>
      <c r="C49" s="12" t="n"/>
      <c r="D49" s="13" t="n"/>
      <c r="E49" s="12" t="n"/>
      <c r="F49" s="13" t="n"/>
      <c r="G49" s="12" t="n"/>
      <c r="H49" s="13" t="n"/>
      <c r="I49" s="12" t="n"/>
      <c r="J49" s="13" t="n"/>
      <c r="K49" s="12" t="n"/>
      <c r="L49" s="13" t="n"/>
      <c r="M49" s="12" t="n"/>
      <c r="N49" s="13" t="n"/>
      <c r="O49" s="21" t="n"/>
      <c r="P49" s="21" t="n"/>
      <c r="Q49" s="21" t="n"/>
      <c r="R49" s="21" t="n"/>
      <c r="S49" s="21" t="n"/>
      <c r="T49" s="21" t="n"/>
    </row>
    <row r="50" ht="18.75" customFormat="1" customHeight="1" s="4">
      <c r="A50" s="12" t="n"/>
      <c r="B50" s="13" t="n"/>
      <c r="C50" s="12" t="n"/>
      <c r="D50" s="13" t="n"/>
      <c r="E50" s="12" t="n"/>
      <c r="F50" s="13" t="n"/>
      <c r="G50" s="12" t="n"/>
      <c r="H50" s="13" t="n"/>
      <c r="I50" s="12" t="n"/>
      <c r="J50" s="13" t="n"/>
      <c r="K50" s="12" t="n"/>
      <c r="L50" s="13" t="n"/>
      <c r="M50" s="12" t="n"/>
      <c r="N50" s="13" t="n"/>
      <c r="O50" s="21" t="n"/>
      <c r="P50" s="21" t="n"/>
      <c r="Q50" s="21" t="n"/>
      <c r="R50" s="21" t="n"/>
      <c r="S50" s="21" t="n"/>
      <c r="T50" s="21" t="n"/>
    </row>
    <row r="51" ht="18.75" customFormat="1" customHeight="1" s="4">
      <c r="A51" s="12" t="n"/>
      <c r="B51" s="13" t="n"/>
      <c r="C51" s="12" t="n"/>
      <c r="D51" s="13" t="n"/>
      <c r="E51" s="12" t="n"/>
      <c r="F51" s="13" t="n"/>
      <c r="G51" s="12" t="n"/>
      <c r="H51" s="13" t="n"/>
      <c r="I51" s="12" t="n"/>
      <c r="J51" s="13" t="n"/>
      <c r="K51" s="12" t="n"/>
      <c r="L51" s="13" t="n"/>
      <c r="M51" s="12" t="n"/>
      <c r="N51" s="13" t="n"/>
      <c r="O51" s="21" t="n"/>
      <c r="P51" s="21" t="n"/>
      <c r="Q51" s="21" t="n"/>
      <c r="R51" s="21" t="n"/>
      <c r="S51" s="21" t="n"/>
      <c r="T51" s="21" t="n"/>
    </row>
    <row r="52" ht="18.75" customFormat="1" customHeight="1" s="4">
      <c r="A52" s="12" t="n"/>
      <c r="B52" s="13" t="n"/>
      <c r="C52" s="12" t="n"/>
      <c r="D52" s="13" t="n"/>
      <c r="E52" s="12" t="n"/>
      <c r="F52" s="13" t="n"/>
      <c r="G52" s="12" t="n"/>
      <c r="H52" s="13" t="n"/>
      <c r="I52" s="12" t="n"/>
      <c r="J52" s="13" t="n"/>
      <c r="K52" s="12" t="n"/>
      <c r="L52" s="13" t="n"/>
      <c r="M52" s="12" t="n"/>
      <c r="N52" s="13" t="n"/>
      <c r="O52" s="21" t="n"/>
      <c r="P52" s="21" t="n"/>
      <c r="Q52" s="21" t="n"/>
      <c r="R52" s="21" t="n"/>
      <c r="S52" s="21" t="n"/>
      <c r="T52" s="21" t="n"/>
    </row>
    <row r="53" ht="18.75" customFormat="1" customHeight="1" s="4">
      <c r="A53" s="12" t="n"/>
      <c r="B53" s="13" t="n"/>
      <c r="C53" s="12" t="n"/>
      <c r="D53" s="13" t="n"/>
      <c r="E53" s="12" t="n"/>
      <c r="F53" s="13" t="n"/>
      <c r="G53" s="12" t="n"/>
      <c r="H53" s="13" t="n"/>
      <c r="I53" s="12" t="n"/>
      <c r="J53" s="13" t="n"/>
      <c r="K53" s="12" t="n"/>
      <c r="L53" s="13" t="n"/>
      <c r="M53" s="12" t="n"/>
      <c r="N53" s="13" t="n"/>
      <c r="O53" s="21" t="n"/>
      <c r="P53" s="21" t="n"/>
      <c r="Q53" s="21" t="n"/>
      <c r="R53" s="21" t="n"/>
      <c r="S53" s="21" t="n"/>
      <c r="T53" s="21" t="n"/>
    </row>
    <row r="54" ht="18.75" customFormat="1" customHeight="1" s="4">
      <c r="A54" s="12" t="n"/>
      <c r="B54" s="13" t="n"/>
      <c r="C54" s="12" t="n"/>
      <c r="D54" s="13" t="n"/>
      <c r="E54" s="12" t="n"/>
      <c r="F54" s="13" t="n"/>
      <c r="G54" s="12" t="n"/>
      <c r="H54" s="13" t="n"/>
      <c r="I54" s="12" t="n"/>
      <c r="J54" s="13" t="n"/>
      <c r="K54" s="12" t="n"/>
      <c r="L54" s="13" t="n"/>
      <c r="M54" s="12" t="n"/>
      <c r="N54" s="13" t="n"/>
      <c r="O54" s="21" t="n"/>
      <c r="P54" s="21" t="n"/>
      <c r="Q54" s="21" t="n"/>
      <c r="R54" s="21" t="n"/>
      <c r="S54" s="21" t="n"/>
      <c r="T54" s="21" t="n"/>
    </row>
    <row r="55" ht="18.75" customHeight="1">
      <c r="A55" s="20" t="n"/>
      <c r="B55" s="20" t="n"/>
      <c r="C55" s="21" t="n"/>
      <c r="D55" s="21" t="n"/>
      <c r="E55" s="20" t="n"/>
      <c r="F55" s="21" t="n"/>
      <c r="G55" s="21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</row>
    <row r="56" ht="18.75" customHeight="1">
      <c r="A56" s="20" t="n"/>
      <c r="B56" s="20" t="n"/>
      <c r="C56" s="21" t="n"/>
      <c r="D56" s="21" t="n"/>
      <c r="E56" s="20" t="n"/>
      <c r="F56" s="21" t="n"/>
      <c r="G56" s="21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</row>
    <row r="57" ht="18.75" customHeight="1">
      <c r="A57" s="1" t="inlineStr">
        <is>
          <t>5. Generated Refactoring Actions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2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</row>
    <row r="58" ht="18.75" customFormat="1" customHeight="1" s="4">
      <c r="A58" s="8" t="inlineStr">
        <is>
          <t>GA_ID</t>
        </is>
      </c>
      <c r="B58" s="8" t="inlineStr">
        <is>
          <t>Treatment</t>
        </is>
      </c>
      <c r="C58" s="8" t="inlineStr">
        <is>
          <t>Location(s)</t>
        </is>
      </c>
      <c r="D58" s="8" t="inlineStr">
        <is>
          <t>Generated Action Description</t>
        </is>
      </c>
      <c r="E58" s="8" t="inlineStr">
        <is>
          <t>Inferred Refactoring Type</t>
        </is>
      </c>
      <c r="F58" s="8" t="inlineStr">
        <is>
          <t>Scope</t>
        </is>
      </c>
      <c r="G58" s="8" t="inlineStr">
        <is>
          <t>Files Changed</t>
        </is>
      </c>
      <c r="H58" s="8" t="inlineStr">
        <is>
          <t>LOC Changed</t>
        </is>
      </c>
      <c r="I58" s="8" t="inlineStr">
        <is>
          <t>Context Needed?</t>
        </is>
      </c>
      <c r="J58" s="8" t="inlineStr">
        <is>
          <t>Rationale Quality</t>
        </is>
      </c>
      <c r="K58" s="8" t="inlineStr">
        <is>
          <t>Notes</t>
        </is>
      </c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</row>
    <row r="59" ht="18.75" customFormat="1" customHeight="1" s="4">
      <c r="A59" s="12" t="n"/>
      <c r="B59" s="13" t="n"/>
      <c r="C59" s="12" t="n"/>
      <c r="D59" s="13" t="n"/>
      <c r="E59" s="12" t="n"/>
      <c r="F59" s="13" t="n"/>
      <c r="G59" s="12" t="n"/>
      <c r="H59" s="13" t="n"/>
      <c r="I59" s="12" t="n"/>
      <c r="J59" s="13" t="n"/>
      <c r="K59" s="12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</row>
    <row r="60" ht="18.75" customFormat="1" customHeight="1" s="4">
      <c r="A60" s="12" t="n"/>
      <c r="B60" s="13" t="n"/>
      <c r="C60" s="12" t="n"/>
      <c r="D60" s="13" t="n"/>
      <c r="E60" s="12" t="n"/>
      <c r="F60" s="13" t="n"/>
      <c r="G60" s="12" t="n"/>
      <c r="H60" s="13" t="n"/>
      <c r="I60" s="12" t="n"/>
      <c r="J60" s="13" t="n"/>
      <c r="K60" s="12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</row>
    <row r="61" ht="18.75" customFormat="1" customHeight="1" s="4">
      <c r="A61" s="12" t="n"/>
      <c r="B61" s="13" t="n"/>
      <c r="C61" s="12" t="n"/>
      <c r="D61" s="13" t="n"/>
      <c r="E61" s="12" t="n"/>
      <c r="F61" s="13" t="n"/>
      <c r="G61" s="12" t="n"/>
      <c r="H61" s="13" t="n"/>
      <c r="I61" s="12" t="n"/>
      <c r="J61" s="13" t="n"/>
      <c r="K61" s="12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</row>
    <row r="62" ht="18.75" customFormat="1" customHeight="1" s="4">
      <c r="A62" s="12" t="n"/>
      <c r="B62" s="13" t="n"/>
      <c r="C62" s="12" t="n"/>
      <c r="D62" s="13" t="n"/>
      <c r="E62" s="12" t="n"/>
      <c r="F62" s="13" t="n"/>
      <c r="G62" s="12" t="n"/>
      <c r="H62" s="13" t="n"/>
      <c r="I62" s="12" t="n"/>
      <c r="J62" s="13" t="n"/>
      <c r="K62" s="12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</row>
    <row r="63" ht="18.75" customFormat="1" customHeight="1" s="4">
      <c r="A63" s="12" t="n"/>
      <c r="B63" s="13" t="n"/>
      <c r="C63" s="12" t="n"/>
      <c r="D63" s="13" t="n"/>
      <c r="E63" s="12" t="n"/>
      <c r="F63" s="13" t="n"/>
      <c r="G63" s="12" t="n"/>
      <c r="H63" s="13" t="n"/>
      <c r="I63" s="12" t="n"/>
      <c r="J63" s="13" t="n"/>
      <c r="K63" s="12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</row>
    <row r="64" ht="18.75" customFormat="1" customHeight="1" s="4">
      <c r="A64" s="12" t="n"/>
      <c r="B64" s="13" t="n"/>
      <c r="C64" s="12" t="n"/>
      <c r="D64" s="13" t="n"/>
      <c r="E64" s="12" t="n"/>
      <c r="F64" s="13" t="n"/>
      <c r="G64" s="12" t="n"/>
      <c r="H64" s="13" t="n"/>
      <c r="I64" s="12" t="n"/>
      <c r="J64" s="13" t="n"/>
      <c r="K64" s="12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</row>
    <row r="65" ht="18.75" customFormat="1" customHeight="1" s="4">
      <c r="A65" s="12" t="n"/>
      <c r="B65" s="13" t="n"/>
      <c r="C65" s="12" t="n"/>
      <c r="D65" s="13" t="n"/>
      <c r="E65" s="12" t="n"/>
      <c r="F65" s="13" t="n"/>
      <c r="G65" s="12" t="n"/>
      <c r="H65" s="13" t="n"/>
      <c r="I65" s="12" t="n"/>
      <c r="J65" s="13" t="n"/>
      <c r="K65" s="12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</row>
    <row r="66" ht="18.75" customFormat="1" customHeight="1" s="4">
      <c r="A66" s="12" t="n"/>
      <c r="B66" s="13" t="n"/>
      <c r="C66" s="12" t="n"/>
      <c r="D66" s="13" t="n"/>
      <c r="E66" s="12" t="n"/>
      <c r="F66" s="13" t="n"/>
      <c r="G66" s="12" t="n"/>
      <c r="H66" s="13" t="n"/>
      <c r="I66" s="12" t="n"/>
      <c r="J66" s="13" t="n"/>
      <c r="K66" s="12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</row>
    <row r="67" ht="18.75" customFormat="1" customHeight="1" s="4">
      <c r="A67" s="12" t="n"/>
      <c r="B67" s="13" t="n"/>
      <c r="C67" s="12" t="n"/>
      <c r="D67" s="13" t="n"/>
      <c r="E67" s="12" t="n"/>
      <c r="F67" s="13" t="n"/>
      <c r="G67" s="12" t="n"/>
      <c r="H67" s="13" t="n"/>
      <c r="I67" s="12" t="n"/>
      <c r="J67" s="13" t="n"/>
      <c r="K67" s="12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</row>
    <row r="68" ht="18.75" customFormat="1" customHeight="1" s="4">
      <c r="A68" s="12" t="n"/>
      <c r="B68" s="13" t="n"/>
      <c r="C68" s="12" t="n"/>
      <c r="D68" s="13" t="n"/>
      <c r="E68" s="12" t="n"/>
      <c r="F68" s="13" t="n"/>
      <c r="G68" s="12" t="n"/>
      <c r="H68" s="13" t="n"/>
      <c r="I68" s="12" t="n"/>
      <c r="J68" s="13" t="n"/>
      <c r="K68" s="12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</row>
    <row r="69" ht="18.75" customFormat="1" customHeight="1" s="4">
      <c r="A69" s="12" t="n"/>
      <c r="B69" s="13" t="n"/>
      <c r="C69" s="12" t="n"/>
      <c r="D69" s="13" t="n"/>
      <c r="E69" s="12" t="n"/>
      <c r="F69" s="13" t="n"/>
      <c r="G69" s="12" t="n"/>
      <c r="H69" s="13" t="n"/>
      <c r="I69" s="12" t="n"/>
      <c r="J69" s="13" t="n"/>
      <c r="K69" s="12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</row>
    <row r="70" ht="18.75" customFormat="1" customHeight="1" s="4">
      <c r="A70" s="12" t="n"/>
      <c r="B70" s="13" t="n"/>
      <c r="C70" s="12" t="n"/>
      <c r="D70" s="13" t="n"/>
      <c r="E70" s="12" t="n"/>
      <c r="F70" s="13" t="n"/>
      <c r="G70" s="12" t="n"/>
      <c r="H70" s="13" t="n"/>
      <c r="I70" s="12" t="n"/>
      <c r="J70" s="13" t="n"/>
      <c r="K70" s="12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</row>
    <row r="71" ht="18.75" customFormat="1" customHeight="1" s="4">
      <c r="A71" s="12" t="n"/>
      <c r="B71" s="13" t="n"/>
      <c r="C71" s="12" t="n"/>
      <c r="D71" s="13" t="n"/>
      <c r="E71" s="12" t="n"/>
      <c r="F71" s="13" t="n"/>
      <c r="G71" s="12" t="n"/>
      <c r="H71" s="13" t="n"/>
      <c r="I71" s="12" t="n"/>
      <c r="J71" s="13" t="n"/>
      <c r="K71" s="12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</row>
    <row r="72" ht="18.75" customFormat="1" customHeight="1" s="4">
      <c r="A72" s="12" t="n"/>
      <c r="B72" s="13" t="n"/>
      <c r="C72" s="12" t="n"/>
      <c r="D72" s="13" t="n"/>
      <c r="E72" s="12" t="n"/>
      <c r="F72" s="13" t="n"/>
      <c r="G72" s="12" t="n"/>
      <c r="H72" s="13" t="n"/>
      <c r="I72" s="12" t="n"/>
      <c r="J72" s="13" t="n"/>
      <c r="K72" s="12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</row>
    <row r="73" ht="18.75" customFormat="1" customHeight="1" s="4">
      <c r="A73" s="12" t="n"/>
      <c r="B73" s="13" t="n"/>
      <c r="C73" s="12" t="n"/>
      <c r="D73" s="13" t="n"/>
      <c r="E73" s="12" t="n"/>
      <c r="F73" s="13" t="n"/>
      <c r="G73" s="12" t="n"/>
      <c r="H73" s="13" t="n"/>
      <c r="I73" s="12" t="n"/>
      <c r="J73" s="13" t="n"/>
      <c r="K73" s="12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</row>
    <row r="74" ht="18.75" customFormat="1" customHeight="1" s="4">
      <c r="A74" s="12" t="n"/>
      <c r="B74" s="13" t="n"/>
      <c r="C74" s="12" t="n"/>
      <c r="D74" s="13" t="n"/>
      <c r="E74" s="12" t="n"/>
      <c r="F74" s="13" t="n"/>
      <c r="G74" s="12" t="n"/>
      <c r="H74" s="13" t="n"/>
      <c r="I74" s="12" t="n"/>
      <c r="J74" s="13" t="n"/>
      <c r="K74" s="12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</row>
    <row r="75" ht="18.75" customFormat="1" customHeight="1" s="4">
      <c r="A75" s="12" t="n"/>
      <c r="B75" s="13" t="n"/>
      <c r="C75" s="12" t="n"/>
      <c r="D75" s="13" t="n"/>
      <c r="E75" s="12" t="n"/>
      <c r="F75" s="13" t="n"/>
      <c r="G75" s="12" t="n"/>
      <c r="H75" s="13" t="n"/>
      <c r="I75" s="12" t="n"/>
      <c r="J75" s="13" t="n"/>
      <c r="K75" s="12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</row>
    <row r="76" ht="18.75" customFormat="1" customHeight="1" s="4">
      <c r="A76" s="12" t="n"/>
      <c r="B76" s="13" t="n"/>
      <c r="C76" s="12" t="n"/>
      <c r="D76" s="13" t="n"/>
      <c r="E76" s="12" t="n"/>
      <c r="F76" s="13" t="n"/>
      <c r="G76" s="12" t="n"/>
      <c r="H76" s="13" t="n"/>
      <c r="I76" s="12" t="n"/>
      <c r="J76" s="13" t="n"/>
      <c r="K76" s="12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</row>
    <row r="77" ht="18.75" customFormat="1" customHeight="1" s="4">
      <c r="A77" s="12" t="n"/>
      <c r="B77" s="13" t="n"/>
      <c r="C77" s="12" t="n"/>
      <c r="D77" s="13" t="n"/>
      <c r="E77" s="12" t="n"/>
      <c r="F77" s="13" t="n"/>
      <c r="G77" s="12" t="n"/>
      <c r="H77" s="13" t="n"/>
      <c r="I77" s="12" t="n"/>
      <c r="J77" s="13" t="n"/>
      <c r="K77" s="12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</row>
    <row r="78" ht="18.75" customFormat="1" customHeight="1" s="4">
      <c r="A78" s="12" t="n"/>
      <c r="B78" s="13" t="n"/>
      <c r="C78" s="12" t="n"/>
      <c r="D78" s="13" t="n"/>
      <c r="E78" s="12" t="n"/>
      <c r="F78" s="13" t="n"/>
      <c r="G78" s="12" t="n"/>
      <c r="H78" s="13" t="n"/>
      <c r="I78" s="12" t="n"/>
      <c r="J78" s="13" t="n"/>
      <c r="K78" s="12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</row>
    <row r="79" ht="18.75" customFormat="1" customHeight="1" s="4">
      <c r="A79" s="12" t="n"/>
      <c r="B79" s="13" t="n"/>
      <c r="C79" s="12" t="n"/>
      <c r="D79" s="13" t="n"/>
      <c r="E79" s="12" t="n"/>
      <c r="F79" s="13" t="n"/>
      <c r="G79" s="12" t="n"/>
      <c r="H79" s="13" t="n"/>
      <c r="I79" s="12" t="n"/>
      <c r="J79" s="13" t="n"/>
      <c r="K79" s="12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</row>
    <row r="80" ht="18.75" customFormat="1" customHeight="1" s="4">
      <c r="A80" s="12" t="n"/>
      <c r="B80" s="13" t="n"/>
      <c r="C80" s="12" t="n"/>
      <c r="D80" s="13" t="n"/>
      <c r="E80" s="12" t="n"/>
      <c r="F80" s="13" t="n"/>
      <c r="G80" s="12" t="n"/>
      <c r="H80" s="13" t="n"/>
      <c r="I80" s="12" t="n"/>
      <c r="J80" s="13" t="n"/>
      <c r="K80" s="12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</row>
    <row r="81" ht="18.75" customFormat="1" customHeight="1" s="4">
      <c r="A81" s="12" t="n"/>
      <c r="B81" s="13" t="n"/>
      <c r="C81" s="12" t="n"/>
      <c r="D81" s="13" t="n"/>
      <c r="E81" s="12" t="n"/>
      <c r="F81" s="13" t="n"/>
      <c r="G81" s="12" t="n"/>
      <c r="H81" s="13" t="n"/>
      <c r="I81" s="12" t="n"/>
      <c r="J81" s="13" t="n"/>
      <c r="K81" s="12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</row>
    <row r="82" ht="18.75" customFormat="1" customHeight="1" s="4">
      <c r="A82" s="12" t="n"/>
      <c r="B82" s="13" t="n"/>
      <c r="C82" s="12" t="n"/>
      <c r="D82" s="13" t="n"/>
      <c r="E82" s="12" t="n"/>
      <c r="F82" s="13" t="n"/>
      <c r="G82" s="12" t="n"/>
      <c r="H82" s="13" t="n"/>
      <c r="I82" s="12" t="n"/>
      <c r="J82" s="13" t="n"/>
      <c r="K82" s="12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</row>
    <row r="83" ht="18.75" customFormat="1" customHeight="1" s="4">
      <c r="A83" s="12" t="n"/>
      <c r="B83" s="13" t="n"/>
      <c r="C83" s="12" t="n"/>
      <c r="D83" s="13" t="n"/>
      <c r="E83" s="12" t="n"/>
      <c r="F83" s="13" t="n"/>
      <c r="G83" s="12" t="n"/>
      <c r="H83" s="13" t="n"/>
      <c r="I83" s="12" t="n"/>
      <c r="J83" s="13" t="n"/>
      <c r="K83" s="12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</row>
    <row r="84" ht="18.75" customFormat="1" customHeight="1" s="4">
      <c r="A84" s="12" t="n"/>
      <c r="B84" s="13" t="n"/>
      <c r="C84" s="12" t="n"/>
      <c r="D84" s="13" t="n"/>
      <c r="E84" s="12" t="n"/>
      <c r="F84" s="13" t="n"/>
      <c r="G84" s="12" t="n"/>
      <c r="H84" s="13" t="n"/>
      <c r="I84" s="12" t="n"/>
      <c r="J84" s="13" t="n"/>
      <c r="K84" s="12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</row>
    <row r="85" ht="18.75" customFormat="1" customHeight="1" s="4">
      <c r="A85" s="12" t="n"/>
      <c r="B85" s="13" t="n"/>
      <c r="C85" s="12" t="n"/>
      <c r="D85" s="13" t="n"/>
      <c r="E85" s="12" t="n"/>
      <c r="F85" s="13" t="n"/>
      <c r="G85" s="12" t="n"/>
      <c r="H85" s="13" t="n"/>
      <c r="I85" s="12" t="n"/>
      <c r="J85" s="13" t="n"/>
      <c r="K85" s="12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</row>
    <row r="86" ht="18.75" customFormat="1" customHeight="1" s="4">
      <c r="A86" s="12" t="n"/>
      <c r="B86" s="13" t="n"/>
      <c r="C86" s="12" t="n"/>
      <c r="D86" s="13" t="n"/>
      <c r="E86" s="12" t="n"/>
      <c r="F86" s="13" t="n"/>
      <c r="G86" s="12" t="n"/>
      <c r="H86" s="13" t="n"/>
      <c r="I86" s="12" t="n"/>
      <c r="J86" s="13" t="n"/>
      <c r="K86" s="12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</row>
    <row r="87" ht="18.75" customFormat="1" customHeight="1" s="4">
      <c r="A87" s="12" t="n"/>
      <c r="B87" s="13" t="n"/>
      <c r="C87" s="12" t="n"/>
      <c r="D87" s="13" t="n"/>
      <c r="E87" s="12" t="n"/>
      <c r="F87" s="13" t="n"/>
      <c r="G87" s="12" t="n"/>
      <c r="H87" s="13" t="n"/>
      <c r="I87" s="12" t="n"/>
      <c r="J87" s="13" t="n"/>
      <c r="K87" s="12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</row>
    <row r="88" ht="18.75" customFormat="1" customHeight="1" s="4">
      <c r="A88" s="12" t="n"/>
      <c r="B88" s="13" t="n"/>
      <c r="C88" s="12" t="n"/>
      <c r="D88" s="13" t="n"/>
      <c r="E88" s="12" t="n"/>
      <c r="F88" s="13" t="n"/>
      <c r="G88" s="12" t="n"/>
      <c r="H88" s="13" t="n"/>
      <c r="I88" s="12" t="n"/>
      <c r="J88" s="13" t="n"/>
      <c r="K88" s="12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</row>
    <row r="89" ht="18.75" customHeight="1">
      <c r="A89" s="1" t="inlineStr">
        <is>
          <t>6. Matching and Scoring (one row per treatment × reference item evaluation)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2" t="n"/>
      <c r="R89" s="20" t="n"/>
      <c r="S89" s="20" t="n"/>
      <c r="T89" s="20" t="n"/>
    </row>
    <row r="90" ht="18.75" customFormat="1" customHeight="1" s="4">
      <c r="A90" s="8" t="inlineStr">
        <is>
          <t>Treatment</t>
        </is>
      </c>
      <c r="B90" s="8" t="inlineStr">
        <is>
          <t>RR_ID</t>
        </is>
      </c>
      <c r="C90" s="8" t="inlineStr">
        <is>
          <t>GA_ID</t>
        </is>
      </c>
      <c r="D90" s="8" t="inlineStr">
        <is>
          <t>Match Status</t>
        </is>
      </c>
      <c r="E90" s="8" t="inlineStr">
        <is>
          <t>Reviewer 1</t>
        </is>
      </c>
      <c r="F90" s="8" t="inlineStr">
        <is>
          <t>Reviewer 2</t>
        </is>
      </c>
      <c r="G90" s="8" t="inlineStr">
        <is>
          <t>Final Class</t>
        </is>
      </c>
      <c r="H90" s="8" t="inlineStr">
        <is>
          <t>Severity</t>
        </is>
      </c>
      <c r="I90" s="8" t="inlineStr">
        <is>
          <t>Severity Weight</t>
        </is>
      </c>
      <c r="J90" s="8" t="inlineStr">
        <is>
          <t>Harm Category</t>
        </is>
      </c>
      <c r="K90" s="8" t="inlineStr">
        <is>
          <t>Justification</t>
        </is>
      </c>
      <c r="L90" s="8" t="inlineStr">
        <is>
          <t>TP Flag</t>
        </is>
      </c>
      <c r="M90" s="8" t="inlineStr">
        <is>
          <t>FP Flag</t>
        </is>
      </c>
      <c r="N90" s="8" t="inlineStr">
        <is>
          <t>FN Flag</t>
        </is>
      </c>
      <c r="O90" s="8" t="inlineStr">
        <is>
          <t>Weighted TP</t>
        </is>
      </c>
      <c r="P90" s="8" t="inlineStr">
        <is>
          <t>Weighted FP</t>
        </is>
      </c>
      <c r="Q90" s="8" t="inlineStr">
        <is>
          <t>Weighted FN</t>
        </is>
      </c>
      <c r="R90" s="21" t="n"/>
      <c r="S90" s="21" t="n"/>
      <c r="T90" s="21" t="n"/>
    </row>
    <row r="91" ht="18.75" customHeight="1">
      <c r="A91" s="12" t="n"/>
      <c r="B91" s="12" t="n"/>
      <c r="C91" s="12" t="n"/>
      <c r="D91" s="12" t="n"/>
      <c r="E91" s="12" t="n"/>
      <c r="F91" s="12" t="n"/>
      <c r="G91" s="12" t="n"/>
      <c r="H91" s="14">
        <f>IFERROR(VLOOKUP($B91,$A$25:$N$54,7,FALSE),"")</f>
        <v/>
      </c>
      <c r="I91" s="15">
        <f>IF($H91="Minor",1,IF($H91="Moderate",2,IF($H91="Major",3,IF($H91="Critical",4,""))))</f>
        <v/>
      </c>
      <c r="J91" s="16" t="n"/>
      <c r="K91" s="16" t="n"/>
      <c r="L91" s="15">
        <f>IF(OR($G91="Exact TP",$G91="Equivalent TP"),1,0)</f>
        <v/>
      </c>
      <c r="M91" s="15">
        <f>IF(OR($G91="FP Extra",$G91="Harmful FP"),1,0)</f>
        <v/>
      </c>
      <c r="N91" s="15">
        <f>IF(OR($G91="FN",$G91="Partial"),1,0)</f>
        <v/>
      </c>
      <c r="O91" s="15">
        <f>IF($L91=1,$I91,0)</f>
        <v/>
      </c>
      <c r="P91" s="15">
        <f>IF($M91=1,$I91,0)</f>
        <v/>
      </c>
      <c r="Q91" s="15">
        <f>IF($N91=1,$I91,0)</f>
        <v/>
      </c>
      <c r="R91" s="20" t="n"/>
      <c r="S91" s="20" t="n"/>
      <c r="T91" s="20" t="n"/>
    </row>
    <row r="92" ht="18.75" customHeight="1">
      <c r="A92" s="12" t="n"/>
      <c r="B92" s="12" t="n"/>
      <c r="C92" s="12" t="n"/>
      <c r="D92" s="12" t="n"/>
      <c r="E92" s="12" t="n"/>
      <c r="F92" s="12" t="n"/>
      <c r="G92" s="12" t="n"/>
      <c r="H92" s="14">
        <f>IFERROR(VLOOKUP($B92,$A$25:$N$54,7,FALSE),"")</f>
        <v/>
      </c>
      <c r="I92" s="15">
        <f>IF($H92="Minor",1,IF($H92="Moderate",2,IF($H92="Major",3,IF($H92="Critical",4,""))))</f>
        <v/>
      </c>
      <c r="J92" s="16" t="n"/>
      <c r="K92" s="16" t="n"/>
      <c r="L92" s="15">
        <f>IF(OR($G92="Exact TP",$G92="Equivalent TP"),1,0)</f>
        <v/>
      </c>
      <c r="M92" s="15">
        <f>IF(OR($G92="FP Extra",$G92="Harmful FP"),1,0)</f>
        <v/>
      </c>
      <c r="N92" s="15">
        <f>IF(OR($G92="FN",$G92="Partial"),1,0)</f>
        <v/>
      </c>
      <c r="O92" s="15">
        <f>IF($L92=1,$I92,0)</f>
        <v/>
      </c>
      <c r="P92" s="15">
        <f>IF($M92=1,$I92,0)</f>
        <v/>
      </c>
      <c r="Q92" s="15">
        <f>IF($N92=1,$I92,0)</f>
        <v/>
      </c>
      <c r="R92" s="20" t="n"/>
      <c r="S92" s="20" t="n"/>
      <c r="T92" s="20" t="n"/>
    </row>
    <row r="93" ht="18.75" customHeight="1">
      <c r="A93" s="12" t="n"/>
      <c r="B93" s="12" t="n"/>
      <c r="C93" s="12" t="n"/>
      <c r="D93" s="12" t="n"/>
      <c r="E93" s="12" t="n"/>
      <c r="F93" s="12" t="n"/>
      <c r="G93" s="12" t="n"/>
      <c r="H93" s="14">
        <f>IFERROR(VLOOKUP($B93,$A$25:$N$54,7,FALSE),"")</f>
        <v/>
      </c>
      <c r="I93" s="15">
        <f>IF($H93="Minor",1,IF($H93="Moderate",2,IF($H93="Major",3,IF($H93="Critical",4,""))))</f>
        <v/>
      </c>
      <c r="J93" s="16" t="n"/>
      <c r="K93" s="16" t="n"/>
      <c r="L93" s="15">
        <f>IF(OR($G93="Exact TP",$G93="Equivalent TP"),1,0)</f>
        <v/>
      </c>
      <c r="M93" s="15">
        <f>IF(OR($G93="FP Extra",$G93="Harmful FP"),1,0)</f>
        <v/>
      </c>
      <c r="N93" s="15">
        <f>IF(OR($G93="FN",$G93="Partial"),1,0)</f>
        <v/>
      </c>
      <c r="O93" s="15">
        <f>IF($L93=1,$I93,0)</f>
        <v/>
      </c>
      <c r="P93" s="15">
        <f>IF($M93=1,$I93,0)</f>
        <v/>
      </c>
      <c r="Q93" s="15">
        <f>IF($N93=1,$I93,0)</f>
        <v/>
      </c>
      <c r="R93" s="20" t="n"/>
      <c r="S93" s="20" t="n"/>
      <c r="T93" s="20" t="n"/>
    </row>
    <row r="94" ht="18.75" customHeight="1">
      <c r="A94" s="12" t="n"/>
      <c r="B94" s="12" t="n"/>
      <c r="C94" s="12" t="n"/>
      <c r="D94" s="12" t="n"/>
      <c r="E94" s="12" t="n"/>
      <c r="F94" s="12" t="n"/>
      <c r="G94" s="12" t="n"/>
      <c r="H94" s="14">
        <f>IFERROR(VLOOKUP($B94,$A$25:$N$54,7,FALSE),"")</f>
        <v/>
      </c>
      <c r="I94" s="15">
        <f>IF($H94="Minor",1,IF($H94="Moderate",2,IF($H94="Major",3,IF($H94="Critical",4,""))))</f>
        <v/>
      </c>
      <c r="J94" s="16" t="n"/>
      <c r="K94" s="16" t="n"/>
      <c r="L94" s="15">
        <f>IF(OR($G94="Exact TP",$G94="Equivalent TP"),1,0)</f>
        <v/>
      </c>
      <c r="M94" s="15">
        <f>IF(OR($G94="FP Extra",$G94="Harmful FP"),1,0)</f>
        <v/>
      </c>
      <c r="N94" s="15">
        <f>IF(OR($G94="FN",$G94="Partial"),1,0)</f>
        <v/>
      </c>
      <c r="O94" s="15">
        <f>IF($L94=1,$I94,0)</f>
        <v/>
      </c>
      <c r="P94" s="15">
        <f>IF($M94=1,$I94,0)</f>
        <v/>
      </c>
      <c r="Q94" s="15">
        <f>IF($N94=1,$I94,0)</f>
        <v/>
      </c>
      <c r="R94" s="20" t="n"/>
      <c r="S94" s="20" t="n"/>
      <c r="T94" s="20" t="n"/>
    </row>
    <row r="95" ht="18.75" customHeight="1">
      <c r="A95" s="12" t="n"/>
      <c r="B95" s="12" t="n"/>
      <c r="C95" s="12" t="n"/>
      <c r="D95" s="12" t="n"/>
      <c r="E95" s="12" t="n"/>
      <c r="F95" s="12" t="n"/>
      <c r="G95" s="12" t="n"/>
      <c r="H95" s="14">
        <f>IFERROR(VLOOKUP($B95,$A$25:$N$54,7,FALSE),"")</f>
        <v/>
      </c>
      <c r="I95" s="15">
        <f>IF($H95="Minor",1,IF($H95="Moderate",2,IF($H95="Major",3,IF($H95="Critical",4,""))))</f>
        <v/>
      </c>
      <c r="J95" s="16" t="n"/>
      <c r="K95" s="16" t="n"/>
      <c r="L95" s="15">
        <f>IF(OR($G95="Exact TP",$G95="Equivalent TP"),1,0)</f>
        <v/>
      </c>
      <c r="M95" s="15">
        <f>IF(OR($G95="FP Extra",$G95="Harmful FP"),1,0)</f>
        <v/>
      </c>
      <c r="N95" s="15">
        <f>IF(OR($G95="FN",$G95="Partial"),1,0)</f>
        <v/>
      </c>
      <c r="O95" s="15">
        <f>IF($L95=1,$I95,0)</f>
        <v/>
      </c>
      <c r="P95" s="15">
        <f>IF($M95=1,$I95,0)</f>
        <v/>
      </c>
      <c r="Q95" s="15">
        <f>IF($N95=1,$I95,0)</f>
        <v/>
      </c>
      <c r="R95" s="20" t="n"/>
      <c r="S95" s="20" t="n"/>
      <c r="T95" s="20" t="n"/>
    </row>
    <row r="96" ht="18.75" customHeight="1">
      <c r="A96" s="12" t="n"/>
      <c r="B96" s="12" t="n"/>
      <c r="C96" s="12" t="n"/>
      <c r="D96" s="12" t="n"/>
      <c r="E96" s="12" t="n"/>
      <c r="F96" s="12" t="n"/>
      <c r="G96" s="12" t="n"/>
      <c r="H96" s="14">
        <f>IFERROR(VLOOKUP($B96,$A$25:$N$54,7,FALSE),"")</f>
        <v/>
      </c>
      <c r="I96" s="15">
        <f>IF($H96="Minor",1,IF($H96="Moderate",2,IF($H96="Major",3,IF($H96="Critical",4,""))))</f>
        <v/>
      </c>
      <c r="J96" s="16" t="n"/>
      <c r="K96" s="16" t="n"/>
      <c r="L96" s="15">
        <f>IF(OR($G96="Exact TP",$G96="Equivalent TP"),1,0)</f>
        <v/>
      </c>
      <c r="M96" s="15">
        <f>IF(OR($G96="FP Extra",$G96="Harmful FP"),1,0)</f>
        <v/>
      </c>
      <c r="N96" s="15">
        <f>IF(OR($G96="FN",$G96="Partial"),1,0)</f>
        <v/>
      </c>
      <c r="O96" s="15">
        <f>IF($L96=1,$I96,0)</f>
        <v/>
      </c>
      <c r="P96" s="15">
        <f>IF($M96=1,$I96,0)</f>
        <v/>
      </c>
      <c r="Q96" s="15">
        <f>IF($N96=1,$I96,0)</f>
        <v/>
      </c>
      <c r="R96" s="20" t="n"/>
      <c r="S96" s="20" t="n"/>
      <c r="T96" s="20" t="n"/>
    </row>
    <row r="97" ht="18.75" customHeight="1">
      <c r="A97" s="12" t="n"/>
      <c r="B97" s="12" t="n"/>
      <c r="C97" s="12" t="n"/>
      <c r="D97" s="12" t="n"/>
      <c r="E97" s="12" t="n"/>
      <c r="F97" s="12" t="n"/>
      <c r="G97" s="12" t="n"/>
      <c r="H97" s="14">
        <f>IFERROR(VLOOKUP($B97,$A$25:$N$54,7,FALSE),"")</f>
        <v/>
      </c>
      <c r="I97" s="15">
        <f>IF($H97="Minor",1,IF($H97="Moderate",2,IF($H97="Major",3,IF($H97="Critical",4,""))))</f>
        <v/>
      </c>
      <c r="J97" s="16" t="n"/>
      <c r="K97" s="16" t="n"/>
      <c r="L97" s="15">
        <f>IF(OR($G97="Exact TP",$G97="Equivalent TP"),1,0)</f>
        <v/>
      </c>
      <c r="M97" s="15">
        <f>IF(OR($G97="FP Extra",$G97="Harmful FP"),1,0)</f>
        <v/>
      </c>
      <c r="N97" s="15">
        <f>IF(OR($G97="FN",$G97="Partial"),1,0)</f>
        <v/>
      </c>
      <c r="O97" s="15">
        <f>IF($L97=1,$I97,0)</f>
        <v/>
      </c>
      <c r="P97" s="15">
        <f>IF($M97=1,$I97,0)</f>
        <v/>
      </c>
      <c r="Q97" s="15">
        <f>IF($N97=1,$I97,0)</f>
        <v/>
      </c>
      <c r="R97" s="20" t="n"/>
      <c r="S97" s="20" t="n"/>
      <c r="T97" s="20" t="n"/>
    </row>
    <row r="98" ht="18.75" customHeight="1">
      <c r="A98" s="12" t="n"/>
      <c r="B98" s="12" t="n"/>
      <c r="C98" s="12" t="n"/>
      <c r="D98" s="12" t="n"/>
      <c r="E98" s="12" t="n"/>
      <c r="F98" s="12" t="n"/>
      <c r="G98" s="12" t="n"/>
      <c r="H98" s="14">
        <f>IFERROR(VLOOKUP($B98,$A$25:$N$54,7,FALSE),"")</f>
        <v/>
      </c>
      <c r="I98" s="15">
        <f>IF($H98="Minor",1,IF($H98="Moderate",2,IF($H98="Major",3,IF($H98="Critical",4,""))))</f>
        <v/>
      </c>
      <c r="J98" s="16" t="n"/>
      <c r="K98" s="16" t="n"/>
      <c r="L98" s="15">
        <f>IF(OR($G98="Exact TP",$G98="Equivalent TP"),1,0)</f>
        <v/>
      </c>
      <c r="M98" s="15">
        <f>IF(OR($G98="FP Extra",$G98="Harmful FP"),1,0)</f>
        <v/>
      </c>
      <c r="N98" s="15">
        <f>IF(OR($G98="FN",$G98="Partial"),1,0)</f>
        <v/>
      </c>
      <c r="O98" s="15">
        <f>IF($L98=1,$I98,0)</f>
        <v/>
      </c>
      <c r="P98" s="15">
        <f>IF($M98=1,$I98,0)</f>
        <v/>
      </c>
      <c r="Q98" s="15">
        <f>IF($N98=1,$I98,0)</f>
        <v/>
      </c>
      <c r="R98" s="20" t="n"/>
      <c r="S98" s="20" t="n"/>
      <c r="T98" s="20" t="n"/>
    </row>
    <row r="99" ht="18.75" customHeight="1">
      <c r="A99" s="12" t="n"/>
      <c r="B99" s="12" t="n"/>
      <c r="C99" s="12" t="n"/>
      <c r="D99" s="12" t="n"/>
      <c r="E99" s="12" t="n"/>
      <c r="F99" s="12" t="n"/>
      <c r="G99" s="12" t="n"/>
      <c r="H99" s="14">
        <f>IFERROR(VLOOKUP($B99,$A$25:$N$54,7,FALSE),"")</f>
        <v/>
      </c>
      <c r="I99" s="15">
        <f>IF($H99="Minor",1,IF($H99="Moderate",2,IF($H99="Major",3,IF($H99="Critical",4,""))))</f>
        <v/>
      </c>
      <c r="J99" s="16" t="n"/>
      <c r="K99" s="16" t="n"/>
      <c r="L99" s="15">
        <f>IF(OR($G99="Exact TP",$G99="Equivalent TP"),1,0)</f>
        <v/>
      </c>
      <c r="M99" s="15">
        <f>IF(OR($G99="FP Extra",$G99="Harmful FP"),1,0)</f>
        <v/>
      </c>
      <c r="N99" s="15">
        <f>IF(OR($G99="FN",$G99="Partial"),1,0)</f>
        <v/>
      </c>
      <c r="O99" s="15">
        <f>IF($L99=1,$I99,0)</f>
        <v/>
      </c>
      <c r="P99" s="15">
        <f>IF($M99=1,$I99,0)</f>
        <v/>
      </c>
      <c r="Q99" s="15">
        <f>IF($N99=1,$I99,0)</f>
        <v/>
      </c>
      <c r="R99" s="20" t="n"/>
      <c r="S99" s="20" t="n"/>
      <c r="T99" s="20" t="n"/>
    </row>
    <row r="100" ht="18.75" customHeight="1">
      <c r="A100" s="12" t="n"/>
      <c r="B100" s="12" t="n"/>
      <c r="C100" s="12" t="n"/>
      <c r="D100" s="12" t="n"/>
      <c r="E100" s="12" t="n"/>
      <c r="F100" s="12" t="n"/>
      <c r="G100" s="12" t="n"/>
      <c r="H100" s="14">
        <f>IFERROR(VLOOKUP($B100,$A$25:$N$54,7,FALSE),"")</f>
        <v/>
      </c>
      <c r="I100" s="15">
        <f>IF($H100="Minor",1,IF($H100="Moderate",2,IF($H100="Major",3,IF($H100="Critical",4,""))))</f>
        <v/>
      </c>
      <c r="J100" s="16" t="n"/>
      <c r="K100" s="16" t="n"/>
      <c r="L100" s="15">
        <f>IF(OR($G100="Exact TP",$G100="Equivalent TP"),1,0)</f>
        <v/>
      </c>
      <c r="M100" s="15">
        <f>IF(OR($G100="FP Extra",$G100="Harmful FP"),1,0)</f>
        <v/>
      </c>
      <c r="N100" s="15">
        <f>IF(OR($G100="FN",$G100="Partial"),1,0)</f>
        <v/>
      </c>
      <c r="O100" s="15">
        <f>IF($L100=1,$I100,0)</f>
        <v/>
      </c>
      <c r="P100" s="15">
        <f>IF($M100=1,$I100,0)</f>
        <v/>
      </c>
      <c r="Q100" s="15">
        <f>IF($N100=1,$I100,0)</f>
        <v/>
      </c>
      <c r="R100" s="20" t="n"/>
      <c r="S100" s="20" t="n"/>
      <c r="T100" s="20" t="n"/>
    </row>
    <row r="101" ht="18.75" customHeight="1">
      <c r="A101" s="12" t="n"/>
      <c r="B101" s="12" t="n"/>
      <c r="C101" s="12" t="n"/>
      <c r="D101" s="12" t="n"/>
      <c r="E101" s="12" t="n"/>
      <c r="F101" s="12" t="n"/>
      <c r="G101" s="12" t="n"/>
      <c r="H101" s="14">
        <f>IFERROR(VLOOKUP($B101,$A$25:$N$54,7,FALSE),"")</f>
        <v/>
      </c>
      <c r="I101" s="15">
        <f>IF($H101="Minor",1,IF($H101="Moderate",2,IF($H101="Major",3,IF($H101="Critical",4,""))))</f>
        <v/>
      </c>
      <c r="J101" s="16" t="n"/>
      <c r="K101" s="16" t="n"/>
      <c r="L101" s="15">
        <f>IF(OR($G101="Exact TP",$G101="Equivalent TP"),1,0)</f>
        <v/>
      </c>
      <c r="M101" s="15">
        <f>IF(OR($G101="FP Extra",$G101="Harmful FP"),1,0)</f>
        <v/>
      </c>
      <c r="N101" s="15">
        <f>IF(OR($G101="FN",$G101="Partial"),1,0)</f>
        <v/>
      </c>
      <c r="O101" s="15">
        <f>IF($L101=1,$I101,0)</f>
        <v/>
      </c>
      <c r="P101" s="15">
        <f>IF($M101=1,$I101,0)</f>
        <v/>
      </c>
      <c r="Q101" s="15">
        <f>IF($N101=1,$I101,0)</f>
        <v/>
      </c>
      <c r="R101" s="20" t="n"/>
      <c r="S101" s="20" t="n"/>
      <c r="T101" s="20" t="n"/>
    </row>
    <row r="102" ht="18.75" customHeight="1">
      <c r="A102" s="12" t="n"/>
      <c r="B102" s="12" t="n"/>
      <c r="C102" s="12" t="n"/>
      <c r="D102" s="12" t="n"/>
      <c r="E102" s="12" t="n"/>
      <c r="F102" s="12" t="n"/>
      <c r="G102" s="12" t="n"/>
      <c r="H102" s="14">
        <f>IFERROR(VLOOKUP($B102,$A$25:$N$54,7,FALSE),"")</f>
        <v/>
      </c>
      <c r="I102" s="15">
        <f>IF($H102="Minor",1,IF($H102="Moderate",2,IF($H102="Major",3,IF($H102="Critical",4,""))))</f>
        <v/>
      </c>
      <c r="J102" s="16" t="n"/>
      <c r="K102" s="16" t="n"/>
      <c r="L102" s="15">
        <f>IF(OR($G102="Exact TP",$G102="Equivalent TP"),1,0)</f>
        <v/>
      </c>
      <c r="M102" s="15">
        <f>IF(OR($G102="FP Extra",$G102="Harmful FP"),1,0)</f>
        <v/>
      </c>
      <c r="N102" s="15">
        <f>IF(OR($G102="FN",$G102="Partial"),1,0)</f>
        <v/>
      </c>
      <c r="O102" s="15">
        <f>IF($L102=1,$I102,0)</f>
        <v/>
      </c>
      <c r="P102" s="15">
        <f>IF($M102=1,$I102,0)</f>
        <v/>
      </c>
      <c r="Q102" s="15">
        <f>IF($N102=1,$I102,0)</f>
        <v/>
      </c>
      <c r="R102" s="20" t="n"/>
      <c r="S102" s="20" t="n"/>
      <c r="T102" s="20" t="n"/>
    </row>
    <row r="103" ht="18.75" customHeight="1">
      <c r="A103" s="12" t="n"/>
      <c r="B103" s="12" t="n"/>
      <c r="C103" s="12" t="n"/>
      <c r="D103" s="12" t="n"/>
      <c r="E103" s="12" t="n"/>
      <c r="F103" s="12" t="n"/>
      <c r="G103" s="12" t="n"/>
      <c r="H103" s="14">
        <f>IFERROR(VLOOKUP($B103,$A$25:$N$54,7,FALSE),"")</f>
        <v/>
      </c>
      <c r="I103" s="15">
        <f>IF($H103="Minor",1,IF($H103="Moderate",2,IF($H103="Major",3,IF($H103="Critical",4,""))))</f>
        <v/>
      </c>
      <c r="J103" s="16" t="n"/>
      <c r="K103" s="16" t="n"/>
      <c r="L103" s="15">
        <f>IF(OR($G103="Exact TP",$G103="Equivalent TP"),1,0)</f>
        <v/>
      </c>
      <c r="M103" s="15">
        <f>IF(OR($G103="FP Extra",$G103="Harmful FP"),1,0)</f>
        <v/>
      </c>
      <c r="N103" s="15">
        <f>IF(OR($G103="FN",$G103="Partial"),1,0)</f>
        <v/>
      </c>
      <c r="O103" s="15">
        <f>IF($L103=1,$I103,0)</f>
        <v/>
      </c>
      <c r="P103" s="15">
        <f>IF($M103=1,$I103,0)</f>
        <v/>
      </c>
      <c r="Q103" s="15">
        <f>IF($N103=1,$I103,0)</f>
        <v/>
      </c>
      <c r="R103" s="20" t="n"/>
      <c r="S103" s="20" t="n"/>
      <c r="T103" s="20" t="n"/>
    </row>
    <row r="104" ht="18.75" customHeight="1">
      <c r="A104" s="12" t="n"/>
      <c r="B104" s="12" t="n"/>
      <c r="C104" s="12" t="n"/>
      <c r="D104" s="12" t="n"/>
      <c r="E104" s="12" t="n"/>
      <c r="F104" s="12" t="n"/>
      <c r="G104" s="12" t="n"/>
      <c r="H104" s="14">
        <f>IFERROR(VLOOKUP($B104,$A$25:$N$54,7,FALSE),"")</f>
        <v/>
      </c>
      <c r="I104" s="15">
        <f>IF($H104="Minor",1,IF($H104="Moderate",2,IF($H104="Major",3,IF($H104="Critical",4,""))))</f>
        <v/>
      </c>
      <c r="J104" s="16" t="n"/>
      <c r="K104" s="16" t="n"/>
      <c r="L104" s="15">
        <f>IF(OR($G104="Exact TP",$G104="Equivalent TP"),1,0)</f>
        <v/>
      </c>
      <c r="M104" s="15">
        <f>IF(OR($G104="FP Extra",$G104="Harmful FP"),1,0)</f>
        <v/>
      </c>
      <c r="N104" s="15">
        <f>IF(OR($G104="FN",$G104="Partial"),1,0)</f>
        <v/>
      </c>
      <c r="O104" s="15">
        <f>IF($L104=1,$I104,0)</f>
        <v/>
      </c>
      <c r="P104" s="15">
        <f>IF($M104=1,$I104,0)</f>
        <v/>
      </c>
      <c r="Q104" s="15">
        <f>IF($N104=1,$I104,0)</f>
        <v/>
      </c>
      <c r="R104" s="20" t="n"/>
      <c r="S104" s="20" t="n"/>
      <c r="T104" s="20" t="n"/>
    </row>
    <row r="105" ht="18.75" customHeight="1">
      <c r="A105" s="12" t="n"/>
      <c r="B105" s="12" t="n"/>
      <c r="C105" s="12" t="n"/>
      <c r="D105" s="12" t="n"/>
      <c r="E105" s="12" t="n"/>
      <c r="F105" s="12" t="n"/>
      <c r="G105" s="12" t="n"/>
      <c r="H105" s="14">
        <f>IFERROR(VLOOKUP($B105,$A$25:$N$54,7,FALSE),"")</f>
        <v/>
      </c>
      <c r="I105" s="15">
        <f>IF($H105="Minor",1,IF($H105="Moderate",2,IF($H105="Major",3,IF($H105="Critical",4,""))))</f>
        <v/>
      </c>
      <c r="J105" s="16" t="n"/>
      <c r="K105" s="16" t="n"/>
      <c r="L105" s="15">
        <f>IF(OR($G105="Exact TP",$G105="Equivalent TP"),1,0)</f>
        <v/>
      </c>
      <c r="M105" s="15">
        <f>IF(OR($G105="FP Extra",$G105="Harmful FP"),1,0)</f>
        <v/>
      </c>
      <c r="N105" s="15">
        <f>IF(OR($G105="FN",$G105="Partial"),1,0)</f>
        <v/>
      </c>
      <c r="O105" s="15">
        <f>IF($L105=1,$I105,0)</f>
        <v/>
      </c>
      <c r="P105" s="15">
        <f>IF($M105=1,$I105,0)</f>
        <v/>
      </c>
      <c r="Q105" s="15">
        <f>IF($N105=1,$I105,0)</f>
        <v/>
      </c>
      <c r="R105" s="20" t="n"/>
      <c r="S105" s="20" t="n"/>
      <c r="T105" s="20" t="n"/>
    </row>
    <row r="106" ht="18.75" customHeight="1">
      <c r="A106" s="12" t="n"/>
      <c r="B106" s="12" t="n"/>
      <c r="C106" s="12" t="n"/>
      <c r="D106" s="12" t="n"/>
      <c r="E106" s="12" t="n"/>
      <c r="F106" s="12" t="n"/>
      <c r="G106" s="12" t="n"/>
      <c r="H106" s="14">
        <f>IFERROR(VLOOKUP($B106,$A$25:$N$54,7,FALSE),"")</f>
        <v/>
      </c>
      <c r="I106" s="15">
        <f>IF($H106="Minor",1,IF($H106="Moderate",2,IF($H106="Major",3,IF($H106="Critical",4,""))))</f>
        <v/>
      </c>
      <c r="J106" s="16" t="n"/>
      <c r="K106" s="16" t="n"/>
      <c r="L106" s="15">
        <f>IF(OR($G106="Exact TP",$G106="Equivalent TP"),1,0)</f>
        <v/>
      </c>
      <c r="M106" s="15">
        <f>IF(OR($G106="FP Extra",$G106="Harmful FP"),1,0)</f>
        <v/>
      </c>
      <c r="N106" s="15">
        <f>IF(OR($G106="FN",$G106="Partial"),1,0)</f>
        <v/>
      </c>
      <c r="O106" s="15">
        <f>IF($L106=1,$I106,0)</f>
        <v/>
      </c>
      <c r="P106" s="15">
        <f>IF($M106=1,$I106,0)</f>
        <v/>
      </c>
      <c r="Q106" s="15">
        <f>IF($N106=1,$I106,0)</f>
        <v/>
      </c>
      <c r="R106" s="20" t="n"/>
      <c r="S106" s="20" t="n"/>
      <c r="T106" s="20" t="n"/>
    </row>
    <row r="107" ht="18.75" customHeight="1">
      <c r="A107" s="12" t="n"/>
      <c r="B107" s="12" t="n"/>
      <c r="C107" s="12" t="n"/>
      <c r="D107" s="12" t="n"/>
      <c r="E107" s="12" t="n"/>
      <c r="F107" s="12" t="n"/>
      <c r="G107" s="12" t="n"/>
      <c r="H107" s="14">
        <f>IFERROR(VLOOKUP($B107,$A$25:$N$54,7,FALSE),"")</f>
        <v/>
      </c>
      <c r="I107" s="15">
        <f>IF($H107="Minor",1,IF($H107="Moderate",2,IF($H107="Major",3,IF($H107="Critical",4,""))))</f>
        <v/>
      </c>
      <c r="J107" s="16" t="n"/>
      <c r="K107" s="16" t="n"/>
      <c r="L107" s="15">
        <f>IF(OR($G107="Exact TP",$G107="Equivalent TP"),1,0)</f>
        <v/>
      </c>
      <c r="M107" s="15">
        <f>IF(OR($G107="FP Extra",$G107="Harmful FP"),1,0)</f>
        <v/>
      </c>
      <c r="N107" s="15">
        <f>IF(OR($G107="FN",$G107="Partial"),1,0)</f>
        <v/>
      </c>
      <c r="O107" s="15">
        <f>IF($L107=1,$I107,0)</f>
        <v/>
      </c>
      <c r="P107" s="15">
        <f>IF($M107=1,$I107,0)</f>
        <v/>
      </c>
      <c r="Q107" s="15">
        <f>IF($N107=1,$I107,0)</f>
        <v/>
      </c>
      <c r="R107" s="20" t="n"/>
      <c r="S107" s="20" t="n"/>
      <c r="T107" s="20" t="n"/>
    </row>
    <row r="108" ht="18.75" customHeight="1">
      <c r="A108" s="12" t="n"/>
      <c r="B108" s="12" t="n"/>
      <c r="C108" s="12" t="n"/>
      <c r="D108" s="12" t="n"/>
      <c r="E108" s="12" t="n"/>
      <c r="F108" s="12" t="n"/>
      <c r="G108" s="12" t="n"/>
      <c r="H108" s="14">
        <f>IFERROR(VLOOKUP($B108,$A$25:$N$54,7,FALSE),"")</f>
        <v/>
      </c>
      <c r="I108" s="15">
        <f>IF($H108="Minor",1,IF($H108="Moderate",2,IF($H108="Major",3,IF($H108="Critical",4,""))))</f>
        <v/>
      </c>
      <c r="J108" s="16" t="n"/>
      <c r="K108" s="16" t="n"/>
      <c r="L108" s="15">
        <f>IF(OR($G108="Exact TP",$G108="Equivalent TP"),1,0)</f>
        <v/>
      </c>
      <c r="M108" s="15">
        <f>IF(OR($G108="FP Extra",$G108="Harmful FP"),1,0)</f>
        <v/>
      </c>
      <c r="N108" s="15">
        <f>IF(OR($G108="FN",$G108="Partial"),1,0)</f>
        <v/>
      </c>
      <c r="O108" s="15">
        <f>IF($L108=1,$I108,0)</f>
        <v/>
      </c>
      <c r="P108" s="15">
        <f>IF($M108=1,$I108,0)</f>
        <v/>
      </c>
      <c r="Q108" s="15">
        <f>IF($N108=1,$I108,0)</f>
        <v/>
      </c>
      <c r="R108" s="20" t="n"/>
      <c r="S108" s="20" t="n"/>
      <c r="T108" s="20" t="n"/>
    </row>
    <row r="109" ht="18.75" customHeight="1">
      <c r="A109" s="12" t="n"/>
      <c r="B109" s="12" t="n"/>
      <c r="C109" s="12" t="n"/>
      <c r="D109" s="12" t="n"/>
      <c r="E109" s="12" t="n"/>
      <c r="F109" s="12" t="n"/>
      <c r="G109" s="12" t="n"/>
      <c r="H109" s="14">
        <f>IFERROR(VLOOKUP($B109,$A$25:$N$54,7,FALSE),"")</f>
        <v/>
      </c>
      <c r="I109" s="15">
        <f>IF($H109="Minor",1,IF($H109="Moderate",2,IF($H109="Major",3,IF($H109="Critical",4,""))))</f>
        <v/>
      </c>
      <c r="J109" s="16" t="n"/>
      <c r="K109" s="16" t="n"/>
      <c r="L109" s="15">
        <f>IF(OR($G109="Exact TP",$G109="Equivalent TP"),1,0)</f>
        <v/>
      </c>
      <c r="M109" s="15">
        <f>IF(OR($G109="FP Extra",$G109="Harmful FP"),1,0)</f>
        <v/>
      </c>
      <c r="N109" s="15">
        <f>IF(OR($G109="FN",$G109="Partial"),1,0)</f>
        <v/>
      </c>
      <c r="O109" s="15">
        <f>IF($L109=1,$I109,0)</f>
        <v/>
      </c>
      <c r="P109" s="15">
        <f>IF($M109=1,$I109,0)</f>
        <v/>
      </c>
      <c r="Q109" s="15">
        <f>IF($N109=1,$I109,0)</f>
        <v/>
      </c>
      <c r="R109" s="20" t="n"/>
      <c r="S109" s="20" t="n"/>
      <c r="T109" s="20" t="n"/>
    </row>
    <row r="110" ht="18.75" customHeight="1">
      <c r="A110" s="12" t="n"/>
      <c r="B110" s="12" t="n"/>
      <c r="C110" s="12" t="n"/>
      <c r="D110" s="12" t="n"/>
      <c r="E110" s="12" t="n"/>
      <c r="F110" s="12" t="n"/>
      <c r="G110" s="12" t="n"/>
      <c r="H110" s="14">
        <f>IFERROR(VLOOKUP($B110,$A$25:$N$54,7,FALSE),"")</f>
        <v/>
      </c>
      <c r="I110" s="15">
        <f>IF($H110="Minor",1,IF($H110="Moderate",2,IF($H110="Major",3,IF($H110="Critical",4,""))))</f>
        <v/>
      </c>
      <c r="J110" s="16" t="n"/>
      <c r="K110" s="16" t="n"/>
      <c r="L110" s="15">
        <f>IF(OR($G110="Exact TP",$G110="Equivalent TP"),1,0)</f>
        <v/>
      </c>
      <c r="M110" s="15">
        <f>IF(OR($G110="FP Extra",$G110="Harmful FP"),1,0)</f>
        <v/>
      </c>
      <c r="N110" s="15">
        <f>IF(OR($G110="FN",$G110="Partial"),1,0)</f>
        <v/>
      </c>
      <c r="O110" s="15">
        <f>IF($L110=1,$I110,0)</f>
        <v/>
      </c>
      <c r="P110" s="15">
        <f>IF($M110=1,$I110,0)</f>
        <v/>
      </c>
      <c r="Q110" s="15">
        <f>IF($N110=1,$I110,0)</f>
        <v/>
      </c>
      <c r="R110" s="20" t="n"/>
      <c r="S110" s="20" t="n"/>
      <c r="T110" s="20" t="n"/>
    </row>
    <row r="111" ht="18.75" customHeight="1">
      <c r="A111" s="12" t="n"/>
      <c r="B111" s="12" t="n"/>
      <c r="C111" s="12" t="n"/>
      <c r="D111" s="12" t="n"/>
      <c r="E111" s="12" t="n"/>
      <c r="F111" s="12" t="n"/>
      <c r="G111" s="12" t="n"/>
      <c r="H111" s="14">
        <f>IFERROR(VLOOKUP($B111,$A$25:$N$54,7,FALSE),"")</f>
        <v/>
      </c>
      <c r="I111" s="15">
        <f>IF($H111="Minor",1,IF($H111="Moderate",2,IF($H111="Major",3,IF($H111="Critical",4,""))))</f>
        <v/>
      </c>
      <c r="J111" s="16" t="n"/>
      <c r="K111" s="16" t="n"/>
      <c r="L111" s="15">
        <f>IF(OR($G111="Exact TP",$G111="Equivalent TP"),1,0)</f>
        <v/>
      </c>
      <c r="M111" s="15">
        <f>IF(OR($G111="FP Extra",$G111="Harmful FP"),1,0)</f>
        <v/>
      </c>
      <c r="N111" s="15">
        <f>IF(OR($G111="FN",$G111="Partial"),1,0)</f>
        <v/>
      </c>
      <c r="O111" s="15">
        <f>IF($L111=1,$I111,0)</f>
        <v/>
      </c>
      <c r="P111" s="15">
        <f>IF($M111=1,$I111,0)</f>
        <v/>
      </c>
      <c r="Q111" s="15">
        <f>IF($N111=1,$I111,0)</f>
        <v/>
      </c>
      <c r="R111" s="20" t="n"/>
      <c r="S111" s="20" t="n"/>
      <c r="T111" s="20" t="n"/>
    </row>
    <row r="112" ht="18.75" customHeight="1">
      <c r="A112" s="12" t="n"/>
      <c r="B112" s="12" t="n"/>
      <c r="C112" s="12" t="n"/>
      <c r="D112" s="12" t="n"/>
      <c r="E112" s="12" t="n"/>
      <c r="F112" s="12" t="n"/>
      <c r="G112" s="12" t="n"/>
      <c r="H112" s="14">
        <f>IFERROR(VLOOKUP($B112,$A$25:$N$54,7,FALSE),"")</f>
        <v/>
      </c>
      <c r="I112" s="15">
        <f>IF($H112="Minor",1,IF($H112="Moderate",2,IF($H112="Major",3,IF($H112="Critical",4,""))))</f>
        <v/>
      </c>
      <c r="J112" s="16" t="n"/>
      <c r="K112" s="16" t="n"/>
      <c r="L112" s="15">
        <f>IF(OR($G112="Exact TP",$G112="Equivalent TP"),1,0)</f>
        <v/>
      </c>
      <c r="M112" s="15">
        <f>IF(OR($G112="FP Extra",$G112="Harmful FP"),1,0)</f>
        <v/>
      </c>
      <c r="N112" s="15">
        <f>IF(OR($G112="FN",$G112="Partial"),1,0)</f>
        <v/>
      </c>
      <c r="O112" s="15">
        <f>IF($L112=1,$I112,0)</f>
        <v/>
      </c>
      <c r="P112" s="15">
        <f>IF($M112=1,$I112,0)</f>
        <v/>
      </c>
      <c r="Q112" s="15">
        <f>IF($N112=1,$I112,0)</f>
        <v/>
      </c>
      <c r="R112" s="20" t="n"/>
      <c r="S112" s="20" t="n"/>
      <c r="T112" s="20" t="n"/>
    </row>
    <row r="113" ht="18.75" customHeight="1">
      <c r="A113" s="12" t="n"/>
      <c r="B113" s="12" t="n"/>
      <c r="C113" s="12" t="n"/>
      <c r="D113" s="12" t="n"/>
      <c r="E113" s="12" t="n"/>
      <c r="F113" s="12" t="n"/>
      <c r="G113" s="12" t="n"/>
      <c r="H113" s="14">
        <f>IFERROR(VLOOKUP($B113,$A$25:$N$54,7,FALSE),"")</f>
        <v/>
      </c>
      <c r="I113" s="15">
        <f>IF($H113="Minor",1,IF($H113="Moderate",2,IF($H113="Major",3,IF($H113="Critical",4,""))))</f>
        <v/>
      </c>
      <c r="J113" s="16" t="n"/>
      <c r="K113" s="16" t="n"/>
      <c r="L113" s="15">
        <f>IF(OR($G113="Exact TP",$G113="Equivalent TP"),1,0)</f>
        <v/>
      </c>
      <c r="M113" s="15">
        <f>IF(OR($G113="FP Extra",$G113="Harmful FP"),1,0)</f>
        <v/>
      </c>
      <c r="N113" s="15">
        <f>IF(OR($G113="FN",$G113="Partial"),1,0)</f>
        <v/>
      </c>
      <c r="O113" s="15">
        <f>IF($L113=1,$I113,0)</f>
        <v/>
      </c>
      <c r="P113" s="15">
        <f>IF($M113=1,$I113,0)</f>
        <v/>
      </c>
      <c r="Q113" s="15">
        <f>IF($N113=1,$I113,0)</f>
        <v/>
      </c>
      <c r="R113" s="20" t="n"/>
      <c r="S113" s="20" t="n"/>
      <c r="T113" s="20" t="n"/>
    </row>
    <row r="114" ht="18.75" customHeight="1">
      <c r="A114" s="12" t="n"/>
      <c r="B114" s="12" t="n"/>
      <c r="C114" s="12" t="n"/>
      <c r="D114" s="12" t="n"/>
      <c r="E114" s="12" t="n"/>
      <c r="F114" s="12" t="n"/>
      <c r="G114" s="12" t="n"/>
      <c r="H114" s="14">
        <f>IFERROR(VLOOKUP($B114,$A$25:$N$54,7,FALSE),"")</f>
        <v/>
      </c>
      <c r="I114" s="15">
        <f>IF($H114="Minor",1,IF($H114="Moderate",2,IF($H114="Major",3,IF($H114="Critical",4,""))))</f>
        <v/>
      </c>
      <c r="J114" s="16" t="n"/>
      <c r="K114" s="16" t="n"/>
      <c r="L114" s="15">
        <f>IF(OR($G114="Exact TP",$G114="Equivalent TP"),1,0)</f>
        <v/>
      </c>
      <c r="M114" s="15">
        <f>IF(OR($G114="FP Extra",$G114="Harmful FP"),1,0)</f>
        <v/>
      </c>
      <c r="N114" s="15">
        <f>IF(OR($G114="FN",$G114="Partial"),1,0)</f>
        <v/>
      </c>
      <c r="O114" s="15">
        <f>IF($L114=1,$I114,0)</f>
        <v/>
      </c>
      <c r="P114" s="15">
        <f>IF($M114=1,$I114,0)</f>
        <v/>
      </c>
      <c r="Q114" s="15">
        <f>IF($N114=1,$I114,0)</f>
        <v/>
      </c>
      <c r="R114" s="20" t="n"/>
      <c r="S114" s="20" t="n"/>
      <c r="T114" s="20" t="n"/>
    </row>
    <row r="115" ht="18.75" customHeight="1">
      <c r="A115" s="12" t="n"/>
      <c r="B115" s="12" t="n"/>
      <c r="C115" s="12" t="n"/>
      <c r="D115" s="12" t="n"/>
      <c r="E115" s="12" t="n"/>
      <c r="F115" s="12" t="n"/>
      <c r="G115" s="12" t="n"/>
      <c r="H115" s="14">
        <f>IFERROR(VLOOKUP($B115,$A$25:$N$54,7,FALSE),"")</f>
        <v/>
      </c>
      <c r="I115" s="15">
        <f>IF($H115="Minor",1,IF($H115="Moderate",2,IF($H115="Major",3,IF($H115="Critical",4,""))))</f>
        <v/>
      </c>
      <c r="J115" s="16" t="n"/>
      <c r="K115" s="16" t="n"/>
      <c r="L115" s="15">
        <f>IF(OR($G115="Exact TP",$G115="Equivalent TP"),1,0)</f>
        <v/>
      </c>
      <c r="M115" s="15">
        <f>IF(OR($G115="FP Extra",$G115="Harmful FP"),1,0)</f>
        <v/>
      </c>
      <c r="N115" s="15">
        <f>IF(OR($G115="FN",$G115="Partial"),1,0)</f>
        <v/>
      </c>
      <c r="O115" s="15">
        <f>IF($L115=1,$I115,0)</f>
        <v/>
      </c>
      <c r="P115" s="15">
        <f>IF($M115=1,$I115,0)</f>
        <v/>
      </c>
      <c r="Q115" s="15">
        <f>IF($N115=1,$I115,0)</f>
        <v/>
      </c>
      <c r="R115" s="20" t="n"/>
      <c r="S115" s="20" t="n"/>
      <c r="T115" s="20" t="n"/>
    </row>
    <row r="116" ht="18.75" customHeight="1">
      <c r="A116" s="12" t="n"/>
      <c r="B116" s="12" t="n"/>
      <c r="C116" s="12" t="n"/>
      <c r="D116" s="12" t="n"/>
      <c r="E116" s="12" t="n"/>
      <c r="F116" s="12" t="n"/>
      <c r="G116" s="12" t="n"/>
      <c r="H116" s="14">
        <f>IFERROR(VLOOKUP($B116,$A$25:$N$54,7,FALSE),"")</f>
        <v/>
      </c>
      <c r="I116" s="15">
        <f>IF($H116="Minor",1,IF($H116="Moderate",2,IF($H116="Major",3,IF($H116="Critical",4,""))))</f>
        <v/>
      </c>
      <c r="J116" s="16" t="n"/>
      <c r="K116" s="16" t="n"/>
      <c r="L116" s="15">
        <f>IF(OR($G116="Exact TP",$G116="Equivalent TP"),1,0)</f>
        <v/>
      </c>
      <c r="M116" s="15">
        <f>IF(OR($G116="FP Extra",$G116="Harmful FP"),1,0)</f>
        <v/>
      </c>
      <c r="N116" s="15">
        <f>IF(OR($G116="FN",$G116="Partial"),1,0)</f>
        <v/>
      </c>
      <c r="O116" s="15">
        <f>IF($L116=1,$I116,0)</f>
        <v/>
      </c>
      <c r="P116" s="15">
        <f>IF($M116=1,$I116,0)</f>
        <v/>
      </c>
      <c r="Q116" s="15">
        <f>IF($N116=1,$I116,0)</f>
        <v/>
      </c>
      <c r="R116" s="20" t="n"/>
      <c r="S116" s="20" t="n"/>
      <c r="T116" s="20" t="n"/>
    </row>
    <row r="117" ht="18.75" customHeight="1">
      <c r="A117" s="12" t="n"/>
      <c r="B117" s="12" t="n"/>
      <c r="C117" s="12" t="n"/>
      <c r="D117" s="12" t="n"/>
      <c r="E117" s="12" t="n"/>
      <c r="F117" s="12" t="n"/>
      <c r="G117" s="12" t="n"/>
      <c r="H117" s="14">
        <f>IFERROR(VLOOKUP($B117,$A$25:$N$54,7,FALSE),"")</f>
        <v/>
      </c>
      <c r="I117" s="15">
        <f>IF($H117="Minor",1,IF($H117="Moderate",2,IF($H117="Major",3,IF($H117="Critical",4,""))))</f>
        <v/>
      </c>
      <c r="J117" s="16" t="n"/>
      <c r="K117" s="16" t="n"/>
      <c r="L117" s="15">
        <f>IF(OR($G117="Exact TP",$G117="Equivalent TP"),1,0)</f>
        <v/>
      </c>
      <c r="M117" s="15">
        <f>IF(OR($G117="FP Extra",$G117="Harmful FP"),1,0)</f>
        <v/>
      </c>
      <c r="N117" s="15">
        <f>IF(OR($G117="FN",$G117="Partial"),1,0)</f>
        <v/>
      </c>
      <c r="O117" s="15">
        <f>IF($L117=1,$I117,0)</f>
        <v/>
      </c>
      <c r="P117" s="15">
        <f>IF($M117=1,$I117,0)</f>
        <v/>
      </c>
      <c r="Q117" s="15">
        <f>IF($N117=1,$I117,0)</f>
        <v/>
      </c>
      <c r="R117" s="20" t="n"/>
      <c r="S117" s="20" t="n"/>
      <c r="T117" s="20" t="n"/>
    </row>
    <row r="118" ht="18.75" customHeight="1">
      <c r="A118" s="12" t="n"/>
      <c r="B118" s="12" t="n"/>
      <c r="C118" s="12" t="n"/>
      <c r="D118" s="12" t="n"/>
      <c r="E118" s="12" t="n"/>
      <c r="F118" s="12" t="n"/>
      <c r="G118" s="12" t="n"/>
      <c r="H118" s="14">
        <f>IFERROR(VLOOKUP($B118,$A$25:$N$54,7,FALSE),"")</f>
        <v/>
      </c>
      <c r="I118" s="15">
        <f>IF($H118="Minor",1,IF($H118="Moderate",2,IF($H118="Major",3,IF($H118="Critical",4,""))))</f>
        <v/>
      </c>
      <c r="J118" s="16" t="n"/>
      <c r="K118" s="16" t="n"/>
      <c r="L118" s="15">
        <f>IF(OR($G118="Exact TP",$G118="Equivalent TP"),1,0)</f>
        <v/>
      </c>
      <c r="M118" s="15">
        <f>IF(OR($G118="FP Extra",$G118="Harmful FP"),1,0)</f>
        <v/>
      </c>
      <c r="N118" s="15">
        <f>IF(OR($G118="FN",$G118="Partial"),1,0)</f>
        <v/>
      </c>
      <c r="O118" s="15">
        <f>IF($L118=1,$I118,0)</f>
        <v/>
      </c>
      <c r="P118" s="15">
        <f>IF($M118=1,$I118,0)</f>
        <v/>
      </c>
      <c r="Q118" s="15">
        <f>IF($N118=1,$I118,0)</f>
        <v/>
      </c>
      <c r="R118" s="20" t="n"/>
      <c r="S118" s="20" t="n"/>
      <c r="T118" s="20" t="n"/>
    </row>
    <row r="119" ht="18.75" customHeight="1">
      <c r="A119" s="12" t="n"/>
      <c r="B119" s="12" t="n"/>
      <c r="C119" s="12" t="n"/>
      <c r="D119" s="12" t="n"/>
      <c r="E119" s="12" t="n"/>
      <c r="F119" s="12" t="n"/>
      <c r="G119" s="12" t="n"/>
      <c r="H119" s="14">
        <f>IFERROR(VLOOKUP($B119,$A$25:$N$54,7,FALSE),"")</f>
        <v/>
      </c>
      <c r="I119" s="15">
        <f>IF($H119="Minor",1,IF($H119="Moderate",2,IF($H119="Major",3,IF($H119="Critical",4,""))))</f>
        <v/>
      </c>
      <c r="J119" s="16" t="n"/>
      <c r="K119" s="16" t="n"/>
      <c r="L119" s="15">
        <f>IF(OR($G119="Exact TP",$G119="Equivalent TP"),1,0)</f>
        <v/>
      </c>
      <c r="M119" s="15">
        <f>IF(OR($G119="FP Extra",$G119="Harmful FP"),1,0)</f>
        <v/>
      </c>
      <c r="N119" s="15">
        <f>IF(OR($G119="FN",$G119="Partial"),1,0)</f>
        <v/>
      </c>
      <c r="O119" s="15">
        <f>IF($L119=1,$I119,0)</f>
        <v/>
      </c>
      <c r="P119" s="15">
        <f>IF($M119=1,$I119,0)</f>
        <v/>
      </c>
      <c r="Q119" s="15">
        <f>IF($N119=1,$I119,0)</f>
        <v/>
      </c>
      <c r="R119" s="20" t="n"/>
      <c r="S119" s="20" t="n"/>
      <c r="T119" s="20" t="n"/>
    </row>
    <row r="120" ht="18.75" customHeight="1">
      <c r="A120" s="12" t="n"/>
      <c r="B120" s="12" t="n"/>
      <c r="C120" s="12" t="n"/>
      <c r="D120" s="12" t="n"/>
      <c r="E120" s="12" t="n"/>
      <c r="F120" s="12" t="n"/>
      <c r="G120" s="12" t="n"/>
      <c r="H120" s="14">
        <f>IFERROR(VLOOKUP($B120,$A$25:$N$54,7,FALSE),"")</f>
        <v/>
      </c>
      <c r="I120" s="15">
        <f>IF($H120="Minor",1,IF($H120="Moderate",2,IF($H120="Major",3,IF($H120="Critical",4,""))))</f>
        <v/>
      </c>
      <c r="J120" s="16" t="n"/>
      <c r="K120" s="16" t="n"/>
      <c r="L120" s="15">
        <f>IF(OR($G120="Exact TP",$G120="Equivalent TP"),1,0)</f>
        <v/>
      </c>
      <c r="M120" s="15">
        <f>IF(OR($G120="FP Extra",$G120="Harmful FP"),1,0)</f>
        <v/>
      </c>
      <c r="N120" s="15">
        <f>IF(OR($G120="FN",$G120="Partial"),1,0)</f>
        <v/>
      </c>
      <c r="O120" s="15">
        <f>IF($L120=1,$I120,0)</f>
        <v/>
      </c>
      <c r="P120" s="15">
        <f>IF($M120=1,$I120,0)</f>
        <v/>
      </c>
      <c r="Q120" s="15">
        <f>IF($N120=1,$I120,0)</f>
        <v/>
      </c>
      <c r="R120" s="20" t="n"/>
      <c r="S120" s="20" t="n"/>
      <c r="T120" s="20" t="n"/>
    </row>
    <row r="121" ht="18.75" customHeight="1">
      <c r="A121" s="12" t="n"/>
      <c r="B121" s="12" t="n"/>
      <c r="C121" s="12" t="n"/>
      <c r="D121" s="12" t="n"/>
      <c r="E121" s="12" t="n"/>
      <c r="F121" s="12" t="n"/>
      <c r="G121" s="12" t="n"/>
      <c r="H121" s="14">
        <f>IFERROR(VLOOKUP($B121,$A$25:$N$54,7,FALSE),"")</f>
        <v/>
      </c>
      <c r="I121" s="15">
        <f>IF($H121="Minor",1,IF($H121="Moderate",2,IF($H121="Major",3,IF($H121="Critical",4,""))))</f>
        <v/>
      </c>
      <c r="J121" s="16" t="n"/>
      <c r="K121" s="16" t="n"/>
      <c r="L121" s="15">
        <f>IF(OR($G121="Exact TP",$G121="Equivalent TP"),1,0)</f>
        <v/>
      </c>
      <c r="M121" s="15">
        <f>IF(OR($G121="FP Extra",$G121="Harmful FP"),1,0)</f>
        <v/>
      </c>
      <c r="N121" s="15">
        <f>IF(OR($G121="FN",$G121="Partial"),1,0)</f>
        <v/>
      </c>
      <c r="O121" s="15">
        <f>IF($L121=1,$I121,0)</f>
        <v/>
      </c>
      <c r="P121" s="15">
        <f>IF($M121=1,$I121,0)</f>
        <v/>
      </c>
      <c r="Q121" s="15">
        <f>IF($N121=1,$I121,0)</f>
        <v/>
      </c>
      <c r="R121" s="20" t="n"/>
      <c r="S121" s="20" t="n"/>
      <c r="T121" s="20" t="n"/>
    </row>
    <row r="122" ht="18.75" customHeight="1">
      <c r="A122" s="12" t="n"/>
      <c r="B122" s="12" t="n"/>
      <c r="C122" s="12" t="n"/>
      <c r="D122" s="12" t="n"/>
      <c r="E122" s="12" t="n"/>
      <c r="F122" s="12" t="n"/>
      <c r="G122" s="12" t="n"/>
      <c r="H122" s="14">
        <f>IFERROR(VLOOKUP($B122,$A$25:$N$54,7,FALSE),"")</f>
        <v/>
      </c>
      <c r="I122" s="15">
        <f>IF($H122="Minor",1,IF($H122="Moderate",2,IF($H122="Major",3,IF($H122="Critical",4,""))))</f>
        <v/>
      </c>
      <c r="J122" s="16" t="n"/>
      <c r="K122" s="16" t="n"/>
      <c r="L122" s="15">
        <f>IF(OR($G122="Exact TP",$G122="Equivalent TP"),1,0)</f>
        <v/>
      </c>
      <c r="M122" s="15">
        <f>IF(OR($G122="FP Extra",$G122="Harmful FP"),1,0)</f>
        <v/>
      </c>
      <c r="N122" s="15">
        <f>IF(OR($G122="FN",$G122="Partial"),1,0)</f>
        <v/>
      </c>
      <c r="O122" s="15">
        <f>IF($L122=1,$I122,0)</f>
        <v/>
      </c>
      <c r="P122" s="15">
        <f>IF($M122=1,$I122,0)</f>
        <v/>
      </c>
      <c r="Q122" s="15">
        <f>IF($N122=1,$I122,0)</f>
        <v/>
      </c>
      <c r="R122" s="20" t="n"/>
      <c r="S122" s="20" t="n"/>
      <c r="T122" s="20" t="n"/>
    </row>
    <row r="123" ht="18.75" customHeight="1">
      <c r="A123" s="12" t="n"/>
      <c r="B123" s="12" t="n"/>
      <c r="C123" s="12" t="n"/>
      <c r="D123" s="12" t="n"/>
      <c r="E123" s="12" t="n"/>
      <c r="F123" s="12" t="n"/>
      <c r="G123" s="12" t="n"/>
      <c r="H123" s="14">
        <f>IFERROR(VLOOKUP($B123,$A$25:$N$54,7,FALSE),"")</f>
        <v/>
      </c>
      <c r="I123" s="15">
        <f>IF($H123="Minor",1,IF($H123="Moderate",2,IF($H123="Major",3,IF($H123="Critical",4,""))))</f>
        <v/>
      </c>
      <c r="J123" s="16" t="n"/>
      <c r="K123" s="16" t="n"/>
      <c r="L123" s="15">
        <f>IF(OR($G123="Exact TP",$G123="Equivalent TP"),1,0)</f>
        <v/>
      </c>
      <c r="M123" s="15">
        <f>IF(OR($G123="FP Extra",$G123="Harmful FP"),1,0)</f>
        <v/>
      </c>
      <c r="N123" s="15">
        <f>IF(OR($G123="FN",$G123="Partial"),1,0)</f>
        <v/>
      </c>
      <c r="O123" s="15">
        <f>IF($L123=1,$I123,0)</f>
        <v/>
      </c>
      <c r="P123" s="15">
        <f>IF($M123=1,$I123,0)</f>
        <v/>
      </c>
      <c r="Q123" s="15">
        <f>IF($N123=1,$I123,0)</f>
        <v/>
      </c>
      <c r="R123" s="20" t="n"/>
      <c r="S123" s="20" t="n"/>
      <c r="T123" s="20" t="n"/>
    </row>
    <row r="124" ht="18.75" customHeight="1">
      <c r="A124" s="12" t="n"/>
      <c r="B124" s="12" t="n"/>
      <c r="C124" s="12" t="n"/>
      <c r="D124" s="12" t="n"/>
      <c r="E124" s="12" t="n"/>
      <c r="F124" s="12" t="n"/>
      <c r="G124" s="12" t="n"/>
      <c r="H124" s="14">
        <f>IFERROR(VLOOKUP($B124,$A$25:$N$54,7,FALSE),"")</f>
        <v/>
      </c>
      <c r="I124" s="15">
        <f>IF($H124="Minor",1,IF($H124="Moderate",2,IF($H124="Major",3,IF($H124="Critical",4,""))))</f>
        <v/>
      </c>
      <c r="J124" s="16" t="n"/>
      <c r="K124" s="16" t="n"/>
      <c r="L124" s="15">
        <f>IF(OR($G124="Exact TP",$G124="Equivalent TP"),1,0)</f>
        <v/>
      </c>
      <c r="M124" s="15">
        <f>IF(OR($G124="FP Extra",$G124="Harmful FP"),1,0)</f>
        <v/>
      </c>
      <c r="N124" s="15">
        <f>IF(OR($G124="FN",$G124="Partial"),1,0)</f>
        <v/>
      </c>
      <c r="O124" s="15">
        <f>IF($L124=1,$I124,0)</f>
        <v/>
      </c>
      <c r="P124" s="15">
        <f>IF($M124=1,$I124,0)</f>
        <v/>
      </c>
      <c r="Q124" s="15">
        <f>IF($N124=1,$I124,0)</f>
        <v/>
      </c>
      <c r="R124" s="20" t="n"/>
      <c r="S124" s="20" t="n"/>
      <c r="T124" s="20" t="n"/>
    </row>
    <row r="125" ht="18.75" customHeight="1">
      <c r="A125" s="12" t="n"/>
      <c r="B125" s="12" t="n"/>
      <c r="C125" s="12" t="n"/>
      <c r="D125" s="12" t="n"/>
      <c r="E125" s="12" t="n"/>
      <c r="F125" s="12" t="n"/>
      <c r="G125" s="12" t="n"/>
      <c r="H125" s="14">
        <f>IFERROR(VLOOKUP($B125,$A$25:$N$54,7,FALSE),"")</f>
        <v/>
      </c>
      <c r="I125" s="15">
        <f>IF($H125="Minor",1,IF($H125="Moderate",2,IF($H125="Major",3,IF($H125="Critical",4,""))))</f>
        <v/>
      </c>
      <c r="J125" s="16" t="n"/>
      <c r="K125" s="16" t="n"/>
      <c r="L125" s="15">
        <f>IF(OR($G125="Exact TP",$G125="Equivalent TP"),1,0)</f>
        <v/>
      </c>
      <c r="M125" s="15">
        <f>IF(OR($G125="FP Extra",$G125="Harmful FP"),1,0)</f>
        <v/>
      </c>
      <c r="N125" s="15">
        <f>IF(OR($G125="FN",$G125="Partial"),1,0)</f>
        <v/>
      </c>
      <c r="O125" s="15">
        <f>IF($L125=1,$I125,0)</f>
        <v/>
      </c>
      <c r="P125" s="15">
        <f>IF($M125=1,$I125,0)</f>
        <v/>
      </c>
      <c r="Q125" s="15">
        <f>IF($N125=1,$I125,0)</f>
        <v/>
      </c>
      <c r="R125" s="20" t="n"/>
      <c r="S125" s="20" t="n"/>
      <c r="T125" s="20" t="n"/>
    </row>
    <row r="126" ht="18.75" customHeight="1">
      <c r="A126" s="12" t="n"/>
      <c r="B126" s="12" t="n"/>
      <c r="C126" s="12" t="n"/>
      <c r="D126" s="12" t="n"/>
      <c r="E126" s="12" t="n"/>
      <c r="F126" s="12" t="n"/>
      <c r="G126" s="12" t="n"/>
      <c r="H126" s="14">
        <f>IFERROR(VLOOKUP($B126,$A$25:$N$54,7,FALSE),"")</f>
        <v/>
      </c>
      <c r="I126" s="15">
        <f>IF($H126="Minor",1,IF($H126="Moderate",2,IF($H126="Major",3,IF($H126="Critical",4,""))))</f>
        <v/>
      </c>
      <c r="J126" s="16" t="n"/>
      <c r="K126" s="16" t="n"/>
      <c r="L126" s="15">
        <f>IF(OR($G126="Exact TP",$G126="Equivalent TP"),1,0)</f>
        <v/>
      </c>
      <c r="M126" s="15">
        <f>IF(OR($G126="FP Extra",$G126="Harmful FP"),1,0)</f>
        <v/>
      </c>
      <c r="N126" s="15">
        <f>IF(OR($G126="FN",$G126="Partial"),1,0)</f>
        <v/>
      </c>
      <c r="O126" s="15">
        <f>IF($L126=1,$I126,0)</f>
        <v/>
      </c>
      <c r="P126" s="15">
        <f>IF($M126=1,$I126,0)</f>
        <v/>
      </c>
      <c r="Q126" s="15">
        <f>IF($N126=1,$I126,0)</f>
        <v/>
      </c>
      <c r="R126" s="20" t="n"/>
      <c r="S126" s="20" t="n"/>
      <c r="T126" s="20" t="n"/>
    </row>
    <row r="127" ht="18.75" customHeight="1">
      <c r="A127" s="12" t="n"/>
      <c r="B127" s="12" t="n"/>
      <c r="C127" s="12" t="n"/>
      <c r="D127" s="12" t="n"/>
      <c r="E127" s="12" t="n"/>
      <c r="F127" s="12" t="n"/>
      <c r="G127" s="12" t="n"/>
      <c r="H127" s="14">
        <f>IFERROR(VLOOKUP($B127,$A$25:$N$54,7,FALSE),"")</f>
        <v/>
      </c>
      <c r="I127" s="15">
        <f>IF($H127="Minor",1,IF($H127="Moderate",2,IF($H127="Major",3,IF($H127="Critical",4,""))))</f>
        <v/>
      </c>
      <c r="J127" s="16" t="n"/>
      <c r="K127" s="16" t="n"/>
      <c r="L127" s="15">
        <f>IF(OR($G127="Exact TP",$G127="Equivalent TP"),1,0)</f>
        <v/>
      </c>
      <c r="M127" s="15">
        <f>IF(OR($G127="FP Extra",$G127="Harmful FP"),1,0)</f>
        <v/>
      </c>
      <c r="N127" s="15">
        <f>IF(OR($G127="FN",$G127="Partial"),1,0)</f>
        <v/>
      </c>
      <c r="O127" s="15">
        <f>IF($L127=1,$I127,0)</f>
        <v/>
      </c>
      <c r="P127" s="15">
        <f>IF($M127=1,$I127,0)</f>
        <v/>
      </c>
      <c r="Q127" s="15">
        <f>IF($N127=1,$I127,0)</f>
        <v/>
      </c>
      <c r="R127" s="20" t="n"/>
      <c r="S127" s="20" t="n"/>
      <c r="T127" s="20" t="n"/>
    </row>
    <row r="128" ht="18.75" customHeight="1">
      <c r="A128" s="12" t="n"/>
      <c r="B128" s="12" t="n"/>
      <c r="C128" s="12" t="n"/>
      <c r="D128" s="12" t="n"/>
      <c r="E128" s="12" t="n"/>
      <c r="F128" s="12" t="n"/>
      <c r="G128" s="12" t="n"/>
      <c r="H128" s="14">
        <f>IFERROR(VLOOKUP($B128,$A$25:$N$54,7,FALSE),"")</f>
        <v/>
      </c>
      <c r="I128" s="15">
        <f>IF($H128="Minor",1,IF($H128="Moderate",2,IF($H128="Major",3,IF($H128="Critical",4,""))))</f>
        <v/>
      </c>
      <c r="J128" s="16" t="n"/>
      <c r="K128" s="16" t="n"/>
      <c r="L128" s="15">
        <f>IF(OR($G128="Exact TP",$G128="Equivalent TP"),1,0)</f>
        <v/>
      </c>
      <c r="M128" s="15">
        <f>IF(OR($G128="FP Extra",$G128="Harmful FP"),1,0)</f>
        <v/>
      </c>
      <c r="N128" s="15">
        <f>IF(OR($G128="FN",$G128="Partial"),1,0)</f>
        <v/>
      </c>
      <c r="O128" s="15">
        <f>IF($L128=1,$I128,0)</f>
        <v/>
      </c>
      <c r="P128" s="15">
        <f>IF($M128=1,$I128,0)</f>
        <v/>
      </c>
      <c r="Q128" s="15">
        <f>IF($N128=1,$I128,0)</f>
        <v/>
      </c>
      <c r="R128" s="20" t="n"/>
      <c r="S128" s="20" t="n"/>
      <c r="T128" s="20" t="n"/>
    </row>
    <row r="129" ht="18.75" customHeight="1">
      <c r="A129" s="12" t="n"/>
      <c r="B129" s="12" t="n"/>
      <c r="C129" s="12" t="n"/>
      <c r="D129" s="12" t="n"/>
      <c r="E129" s="12" t="n"/>
      <c r="F129" s="12" t="n"/>
      <c r="G129" s="12" t="n"/>
      <c r="H129" s="14">
        <f>IFERROR(VLOOKUP($B129,$A$25:$N$54,7,FALSE),"")</f>
        <v/>
      </c>
      <c r="I129" s="15">
        <f>IF($H129="Minor",1,IF($H129="Moderate",2,IF($H129="Major",3,IF($H129="Critical",4,""))))</f>
        <v/>
      </c>
      <c r="J129" s="16" t="n"/>
      <c r="K129" s="16" t="n"/>
      <c r="L129" s="15">
        <f>IF(OR($G129="Exact TP",$G129="Equivalent TP"),1,0)</f>
        <v/>
      </c>
      <c r="M129" s="15">
        <f>IF(OR($G129="FP Extra",$G129="Harmful FP"),1,0)</f>
        <v/>
      </c>
      <c r="N129" s="15">
        <f>IF(OR($G129="FN",$G129="Partial"),1,0)</f>
        <v/>
      </c>
      <c r="O129" s="15">
        <f>IF($L129=1,$I129,0)</f>
        <v/>
      </c>
      <c r="P129" s="15">
        <f>IF($M129=1,$I129,0)</f>
        <v/>
      </c>
      <c r="Q129" s="15">
        <f>IF($N129=1,$I129,0)</f>
        <v/>
      </c>
      <c r="R129" s="20" t="n"/>
      <c r="S129" s="20" t="n"/>
      <c r="T129" s="20" t="n"/>
    </row>
    <row r="130" ht="18.75" customHeight="1">
      <c r="A130" s="12" t="n"/>
      <c r="B130" s="12" t="n"/>
      <c r="C130" s="12" t="n"/>
      <c r="D130" s="12" t="n"/>
      <c r="E130" s="12" t="n"/>
      <c r="F130" s="12" t="n"/>
      <c r="G130" s="12" t="n"/>
      <c r="H130" s="14">
        <f>IFERROR(VLOOKUP($B130,$A$25:$N$54,7,FALSE),"")</f>
        <v/>
      </c>
      <c r="I130" s="15">
        <f>IF($H130="Minor",1,IF($H130="Moderate",2,IF($H130="Major",3,IF($H130="Critical",4,""))))</f>
        <v/>
      </c>
      <c r="J130" s="16" t="n"/>
      <c r="K130" s="16" t="n"/>
      <c r="L130" s="15">
        <f>IF(OR($G130="Exact TP",$G130="Equivalent TP"),1,0)</f>
        <v/>
      </c>
      <c r="M130" s="15">
        <f>IF(OR($G130="FP Extra",$G130="Harmful FP"),1,0)</f>
        <v/>
      </c>
      <c r="N130" s="15">
        <f>IF(OR($G130="FN",$G130="Partial"),1,0)</f>
        <v/>
      </c>
      <c r="O130" s="15">
        <f>IF($L130=1,$I130,0)</f>
        <v/>
      </c>
      <c r="P130" s="15">
        <f>IF($M130=1,$I130,0)</f>
        <v/>
      </c>
      <c r="Q130" s="15">
        <f>IF($N130=1,$I130,0)</f>
        <v/>
      </c>
      <c r="R130" s="20" t="n"/>
      <c r="S130" s="20" t="n"/>
      <c r="T130" s="20" t="n"/>
    </row>
    <row r="131" ht="18.75" customHeight="1">
      <c r="A131" s="12" t="n"/>
      <c r="B131" s="12" t="n"/>
      <c r="C131" s="12" t="n"/>
      <c r="D131" s="12" t="n"/>
      <c r="E131" s="12" t="n"/>
      <c r="F131" s="12" t="n"/>
      <c r="G131" s="12" t="n"/>
      <c r="H131" s="14">
        <f>IFERROR(VLOOKUP($B131,$A$25:$N$54,7,FALSE),"")</f>
        <v/>
      </c>
      <c r="I131" s="15">
        <f>IF($H131="Minor",1,IF($H131="Moderate",2,IF($H131="Major",3,IF($H131="Critical",4,""))))</f>
        <v/>
      </c>
      <c r="J131" s="16" t="n"/>
      <c r="K131" s="16" t="n"/>
      <c r="L131" s="15">
        <f>IF(OR($G131="Exact TP",$G131="Equivalent TP"),1,0)</f>
        <v/>
      </c>
      <c r="M131" s="15">
        <f>IF(OR($G131="FP Extra",$G131="Harmful FP"),1,0)</f>
        <v/>
      </c>
      <c r="N131" s="15">
        <f>IF(OR($G131="FN",$G131="Partial"),1,0)</f>
        <v/>
      </c>
      <c r="O131" s="15">
        <f>IF($L131=1,$I131,0)</f>
        <v/>
      </c>
      <c r="P131" s="15">
        <f>IF($M131=1,$I131,0)</f>
        <v/>
      </c>
      <c r="Q131" s="15">
        <f>IF($N131=1,$I131,0)</f>
        <v/>
      </c>
      <c r="R131" s="20" t="n"/>
      <c r="S131" s="20" t="n"/>
      <c r="T131" s="20" t="n"/>
    </row>
    <row r="132" ht="18.75" customHeight="1">
      <c r="A132" s="12" t="n"/>
      <c r="B132" s="12" t="n"/>
      <c r="C132" s="12" t="n"/>
      <c r="D132" s="12" t="n"/>
      <c r="E132" s="12" t="n"/>
      <c r="F132" s="12" t="n"/>
      <c r="G132" s="12" t="n"/>
      <c r="H132" s="14">
        <f>IFERROR(VLOOKUP($B132,$A$25:$N$54,7,FALSE),"")</f>
        <v/>
      </c>
      <c r="I132" s="15">
        <f>IF($H132="Minor",1,IF($H132="Moderate",2,IF($H132="Major",3,IF($H132="Critical",4,""))))</f>
        <v/>
      </c>
      <c r="J132" s="16" t="n"/>
      <c r="K132" s="16" t="n"/>
      <c r="L132" s="15">
        <f>IF(OR($G132="Exact TP",$G132="Equivalent TP"),1,0)</f>
        <v/>
      </c>
      <c r="M132" s="15">
        <f>IF(OR($G132="FP Extra",$G132="Harmful FP"),1,0)</f>
        <v/>
      </c>
      <c r="N132" s="15">
        <f>IF(OR($G132="FN",$G132="Partial"),1,0)</f>
        <v/>
      </c>
      <c r="O132" s="15">
        <f>IF($L132=1,$I132,0)</f>
        <v/>
      </c>
      <c r="P132" s="15">
        <f>IF($M132=1,$I132,0)</f>
        <v/>
      </c>
      <c r="Q132" s="15">
        <f>IF($N132=1,$I132,0)</f>
        <v/>
      </c>
      <c r="R132" s="20" t="n"/>
      <c r="S132" s="20" t="n"/>
      <c r="T132" s="20" t="n"/>
    </row>
    <row r="133" ht="18.75" customHeight="1">
      <c r="A133" s="12" t="n"/>
      <c r="B133" s="12" t="n"/>
      <c r="C133" s="12" t="n"/>
      <c r="D133" s="12" t="n"/>
      <c r="E133" s="12" t="n"/>
      <c r="F133" s="12" t="n"/>
      <c r="G133" s="12" t="n"/>
      <c r="H133" s="14">
        <f>IFERROR(VLOOKUP($B133,$A$25:$N$54,7,FALSE),"")</f>
        <v/>
      </c>
      <c r="I133" s="15">
        <f>IF($H133="Minor",1,IF($H133="Moderate",2,IF($H133="Major",3,IF($H133="Critical",4,""))))</f>
        <v/>
      </c>
      <c r="J133" s="16" t="n"/>
      <c r="K133" s="16" t="n"/>
      <c r="L133" s="15">
        <f>IF(OR($G133="Exact TP",$G133="Equivalent TP"),1,0)</f>
        <v/>
      </c>
      <c r="M133" s="15">
        <f>IF(OR($G133="FP Extra",$G133="Harmful FP"),1,0)</f>
        <v/>
      </c>
      <c r="N133" s="15">
        <f>IF(OR($G133="FN",$G133="Partial"),1,0)</f>
        <v/>
      </c>
      <c r="O133" s="15">
        <f>IF($L133=1,$I133,0)</f>
        <v/>
      </c>
      <c r="P133" s="15">
        <f>IF($M133=1,$I133,0)</f>
        <v/>
      </c>
      <c r="Q133" s="15">
        <f>IF($N133=1,$I133,0)</f>
        <v/>
      </c>
      <c r="R133" s="20" t="n"/>
      <c r="S133" s="20" t="n"/>
      <c r="T133" s="20" t="n"/>
    </row>
    <row r="134" ht="18.75" customHeight="1">
      <c r="A134" s="12" t="n"/>
      <c r="B134" s="12" t="n"/>
      <c r="C134" s="12" t="n"/>
      <c r="D134" s="12" t="n"/>
      <c r="E134" s="12" t="n"/>
      <c r="F134" s="12" t="n"/>
      <c r="G134" s="12" t="n"/>
      <c r="H134" s="14">
        <f>IFERROR(VLOOKUP($B134,$A$25:$N$54,7,FALSE),"")</f>
        <v/>
      </c>
      <c r="I134" s="15">
        <f>IF($H134="Minor",1,IF($H134="Moderate",2,IF($H134="Major",3,IF($H134="Critical",4,""))))</f>
        <v/>
      </c>
      <c r="J134" s="16" t="n"/>
      <c r="K134" s="16" t="n"/>
      <c r="L134" s="15">
        <f>IF(OR($G134="Exact TP",$G134="Equivalent TP"),1,0)</f>
        <v/>
      </c>
      <c r="M134" s="15">
        <f>IF(OR($G134="FP Extra",$G134="Harmful FP"),1,0)</f>
        <v/>
      </c>
      <c r="N134" s="15">
        <f>IF(OR($G134="FN",$G134="Partial"),1,0)</f>
        <v/>
      </c>
      <c r="O134" s="15">
        <f>IF($L134=1,$I134,0)</f>
        <v/>
      </c>
      <c r="P134" s="15">
        <f>IF($M134=1,$I134,0)</f>
        <v/>
      </c>
      <c r="Q134" s="15">
        <f>IF($N134=1,$I134,0)</f>
        <v/>
      </c>
      <c r="R134" s="20" t="n"/>
      <c r="S134" s="20" t="n"/>
      <c r="T134" s="20" t="n"/>
    </row>
    <row r="135" ht="18.75" customHeight="1">
      <c r="A135" s="12" t="n"/>
      <c r="B135" s="12" t="n"/>
      <c r="C135" s="12" t="n"/>
      <c r="D135" s="12" t="n"/>
      <c r="E135" s="12" t="n"/>
      <c r="F135" s="12" t="n"/>
      <c r="G135" s="12" t="n"/>
      <c r="H135" s="14">
        <f>IFERROR(VLOOKUP($B135,$A$25:$N$54,7,FALSE),"")</f>
        <v/>
      </c>
      <c r="I135" s="15">
        <f>IF($H135="Minor",1,IF($H135="Moderate",2,IF($H135="Major",3,IF($H135="Critical",4,""))))</f>
        <v/>
      </c>
      <c r="J135" s="16" t="n"/>
      <c r="K135" s="16" t="n"/>
      <c r="L135" s="15">
        <f>IF(OR($G135="Exact TP",$G135="Equivalent TP"),1,0)</f>
        <v/>
      </c>
      <c r="M135" s="15">
        <f>IF(OR($G135="FP Extra",$G135="Harmful FP"),1,0)</f>
        <v/>
      </c>
      <c r="N135" s="15">
        <f>IF(OR($G135="FN",$G135="Partial"),1,0)</f>
        <v/>
      </c>
      <c r="O135" s="15">
        <f>IF($L135=1,$I135,0)</f>
        <v/>
      </c>
      <c r="P135" s="15">
        <f>IF($M135=1,$I135,0)</f>
        <v/>
      </c>
      <c r="Q135" s="15">
        <f>IF($N135=1,$I135,0)</f>
        <v/>
      </c>
      <c r="R135" s="20" t="n"/>
      <c r="S135" s="20" t="n"/>
      <c r="T135" s="20" t="n"/>
    </row>
    <row r="136" ht="18.75" customHeight="1">
      <c r="A136" s="12" t="n"/>
      <c r="B136" s="12" t="n"/>
      <c r="C136" s="12" t="n"/>
      <c r="D136" s="12" t="n"/>
      <c r="E136" s="12" t="n"/>
      <c r="F136" s="12" t="n"/>
      <c r="G136" s="12" t="n"/>
      <c r="H136" s="14">
        <f>IFERROR(VLOOKUP($B136,$A$25:$N$54,7,FALSE),"")</f>
        <v/>
      </c>
      <c r="I136" s="15">
        <f>IF($H136="Minor",1,IF($H136="Moderate",2,IF($H136="Major",3,IF($H136="Critical",4,""))))</f>
        <v/>
      </c>
      <c r="J136" s="16" t="n"/>
      <c r="K136" s="16" t="n"/>
      <c r="L136" s="15">
        <f>IF(OR($G136="Exact TP",$G136="Equivalent TP"),1,0)</f>
        <v/>
      </c>
      <c r="M136" s="15">
        <f>IF(OR($G136="FP Extra",$G136="Harmful FP"),1,0)</f>
        <v/>
      </c>
      <c r="N136" s="15">
        <f>IF(OR($G136="FN",$G136="Partial"),1,0)</f>
        <v/>
      </c>
      <c r="O136" s="15">
        <f>IF($L136=1,$I136,0)</f>
        <v/>
      </c>
      <c r="P136" s="15">
        <f>IF($M136=1,$I136,0)</f>
        <v/>
      </c>
      <c r="Q136" s="15">
        <f>IF($N136=1,$I136,0)</f>
        <v/>
      </c>
      <c r="R136" s="20" t="n"/>
      <c r="S136" s="20" t="n"/>
      <c r="T136" s="20" t="n"/>
    </row>
    <row r="137" ht="18.75" customHeight="1">
      <c r="A137" s="12" t="n"/>
      <c r="B137" s="12" t="n"/>
      <c r="C137" s="12" t="n"/>
      <c r="D137" s="12" t="n"/>
      <c r="E137" s="12" t="n"/>
      <c r="F137" s="12" t="n"/>
      <c r="G137" s="12" t="n"/>
      <c r="H137" s="14">
        <f>IFERROR(VLOOKUP($B137,$A$25:$N$54,7,FALSE),"")</f>
        <v/>
      </c>
      <c r="I137" s="15">
        <f>IF($H137="Minor",1,IF($H137="Moderate",2,IF($H137="Major",3,IF($H137="Critical",4,""))))</f>
        <v/>
      </c>
      <c r="J137" s="16" t="n"/>
      <c r="K137" s="16" t="n"/>
      <c r="L137" s="15">
        <f>IF(OR($G137="Exact TP",$G137="Equivalent TP"),1,0)</f>
        <v/>
      </c>
      <c r="M137" s="15">
        <f>IF(OR($G137="FP Extra",$G137="Harmful FP"),1,0)</f>
        <v/>
      </c>
      <c r="N137" s="15">
        <f>IF(OR($G137="FN",$G137="Partial"),1,0)</f>
        <v/>
      </c>
      <c r="O137" s="15">
        <f>IF($L137=1,$I137,0)</f>
        <v/>
      </c>
      <c r="P137" s="15">
        <f>IF($M137=1,$I137,0)</f>
        <v/>
      </c>
      <c r="Q137" s="15">
        <f>IF($N137=1,$I137,0)</f>
        <v/>
      </c>
      <c r="R137" s="20" t="n"/>
      <c r="S137" s="20" t="n"/>
      <c r="T137" s="20" t="n"/>
    </row>
    <row r="138" ht="18.75" customHeight="1">
      <c r="A138" s="12" t="n"/>
      <c r="B138" s="12" t="n"/>
      <c r="C138" s="12" t="n"/>
      <c r="D138" s="12" t="n"/>
      <c r="E138" s="12" t="n"/>
      <c r="F138" s="12" t="n"/>
      <c r="G138" s="12" t="n"/>
      <c r="H138" s="14">
        <f>IFERROR(VLOOKUP($B138,$A$25:$N$54,7,FALSE),"")</f>
        <v/>
      </c>
      <c r="I138" s="15">
        <f>IF($H138="Minor",1,IF($H138="Moderate",2,IF($H138="Major",3,IF($H138="Critical",4,""))))</f>
        <v/>
      </c>
      <c r="J138" s="16" t="n"/>
      <c r="K138" s="16" t="n"/>
      <c r="L138" s="15">
        <f>IF(OR($G138="Exact TP",$G138="Equivalent TP"),1,0)</f>
        <v/>
      </c>
      <c r="M138" s="15">
        <f>IF(OR($G138="FP Extra",$G138="Harmful FP"),1,0)</f>
        <v/>
      </c>
      <c r="N138" s="15">
        <f>IF(OR($G138="FN",$G138="Partial"),1,0)</f>
        <v/>
      </c>
      <c r="O138" s="15">
        <f>IF($L138=1,$I138,0)</f>
        <v/>
      </c>
      <c r="P138" s="15">
        <f>IF($M138=1,$I138,0)</f>
        <v/>
      </c>
      <c r="Q138" s="15">
        <f>IF($N138=1,$I138,0)</f>
        <v/>
      </c>
      <c r="R138" s="20" t="n"/>
      <c r="S138" s="20" t="n"/>
      <c r="T138" s="20" t="n"/>
    </row>
    <row r="139" ht="18.75" customHeight="1">
      <c r="A139" s="12" t="n"/>
      <c r="B139" s="12" t="n"/>
      <c r="C139" s="12" t="n"/>
      <c r="D139" s="12" t="n"/>
      <c r="E139" s="12" t="n"/>
      <c r="F139" s="12" t="n"/>
      <c r="G139" s="12" t="n"/>
      <c r="H139" s="14">
        <f>IFERROR(VLOOKUP($B139,$A$25:$N$54,7,FALSE),"")</f>
        <v/>
      </c>
      <c r="I139" s="15">
        <f>IF($H139="Minor",1,IF($H139="Moderate",2,IF($H139="Major",3,IF($H139="Critical",4,""))))</f>
        <v/>
      </c>
      <c r="J139" s="16" t="n"/>
      <c r="K139" s="16" t="n"/>
      <c r="L139" s="15">
        <f>IF(OR($G139="Exact TP",$G139="Equivalent TP"),1,0)</f>
        <v/>
      </c>
      <c r="M139" s="15">
        <f>IF(OR($G139="FP Extra",$G139="Harmful FP"),1,0)</f>
        <v/>
      </c>
      <c r="N139" s="15">
        <f>IF(OR($G139="FN",$G139="Partial"),1,0)</f>
        <v/>
      </c>
      <c r="O139" s="15">
        <f>IF($L139=1,$I139,0)</f>
        <v/>
      </c>
      <c r="P139" s="15">
        <f>IF($M139=1,$I139,0)</f>
        <v/>
      </c>
      <c r="Q139" s="15">
        <f>IF($N139=1,$I139,0)</f>
        <v/>
      </c>
      <c r="R139" s="20" t="n"/>
      <c r="S139" s="20" t="n"/>
      <c r="T139" s="20" t="n"/>
    </row>
    <row r="140" ht="18.75" customHeight="1">
      <c r="A140" s="12" t="n"/>
      <c r="B140" s="12" t="n"/>
      <c r="C140" s="12" t="n"/>
      <c r="D140" s="12" t="n"/>
      <c r="E140" s="12" t="n"/>
      <c r="F140" s="12" t="n"/>
      <c r="G140" s="12" t="n"/>
      <c r="H140" s="14">
        <f>IFERROR(VLOOKUP($B140,$A$25:$N$54,7,FALSE),"")</f>
        <v/>
      </c>
      <c r="I140" s="15">
        <f>IF($H140="Minor",1,IF($H140="Moderate",2,IF($H140="Major",3,IF($H140="Critical",4,""))))</f>
        <v/>
      </c>
      <c r="J140" s="16" t="n"/>
      <c r="K140" s="16" t="n"/>
      <c r="L140" s="15">
        <f>IF(OR($G140="Exact TP",$G140="Equivalent TP"),1,0)</f>
        <v/>
      </c>
      <c r="M140" s="15">
        <f>IF(OR($G140="FP Extra",$G140="Harmful FP"),1,0)</f>
        <v/>
      </c>
      <c r="N140" s="15">
        <f>IF(OR($G140="FN",$G140="Partial"),1,0)</f>
        <v/>
      </c>
      <c r="O140" s="15">
        <f>IF($L140=1,$I140,0)</f>
        <v/>
      </c>
      <c r="P140" s="15">
        <f>IF($M140=1,$I140,0)</f>
        <v/>
      </c>
      <c r="Q140" s="15">
        <f>IF($N140=1,$I140,0)</f>
        <v/>
      </c>
      <c r="R140" s="20" t="n"/>
      <c r="S140" s="20" t="n"/>
      <c r="T140" s="20" t="n"/>
    </row>
    <row r="141" ht="18.75" customHeight="1">
      <c r="A141" s="12" t="n"/>
      <c r="B141" s="12" t="n"/>
      <c r="C141" s="12" t="n"/>
      <c r="D141" s="12" t="n"/>
      <c r="E141" s="12" t="n"/>
      <c r="F141" s="12" t="n"/>
      <c r="G141" s="12" t="n"/>
      <c r="H141" s="14">
        <f>IFERROR(VLOOKUP($B141,$A$25:$N$54,7,FALSE),"")</f>
        <v/>
      </c>
      <c r="I141" s="15">
        <f>IF($H141="Minor",1,IF($H141="Moderate",2,IF($H141="Major",3,IF($H141="Critical",4,""))))</f>
        <v/>
      </c>
      <c r="J141" s="16" t="n"/>
      <c r="K141" s="16" t="n"/>
      <c r="L141" s="15">
        <f>IF(OR($G141="Exact TP",$G141="Equivalent TP"),1,0)</f>
        <v/>
      </c>
      <c r="M141" s="15">
        <f>IF(OR($G141="FP Extra",$G141="Harmful FP"),1,0)</f>
        <v/>
      </c>
      <c r="N141" s="15">
        <f>IF(OR($G141="FN",$G141="Partial"),1,0)</f>
        <v/>
      </c>
      <c r="O141" s="15">
        <f>IF($L141=1,$I141,0)</f>
        <v/>
      </c>
      <c r="P141" s="15">
        <f>IF($M141=1,$I141,0)</f>
        <v/>
      </c>
      <c r="Q141" s="15">
        <f>IF($N141=1,$I141,0)</f>
        <v/>
      </c>
      <c r="R141" s="20" t="n"/>
      <c r="S141" s="20" t="n"/>
      <c r="T141" s="20" t="n"/>
    </row>
    <row r="142" ht="18.75" customHeight="1">
      <c r="A142" s="12" t="n"/>
      <c r="B142" s="12" t="n"/>
      <c r="C142" s="12" t="n"/>
      <c r="D142" s="12" t="n"/>
      <c r="E142" s="12" t="n"/>
      <c r="F142" s="12" t="n"/>
      <c r="G142" s="12" t="n"/>
      <c r="H142" s="14">
        <f>IFERROR(VLOOKUP($B142,$A$25:$N$54,7,FALSE),"")</f>
        <v/>
      </c>
      <c r="I142" s="15">
        <f>IF($H142="Minor",1,IF($H142="Moderate",2,IF($H142="Major",3,IF($H142="Critical",4,""))))</f>
        <v/>
      </c>
      <c r="J142" s="16" t="n"/>
      <c r="K142" s="16" t="n"/>
      <c r="L142" s="15">
        <f>IF(OR($G142="Exact TP",$G142="Equivalent TP"),1,0)</f>
        <v/>
      </c>
      <c r="M142" s="15">
        <f>IF(OR($G142="FP Extra",$G142="Harmful FP"),1,0)</f>
        <v/>
      </c>
      <c r="N142" s="15">
        <f>IF(OR($G142="FN",$G142="Partial"),1,0)</f>
        <v/>
      </c>
      <c r="O142" s="15">
        <f>IF($L142=1,$I142,0)</f>
        <v/>
      </c>
      <c r="P142" s="15">
        <f>IF($M142=1,$I142,0)</f>
        <v/>
      </c>
      <c r="Q142" s="15">
        <f>IF($N142=1,$I142,0)</f>
        <v/>
      </c>
      <c r="R142" s="20" t="n"/>
      <c r="S142" s="20" t="n"/>
      <c r="T142" s="20" t="n"/>
    </row>
    <row r="143" ht="18.75" customHeight="1">
      <c r="A143" s="12" t="n"/>
      <c r="B143" s="12" t="n"/>
      <c r="C143" s="12" t="n"/>
      <c r="D143" s="12" t="n"/>
      <c r="E143" s="12" t="n"/>
      <c r="F143" s="12" t="n"/>
      <c r="G143" s="12" t="n"/>
      <c r="H143" s="14">
        <f>IFERROR(VLOOKUP($B143,$A$25:$N$54,7,FALSE),"")</f>
        <v/>
      </c>
      <c r="I143" s="15">
        <f>IF($H143="Minor",1,IF($H143="Moderate",2,IF($H143="Major",3,IF($H143="Critical",4,""))))</f>
        <v/>
      </c>
      <c r="J143" s="16" t="n"/>
      <c r="K143" s="16" t="n"/>
      <c r="L143" s="15">
        <f>IF(OR($G143="Exact TP",$G143="Equivalent TP"),1,0)</f>
        <v/>
      </c>
      <c r="M143" s="15">
        <f>IF(OR($G143="FP Extra",$G143="Harmful FP"),1,0)</f>
        <v/>
      </c>
      <c r="N143" s="15">
        <f>IF(OR($G143="FN",$G143="Partial"),1,0)</f>
        <v/>
      </c>
      <c r="O143" s="15">
        <f>IF($L143=1,$I143,0)</f>
        <v/>
      </c>
      <c r="P143" s="15">
        <f>IF($M143=1,$I143,0)</f>
        <v/>
      </c>
      <c r="Q143" s="15">
        <f>IF($N143=1,$I143,0)</f>
        <v/>
      </c>
      <c r="R143" s="20" t="n"/>
      <c r="S143" s="20" t="n"/>
      <c r="T143" s="20" t="n"/>
    </row>
    <row r="144" ht="18.75" customHeight="1">
      <c r="A144" s="12" t="n"/>
      <c r="B144" s="12" t="n"/>
      <c r="C144" s="12" t="n"/>
      <c r="D144" s="12" t="n"/>
      <c r="E144" s="12" t="n"/>
      <c r="F144" s="12" t="n"/>
      <c r="G144" s="12" t="n"/>
      <c r="H144" s="14">
        <f>IFERROR(VLOOKUP($B144,$A$25:$N$54,7,FALSE),"")</f>
        <v/>
      </c>
      <c r="I144" s="15">
        <f>IF($H144="Minor",1,IF($H144="Moderate",2,IF($H144="Major",3,IF($H144="Critical",4,""))))</f>
        <v/>
      </c>
      <c r="J144" s="16" t="n"/>
      <c r="K144" s="16" t="n"/>
      <c r="L144" s="15">
        <f>IF(OR($G144="Exact TP",$G144="Equivalent TP"),1,0)</f>
        <v/>
      </c>
      <c r="M144" s="15">
        <f>IF(OR($G144="FP Extra",$G144="Harmful FP"),1,0)</f>
        <v/>
      </c>
      <c r="N144" s="15">
        <f>IF(OR($G144="FN",$G144="Partial"),1,0)</f>
        <v/>
      </c>
      <c r="O144" s="15">
        <f>IF($L144=1,$I144,0)</f>
        <v/>
      </c>
      <c r="P144" s="15">
        <f>IF($M144=1,$I144,0)</f>
        <v/>
      </c>
      <c r="Q144" s="15">
        <f>IF($N144=1,$I144,0)</f>
        <v/>
      </c>
      <c r="R144" s="20" t="n"/>
      <c r="S144" s="20" t="n"/>
      <c r="T144" s="20" t="n"/>
    </row>
    <row r="145" ht="18.75" customHeight="1">
      <c r="A145" s="12" t="n"/>
      <c r="B145" s="12" t="n"/>
      <c r="C145" s="12" t="n"/>
      <c r="D145" s="12" t="n"/>
      <c r="E145" s="12" t="n"/>
      <c r="F145" s="12" t="n"/>
      <c r="G145" s="12" t="n"/>
      <c r="H145" s="14">
        <f>IFERROR(VLOOKUP($B145,$A$25:$N$54,7,FALSE),"")</f>
        <v/>
      </c>
      <c r="I145" s="15">
        <f>IF($H145="Minor",1,IF($H145="Moderate",2,IF($H145="Major",3,IF($H145="Critical",4,""))))</f>
        <v/>
      </c>
      <c r="J145" s="16" t="n"/>
      <c r="K145" s="16" t="n"/>
      <c r="L145" s="15">
        <f>IF(OR($G145="Exact TP",$G145="Equivalent TP"),1,0)</f>
        <v/>
      </c>
      <c r="M145" s="15">
        <f>IF(OR($G145="FP Extra",$G145="Harmful FP"),1,0)</f>
        <v/>
      </c>
      <c r="N145" s="15">
        <f>IF(OR($G145="FN",$G145="Partial"),1,0)</f>
        <v/>
      </c>
      <c r="O145" s="15">
        <f>IF($L145=1,$I145,0)</f>
        <v/>
      </c>
      <c r="P145" s="15">
        <f>IF($M145=1,$I145,0)</f>
        <v/>
      </c>
      <c r="Q145" s="15">
        <f>IF($N145=1,$I145,0)</f>
        <v/>
      </c>
      <c r="R145" s="20" t="n"/>
      <c r="S145" s="20" t="n"/>
      <c r="T145" s="20" t="n"/>
    </row>
    <row r="146" ht="18.75" customHeight="1">
      <c r="A146" s="12" t="n"/>
      <c r="B146" s="12" t="n"/>
      <c r="C146" s="12" t="n"/>
      <c r="D146" s="12" t="n"/>
      <c r="E146" s="12" t="n"/>
      <c r="F146" s="12" t="n"/>
      <c r="G146" s="12" t="n"/>
      <c r="H146" s="14">
        <f>IFERROR(VLOOKUP($B146,$A$25:$N$54,7,FALSE),"")</f>
        <v/>
      </c>
      <c r="I146" s="15">
        <f>IF($H146="Minor",1,IF($H146="Moderate",2,IF($H146="Major",3,IF($H146="Critical",4,""))))</f>
        <v/>
      </c>
      <c r="J146" s="16" t="n"/>
      <c r="K146" s="16" t="n"/>
      <c r="L146" s="15">
        <f>IF(OR($G146="Exact TP",$G146="Equivalent TP"),1,0)</f>
        <v/>
      </c>
      <c r="M146" s="15">
        <f>IF(OR($G146="FP Extra",$G146="Harmful FP"),1,0)</f>
        <v/>
      </c>
      <c r="N146" s="15">
        <f>IF(OR($G146="FN",$G146="Partial"),1,0)</f>
        <v/>
      </c>
      <c r="O146" s="15">
        <f>IF($L146=1,$I146,0)</f>
        <v/>
      </c>
      <c r="P146" s="15">
        <f>IF($M146=1,$I146,0)</f>
        <v/>
      </c>
      <c r="Q146" s="15">
        <f>IF($N146=1,$I146,0)</f>
        <v/>
      </c>
      <c r="R146" s="20" t="n"/>
      <c r="S146" s="20" t="n"/>
      <c r="T146" s="20" t="n"/>
    </row>
    <row r="147" ht="18.75" customHeight="1">
      <c r="A147" s="12" t="n"/>
      <c r="B147" s="12" t="n"/>
      <c r="C147" s="12" t="n"/>
      <c r="D147" s="12" t="n"/>
      <c r="E147" s="12" t="n"/>
      <c r="F147" s="12" t="n"/>
      <c r="G147" s="12" t="n"/>
      <c r="H147" s="14">
        <f>IFERROR(VLOOKUP($B147,$A$25:$N$54,7,FALSE),"")</f>
        <v/>
      </c>
      <c r="I147" s="15">
        <f>IF($H147="Minor",1,IF($H147="Moderate",2,IF($H147="Major",3,IF($H147="Critical",4,""))))</f>
        <v/>
      </c>
      <c r="J147" s="16" t="n"/>
      <c r="K147" s="16" t="n"/>
      <c r="L147" s="15">
        <f>IF(OR($G147="Exact TP",$G147="Equivalent TP"),1,0)</f>
        <v/>
      </c>
      <c r="M147" s="15">
        <f>IF(OR($G147="FP Extra",$G147="Harmful FP"),1,0)</f>
        <v/>
      </c>
      <c r="N147" s="15">
        <f>IF(OR($G147="FN",$G147="Partial"),1,0)</f>
        <v/>
      </c>
      <c r="O147" s="15">
        <f>IF($L147=1,$I147,0)</f>
        <v/>
      </c>
      <c r="P147" s="15">
        <f>IF($M147=1,$I147,0)</f>
        <v/>
      </c>
      <c r="Q147" s="15">
        <f>IF($N147=1,$I147,0)</f>
        <v/>
      </c>
      <c r="R147" s="20" t="n"/>
      <c r="S147" s="20" t="n"/>
      <c r="T147" s="20" t="n"/>
    </row>
    <row r="148" ht="18.75" customHeight="1">
      <c r="A148" s="12" t="n"/>
      <c r="B148" s="12" t="n"/>
      <c r="C148" s="12" t="n"/>
      <c r="D148" s="12" t="n"/>
      <c r="E148" s="12" t="n"/>
      <c r="F148" s="12" t="n"/>
      <c r="G148" s="12" t="n"/>
      <c r="H148" s="14">
        <f>IFERROR(VLOOKUP($B148,$A$25:$N$54,7,FALSE),"")</f>
        <v/>
      </c>
      <c r="I148" s="15">
        <f>IF($H148="Minor",1,IF($H148="Moderate",2,IF($H148="Major",3,IF($H148="Critical",4,""))))</f>
        <v/>
      </c>
      <c r="J148" s="16" t="n"/>
      <c r="K148" s="16" t="n"/>
      <c r="L148" s="15">
        <f>IF(OR($G148="Exact TP",$G148="Equivalent TP"),1,0)</f>
        <v/>
      </c>
      <c r="M148" s="15">
        <f>IF(OR($G148="FP Extra",$G148="Harmful FP"),1,0)</f>
        <v/>
      </c>
      <c r="N148" s="15">
        <f>IF(OR($G148="FN",$G148="Partial"),1,0)</f>
        <v/>
      </c>
      <c r="O148" s="15">
        <f>IF($L148=1,$I148,0)</f>
        <v/>
      </c>
      <c r="P148" s="15">
        <f>IF($M148=1,$I148,0)</f>
        <v/>
      </c>
      <c r="Q148" s="15">
        <f>IF($N148=1,$I148,0)</f>
        <v/>
      </c>
      <c r="R148" s="20" t="n"/>
      <c r="S148" s="20" t="n"/>
      <c r="T148" s="20" t="n"/>
    </row>
    <row r="149" ht="18.75" customHeight="1">
      <c r="A149" s="12" t="n"/>
      <c r="B149" s="12" t="n"/>
      <c r="C149" s="12" t="n"/>
      <c r="D149" s="12" t="n"/>
      <c r="E149" s="12" t="n"/>
      <c r="F149" s="12" t="n"/>
      <c r="G149" s="12" t="n"/>
      <c r="H149" s="14">
        <f>IFERROR(VLOOKUP($B149,$A$25:$N$54,7,FALSE),"")</f>
        <v/>
      </c>
      <c r="I149" s="15">
        <f>IF($H149="Minor",1,IF($H149="Moderate",2,IF($H149="Major",3,IF($H149="Critical",4,""))))</f>
        <v/>
      </c>
      <c r="J149" s="16" t="n"/>
      <c r="K149" s="16" t="n"/>
      <c r="L149" s="15">
        <f>IF(OR($G149="Exact TP",$G149="Equivalent TP"),1,0)</f>
        <v/>
      </c>
      <c r="M149" s="15">
        <f>IF(OR($G149="FP Extra",$G149="Harmful FP"),1,0)</f>
        <v/>
      </c>
      <c r="N149" s="15">
        <f>IF(OR($G149="FN",$G149="Partial"),1,0)</f>
        <v/>
      </c>
      <c r="O149" s="15">
        <f>IF($L149=1,$I149,0)</f>
        <v/>
      </c>
      <c r="P149" s="15">
        <f>IF($M149=1,$I149,0)</f>
        <v/>
      </c>
      <c r="Q149" s="15">
        <f>IF($N149=1,$I149,0)</f>
        <v/>
      </c>
      <c r="R149" s="20" t="n"/>
      <c r="S149" s="20" t="n"/>
      <c r="T149" s="20" t="n"/>
    </row>
    <row r="150" ht="18.75" customHeight="1">
      <c r="A150" s="12" t="n"/>
      <c r="B150" s="12" t="n"/>
      <c r="C150" s="12" t="n"/>
      <c r="D150" s="12" t="n"/>
      <c r="E150" s="12" t="n"/>
      <c r="F150" s="12" t="n"/>
      <c r="G150" s="12" t="n"/>
      <c r="H150" s="14">
        <f>IFERROR(VLOOKUP($B150,$A$25:$N$54,7,FALSE),"")</f>
        <v/>
      </c>
      <c r="I150" s="15">
        <f>IF($H150="Minor",1,IF($H150="Moderate",2,IF($H150="Major",3,IF($H150="Critical",4,""))))</f>
        <v/>
      </c>
      <c r="J150" s="16" t="n"/>
      <c r="K150" s="16" t="n"/>
      <c r="L150" s="15">
        <f>IF(OR($G150="Exact TP",$G150="Equivalent TP"),1,0)</f>
        <v/>
      </c>
      <c r="M150" s="15">
        <f>IF(OR($G150="FP Extra",$G150="Harmful FP"),1,0)</f>
        <v/>
      </c>
      <c r="N150" s="15">
        <f>IF(OR($G150="FN",$G150="Partial"),1,0)</f>
        <v/>
      </c>
      <c r="O150" s="15">
        <f>IF($L150=1,$I150,0)</f>
        <v/>
      </c>
      <c r="P150" s="15">
        <f>IF($M150=1,$I150,0)</f>
        <v/>
      </c>
      <c r="Q150" s="15">
        <f>IF($N150=1,$I150,0)</f>
        <v/>
      </c>
      <c r="R150" s="20" t="n"/>
      <c r="S150" s="20" t="n"/>
      <c r="T150" s="20" t="n"/>
    </row>
    <row r="151" ht="18.75" customHeight="1">
      <c r="A151" s="12" t="n"/>
      <c r="B151" s="12" t="n"/>
      <c r="C151" s="12" t="n"/>
      <c r="D151" s="12" t="n"/>
      <c r="E151" s="12" t="n"/>
      <c r="F151" s="12" t="n"/>
      <c r="G151" s="12" t="n"/>
      <c r="H151" s="14">
        <f>IFERROR(VLOOKUP($B151,$A$25:$N$54,7,FALSE),"")</f>
        <v/>
      </c>
      <c r="I151" s="15">
        <f>IF($H151="Minor",1,IF($H151="Moderate",2,IF($H151="Major",3,IF($H151="Critical",4,""))))</f>
        <v/>
      </c>
      <c r="J151" s="16" t="n"/>
      <c r="K151" s="16" t="n"/>
      <c r="L151" s="15">
        <f>IF(OR($G151="Exact TP",$G151="Equivalent TP"),1,0)</f>
        <v/>
      </c>
      <c r="M151" s="15">
        <f>IF(OR($G151="FP Extra",$G151="Harmful FP"),1,0)</f>
        <v/>
      </c>
      <c r="N151" s="15">
        <f>IF(OR($G151="FN",$G151="Partial"),1,0)</f>
        <v/>
      </c>
      <c r="O151" s="15">
        <f>IF($L151=1,$I151,0)</f>
        <v/>
      </c>
      <c r="P151" s="15">
        <f>IF($M151=1,$I151,0)</f>
        <v/>
      </c>
      <c r="Q151" s="15">
        <f>IF($N151=1,$I151,0)</f>
        <v/>
      </c>
      <c r="R151" s="20" t="n"/>
      <c r="S151" s="20" t="n"/>
      <c r="T151" s="20" t="n"/>
    </row>
    <row r="152" ht="18.75" customHeight="1">
      <c r="A152" s="12" t="n"/>
      <c r="B152" s="12" t="n"/>
      <c r="C152" s="12" t="n"/>
      <c r="D152" s="12" t="n"/>
      <c r="E152" s="12" t="n"/>
      <c r="F152" s="12" t="n"/>
      <c r="G152" s="12" t="n"/>
      <c r="H152" s="14">
        <f>IFERROR(VLOOKUP($B152,$A$25:$N$54,7,FALSE),"")</f>
        <v/>
      </c>
      <c r="I152" s="15">
        <f>IF($H152="Minor",1,IF($H152="Moderate",2,IF($H152="Major",3,IF($H152="Critical",4,""))))</f>
        <v/>
      </c>
      <c r="J152" s="16" t="n"/>
      <c r="K152" s="16" t="n"/>
      <c r="L152" s="15">
        <f>IF(OR($G152="Exact TP",$G152="Equivalent TP"),1,0)</f>
        <v/>
      </c>
      <c r="M152" s="15">
        <f>IF(OR($G152="FP Extra",$G152="Harmful FP"),1,0)</f>
        <v/>
      </c>
      <c r="N152" s="15">
        <f>IF(OR($G152="FN",$G152="Partial"),1,0)</f>
        <v/>
      </c>
      <c r="O152" s="15">
        <f>IF($L152=1,$I152,0)</f>
        <v/>
      </c>
      <c r="P152" s="15">
        <f>IF($M152=1,$I152,0)</f>
        <v/>
      </c>
      <c r="Q152" s="15">
        <f>IF($N152=1,$I152,0)</f>
        <v/>
      </c>
      <c r="R152" s="20" t="n"/>
      <c r="S152" s="20" t="n"/>
      <c r="T152" s="20" t="n"/>
    </row>
    <row r="153" ht="18.75" customHeight="1">
      <c r="A153" s="12" t="n"/>
      <c r="B153" s="12" t="n"/>
      <c r="C153" s="12" t="n"/>
      <c r="D153" s="12" t="n"/>
      <c r="E153" s="12" t="n"/>
      <c r="F153" s="12" t="n"/>
      <c r="G153" s="12" t="n"/>
      <c r="H153" s="14">
        <f>IFERROR(VLOOKUP($B153,$A$25:$N$54,7,FALSE),"")</f>
        <v/>
      </c>
      <c r="I153" s="15">
        <f>IF($H153="Minor",1,IF($H153="Moderate",2,IF($H153="Major",3,IF($H153="Critical",4,""))))</f>
        <v/>
      </c>
      <c r="J153" s="16" t="n"/>
      <c r="K153" s="16" t="n"/>
      <c r="L153" s="15">
        <f>IF(OR($G153="Exact TP",$G153="Equivalent TP"),1,0)</f>
        <v/>
      </c>
      <c r="M153" s="15">
        <f>IF(OR($G153="FP Extra",$G153="Harmful FP"),1,0)</f>
        <v/>
      </c>
      <c r="N153" s="15">
        <f>IF(OR($G153="FN",$G153="Partial"),1,0)</f>
        <v/>
      </c>
      <c r="O153" s="15">
        <f>IF($L153=1,$I153,0)</f>
        <v/>
      </c>
      <c r="P153" s="15">
        <f>IF($M153=1,$I153,0)</f>
        <v/>
      </c>
      <c r="Q153" s="15">
        <f>IF($N153=1,$I153,0)</f>
        <v/>
      </c>
      <c r="R153" s="20" t="n"/>
      <c r="S153" s="20" t="n"/>
      <c r="T153" s="20" t="n"/>
    </row>
    <row r="154" ht="18.75" customHeight="1">
      <c r="A154" s="12" t="n"/>
      <c r="B154" s="12" t="n"/>
      <c r="C154" s="12" t="n"/>
      <c r="D154" s="12" t="n"/>
      <c r="E154" s="12" t="n"/>
      <c r="F154" s="12" t="n"/>
      <c r="G154" s="12" t="n"/>
      <c r="H154" s="14">
        <f>IFERROR(VLOOKUP($B154,$A$25:$N$54,7,FALSE),"")</f>
        <v/>
      </c>
      <c r="I154" s="15">
        <f>IF($H154="Minor",1,IF($H154="Moderate",2,IF($H154="Major",3,IF($H154="Critical",4,""))))</f>
        <v/>
      </c>
      <c r="J154" s="16" t="n"/>
      <c r="K154" s="16" t="n"/>
      <c r="L154" s="15">
        <f>IF(OR($G154="Exact TP",$G154="Equivalent TP"),1,0)</f>
        <v/>
      </c>
      <c r="M154" s="15">
        <f>IF(OR($G154="FP Extra",$G154="Harmful FP"),1,0)</f>
        <v/>
      </c>
      <c r="N154" s="15">
        <f>IF(OR($G154="FN",$G154="Partial"),1,0)</f>
        <v/>
      </c>
      <c r="O154" s="15">
        <f>IF($L154=1,$I154,0)</f>
        <v/>
      </c>
      <c r="P154" s="15">
        <f>IF($M154=1,$I154,0)</f>
        <v/>
      </c>
      <c r="Q154" s="15">
        <f>IF($N154=1,$I154,0)</f>
        <v/>
      </c>
      <c r="R154" s="20" t="n"/>
      <c r="S154" s="20" t="n"/>
      <c r="T154" s="20" t="n"/>
    </row>
    <row r="155" ht="18.75" customHeight="1">
      <c r="A155" s="12" t="n"/>
      <c r="B155" s="12" t="n"/>
      <c r="C155" s="12" t="n"/>
      <c r="D155" s="12" t="n"/>
      <c r="E155" s="12" t="n"/>
      <c r="F155" s="12" t="n"/>
      <c r="G155" s="12" t="n"/>
      <c r="H155" s="14">
        <f>IFERROR(VLOOKUP($B155,$A$25:$N$54,7,FALSE),"")</f>
        <v/>
      </c>
      <c r="I155" s="15">
        <f>IF($H155="Minor",1,IF($H155="Moderate",2,IF($H155="Major",3,IF($H155="Critical",4,""))))</f>
        <v/>
      </c>
      <c r="J155" s="16" t="n"/>
      <c r="K155" s="16" t="n"/>
      <c r="L155" s="15">
        <f>IF(OR($G155="Exact TP",$G155="Equivalent TP"),1,0)</f>
        <v/>
      </c>
      <c r="M155" s="15">
        <f>IF(OR($G155="FP Extra",$G155="Harmful FP"),1,0)</f>
        <v/>
      </c>
      <c r="N155" s="15">
        <f>IF(OR($G155="FN",$G155="Partial"),1,0)</f>
        <v/>
      </c>
      <c r="O155" s="15">
        <f>IF($L155=1,$I155,0)</f>
        <v/>
      </c>
      <c r="P155" s="15">
        <f>IF($M155=1,$I155,0)</f>
        <v/>
      </c>
      <c r="Q155" s="15">
        <f>IF($N155=1,$I155,0)</f>
        <v/>
      </c>
      <c r="R155" s="20" t="n"/>
      <c r="S155" s="20" t="n"/>
      <c r="T155" s="20" t="n"/>
    </row>
    <row r="156" ht="18.75" customHeight="1">
      <c r="A156" s="12" t="n"/>
      <c r="B156" s="12" t="n"/>
      <c r="C156" s="12" t="n"/>
      <c r="D156" s="12" t="n"/>
      <c r="E156" s="12" t="n"/>
      <c r="F156" s="12" t="n"/>
      <c r="G156" s="12" t="n"/>
      <c r="H156" s="14">
        <f>IFERROR(VLOOKUP($B156,$A$25:$N$54,7,FALSE),"")</f>
        <v/>
      </c>
      <c r="I156" s="15">
        <f>IF($H156="Minor",1,IF($H156="Moderate",2,IF($H156="Major",3,IF($H156="Critical",4,""))))</f>
        <v/>
      </c>
      <c r="J156" s="16" t="n"/>
      <c r="K156" s="16" t="n"/>
      <c r="L156" s="15">
        <f>IF(OR($G156="Exact TP",$G156="Equivalent TP"),1,0)</f>
        <v/>
      </c>
      <c r="M156" s="15">
        <f>IF(OR($G156="FP Extra",$G156="Harmful FP"),1,0)</f>
        <v/>
      </c>
      <c r="N156" s="15">
        <f>IF(OR($G156="FN",$G156="Partial"),1,0)</f>
        <v/>
      </c>
      <c r="O156" s="15">
        <f>IF($L156=1,$I156,0)</f>
        <v/>
      </c>
      <c r="P156" s="15">
        <f>IF($M156=1,$I156,0)</f>
        <v/>
      </c>
      <c r="Q156" s="15">
        <f>IF($N156=1,$I156,0)</f>
        <v/>
      </c>
      <c r="R156" s="20" t="n"/>
      <c r="S156" s="20" t="n"/>
      <c r="T156" s="20" t="n"/>
    </row>
    <row r="157" ht="18.75" customHeight="1">
      <c r="A157" s="12" t="n"/>
      <c r="B157" s="12" t="n"/>
      <c r="C157" s="12" t="n"/>
      <c r="D157" s="12" t="n"/>
      <c r="E157" s="12" t="n"/>
      <c r="F157" s="12" t="n"/>
      <c r="G157" s="12" t="n"/>
      <c r="H157" s="14">
        <f>IFERROR(VLOOKUP($B157,$A$25:$N$54,7,FALSE),"")</f>
        <v/>
      </c>
      <c r="I157" s="15">
        <f>IF($H157="Minor",1,IF($H157="Moderate",2,IF($H157="Major",3,IF($H157="Critical",4,""))))</f>
        <v/>
      </c>
      <c r="J157" s="16" t="n"/>
      <c r="K157" s="16" t="n"/>
      <c r="L157" s="15">
        <f>IF(OR($G157="Exact TP",$G157="Equivalent TP"),1,0)</f>
        <v/>
      </c>
      <c r="M157" s="15">
        <f>IF(OR($G157="FP Extra",$G157="Harmful FP"),1,0)</f>
        <v/>
      </c>
      <c r="N157" s="15">
        <f>IF(OR($G157="FN",$G157="Partial"),1,0)</f>
        <v/>
      </c>
      <c r="O157" s="15">
        <f>IF($L157=1,$I157,0)</f>
        <v/>
      </c>
      <c r="P157" s="15">
        <f>IF($M157=1,$I157,0)</f>
        <v/>
      </c>
      <c r="Q157" s="15">
        <f>IF($N157=1,$I157,0)</f>
        <v/>
      </c>
      <c r="R157" s="20" t="n"/>
      <c r="S157" s="20" t="n"/>
      <c r="T157" s="20" t="n"/>
    </row>
    <row r="158" ht="18.75" customHeight="1">
      <c r="A158" s="12" t="n"/>
      <c r="B158" s="12" t="n"/>
      <c r="C158" s="12" t="n"/>
      <c r="D158" s="12" t="n"/>
      <c r="E158" s="12" t="n"/>
      <c r="F158" s="12" t="n"/>
      <c r="G158" s="12" t="n"/>
      <c r="H158" s="14">
        <f>IFERROR(VLOOKUP($B158,$A$25:$N$54,7,FALSE),"")</f>
        <v/>
      </c>
      <c r="I158" s="15">
        <f>IF($H158="Minor",1,IF($H158="Moderate",2,IF($H158="Major",3,IF($H158="Critical",4,""))))</f>
        <v/>
      </c>
      <c r="J158" s="16" t="n"/>
      <c r="K158" s="16" t="n"/>
      <c r="L158" s="15">
        <f>IF(OR($G158="Exact TP",$G158="Equivalent TP"),1,0)</f>
        <v/>
      </c>
      <c r="M158" s="15">
        <f>IF(OR($G158="FP Extra",$G158="Harmful FP"),1,0)</f>
        <v/>
      </c>
      <c r="N158" s="15">
        <f>IF(OR($G158="FN",$G158="Partial"),1,0)</f>
        <v/>
      </c>
      <c r="O158" s="15">
        <f>IF($L158=1,$I158,0)</f>
        <v/>
      </c>
      <c r="P158" s="15">
        <f>IF($M158=1,$I158,0)</f>
        <v/>
      </c>
      <c r="Q158" s="15">
        <f>IF($N158=1,$I158,0)</f>
        <v/>
      </c>
      <c r="R158" s="20" t="n"/>
      <c r="S158" s="20" t="n"/>
      <c r="T158" s="20" t="n"/>
    </row>
    <row r="159" ht="18.75" customHeight="1">
      <c r="A159" s="12" t="n"/>
      <c r="B159" s="12" t="n"/>
      <c r="C159" s="12" t="n"/>
      <c r="D159" s="12" t="n"/>
      <c r="E159" s="12" t="n"/>
      <c r="F159" s="12" t="n"/>
      <c r="G159" s="12" t="n"/>
      <c r="H159" s="14">
        <f>IFERROR(VLOOKUP($B159,$A$25:$N$54,7,FALSE),"")</f>
        <v/>
      </c>
      <c r="I159" s="15">
        <f>IF($H159="Minor",1,IF($H159="Moderate",2,IF($H159="Major",3,IF($H159="Critical",4,""))))</f>
        <v/>
      </c>
      <c r="J159" s="16" t="n"/>
      <c r="K159" s="16" t="n"/>
      <c r="L159" s="15">
        <f>IF(OR($G159="Exact TP",$G159="Equivalent TP"),1,0)</f>
        <v/>
      </c>
      <c r="M159" s="15">
        <f>IF(OR($G159="FP Extra",$G159="Harmful FP"),1,0)</f>
        <v/>
      </c>
      <c r="N159" s="15">
        <f>IF(OR($G159="FN",$G159="Partial"),1,0)</f>
        <v/>
      </c>
      <c r="O159" s="15">
        <f>IF($L159=1,$I159,0)</f>
        <v/>
      </c>
      <c r="P159" s="15">
        <f>IF($M159=1,$I159,0)</f>
        <v/>
      </c>
      <c r="Q159" s="15">
        <f>IF($N159=1,$I159,0)</f>
        <v/>
      </c>
      <c r="R159" s="20" t="n"/>
      <c r="S159" s="20" t="n"/>
      <c r="T159" s="20" t="n"/>
    </row>
    <row r="160" ht="18.75" customHeight="1">
      <c r="A160" s="12" t="n"/>
      <c r="B160" s="12" t="n"/>
      <c r="C160" s="12" t="n"/>
      <c r="D160" s="12" t="n"/>
      <c r="E160" s="12" t="n"/>
      <c r="F160" s="12" t="n"/>
      <c r="G160" s="12" t="n"/>
      <c r="H160" s="14">
        <f>IFERROR(VLOOKUP($B160,$A$25:$N$54,7,FALSE),"")</f>
        <v/>
      </c>
      <c r="I160" s="15">
        <f>IF($H160="Minor",1,IF($H160="Moderate",2,IF($H160="Major",3,IF($H160="Critical",4,""))))</f>
        <v/>
      </c>
      <c r="J160" s="16" t="n"/>
      <c r="K160" s="16" t="n"/>
      <c r="L160" s="15">
        <f>IF(OR($G160="Exact TP",$G160="Equivalent TP"),1,0)</f>
        <v/>
      </c>
      <c r="M160" s="15">
        <f>IF(OR($G160="FP Extra",$G160="Harmful FP"),1,0)</f>
        <v/>
      </c>
      <c r="N160" s="15">
        <f>IF(OR($G160="FN",$G160="Partial"),1,0)</f>
        <v/>
      </c>
      <c r="O160" s="15">
        <f>IF($L160=1,$I160,0)</f>
        <v/>
      </c>
      <c r="P160" s="15">
        <f>IF($M160=1,$I160,0)</f>
        <v/>
      </c>
      <c r="Q160" s="15">
        <f>IF($N160=1,$I160,0)</f>
        <v/>
      </c>
      <c r="R160" s="20" t="n"/>
      <c r="S160" s="20" t="n"/>
      <c r="T160" s="20" t="n"/>
    </row>
    <row r="161" ht="18.75" customHeight="1">
      <c r="A161" s="12" t="n"/>
      <c r="B161" s="12" t="n"/>
      <c r="C161" s="12" t="n"/>
      <c r="D161" s="12" t="n"/>
      <c r="E161" s="12" t="n"/>
      <c r="F161" s="12" t="n"/>
      <c r="G161" s="12" t="n"/>
      <c r="H161" s="14">
        <f>IFERROR(VLOOKUP($B161,$A$25:$N$54,7,FALSE),"")</f>
        <v/>
      </c>
      <c r="I161" s="15">
        <f>IF($H161="Minor",1,IF($H161="Moderate",2,IF($H161="Major",3,IF($H161="Critical",4,""))))</f>
        <v/>
      </c>
      <c r="J161" s="16" t="n"/>
      <c r="K161" s="16" t="n"/>
      <c r="L161" s="15">
        <f>IF(OR($G161="Exact TP",$G161="Equivalent TP"),1,0)</f>
        <v/>
      </c>
      <c r="M161" s="15">
        <f>IF(OR($G161="FP Extra",$G161="Harmful FP"),1,0)</f>
        <v/>
      </c>
      <c r="N161" s="15">
        <f>IF(OR($G161="FN",$G161="Partial"),1,0)</f>
        <v/>
      </c>
      <c r="O161" s="15">
        <f>IF($L161=1,$I161,0)</f>
        <v/>
      </c>
      <c r="P161" s="15">
        <f>IF($M161=1,$I161,0)</f>
        <v/>
      </c>
      <c r="Q161" s="15">
        <f>IF($N161=1,$I161,0)</f>
        <v/>
      </c>
      <c r="R161" s="20" t="n"/>
      <c r="S161" s="20" t="n"/>
      <c r="T161" s="20" t="n"/>
    </row>
    <row r="162" ht="18.75" customHeight="1">
      <c r="A162" s="12" t="n"/>
      <c r="B162" s="12" t="n"/>
      <c r="C162" s="12" t="n"/>
      <c r="D162" s="12" t="n"/>
      <c r="E162" s="12" t="n"/>
      <c r="F162" s="12" t="n"/>
      <c r="G162" s="12" t="n"/>
      <c r="H162" s="14">
        <f>IFERROR(VLOOKUP($B162,$A$25:$N$54,7,FALSE),"")</f>
        <v/>
      </c>
      <c r="I162" s="15">
        <f>IF($H162="Minor",1,IF($H162="Moderate",2,IF($H162="Major",3,IF($H162="Critical",4,""))))</f>
        <v/>
      </c>
      <c r="J162" s="16" t="n"/>
      <c r="K162" s="16" t="n"/>
      <c r="L162" s="15">
        <f>IF(OR($G162="Exact TP",$G162="Equivalent TP"),1,0)</f>
        <v/>
      </c>
      <c r="M162" s="15">
        <f>IF(OR($G162="FP Extra",$G162="Harmful FP"),1,0)</f>
        <v/>
      </c>
      <c r="N162" s="15">
        <f>IF(OR($G162="FN",$G162="Partial"),1,0)</f>
        <v/>
      </c>
      <c r="O162" s="15">
        <f>IF($L162=1,$I162,0)</f>
        <v/>
      </c>
      <c r="P162" s="15">
        <f>IF($M162=1,$I162,0)</f>
        <v/>
      </c>
      <c r="Q162" s="15">
        <f>IF($N162=1,$I162,0)</f>
        <v/>
      </c>
      <c r="R162" s="20" t="n"/>
      <c r="S162" s="20" t="n"/>
      <c r="T162" s="20" t="n"/>
    </row>
    <row r="163" ht="18.75" customHeight="1">
      <c r="A163" s="12" t="n"/>
      <c r="B163" s="12" t="n"/>
      <c r="C163" s="12" t="n"/>
      <c r="D163" s="12" t="n"/>
      <c r="E163" s="12" t="n"/>
      <c r="F163" s="12" t="n"/>
      <c r="G163" s="12" t="n"/>
      <c r="H163" s="14">
        <f>IFERROR(VLOOKUP($B163,$A$25:$N$54,7,FALSE),"")</f>
        <v/>
      </c>
      <c r="I163" s="15">
        <f>IF($H163="Minor",1,IF($H163="Moderate",2,IF($H163="Major",3,IF($H163="Critical",4,""))))</f>
        <v/>
      </c>
      <c r="J163" s="16" t="n"/>
      <c r="K163" s="16" t="n"/>
      <c r="L163" s="15">
        <f>IF(OR($G163="Exact TP",$G163="Equivalent TP"),1,0)</f>
        <v/>
      </c>
      <c r="M163" s="15">
        <f>IF(OR($G163="FP Extra",$G163="Harmful FP"),1,0)</f>
        <v/>
      </c>
      <c r="N163" s="15">
        <f>IF(OR($G163="FN",$G163="Partial"),1,0)</f>
        <v/>
      </c>
      <c r="O163" s="15">
        <f>IF($L163=1,$I163,0)</f>
        <v/>
      </c>
      <c r="P163" s="15">
        <f>IF($M163=1,$I163,0)</f>
        <v/>
      </c>
      <c r="Q163" s="15">
        <f>IF($N163=1,$I163,0)</f>
        <v/>
      </c>
      <c r="R163" s="20" t="n"/>
      <c r="S163" s="20" t="n"/>
      <c r="T163" s="20" t="n"/>
    </row>
    <row r="164" ht="18.75" customHeight="1">
      <c r="A164" s="12" t="n"/>
      <c r="B164" s="12" t="n"/>
      <c r="C164" s="12" t="n"/>
      <c r="D164" s="12" t="n"/>
      <c r="E164" s="12" t="n"/>
      <c r="F164" s="12" t="n"/>
      <c r="G164" s="12" t="n"/>
      <c r="H164" s="14">
        <f>IFERROR(VLOOKUP($B164,$A$25:$N$54,7,FALSE),"")</f>
        <v/>
      </c>
      <c r="I164" s="15">
        <f>IF($H164="Minor",1,IF($H164="Moderate",2,IF($H164="Major",3,IF($H164="Critical",4,""))))</f>
        <v/>
      </c>
      <c r="J164" s="16" t="n"/>
      <c r="K164" s="16" t="n"/>
      <c r="L164" s="15">
        <f>IF(OR($G164="Exact TP",$G164="Equivalent TP"),1,0)</f>
        <v/>
      </c>
      <c r="M164" s="15">
        <f>IF(OR($G164="FP Extra",$G164="Harmful FP"),1,0)</f>
        <v/>
      </c>
      <c r="N164" s="15">
        <f>IF(OR($G164="FN",$G164="Partial"),1,0)</f>
        <v/>
      </c>
      <c r="O164" s="15">
        <f>IF($L164=1,$I164,0)</f>
        <v/>
      </c>
      <c r="P164" s="15">
        <f>IF($M164=1,$I164,0)</f>
        <v/>
      </c>
      <c r="Q164" s="15">
        <f>IF($N164=1,$I164,0)</f>
        <v/>
      </c>
      <c r="R164" s="20" t="n"/>
      <c r="S164" s="20" t="n"/>
      <c r="T164" s="20" t="n"/>
    </row>
    <row r="165" ht="18.75" customHeight="1">
      <c r="A165" s="12" t="n"/>
      <c r="B165" s="12" t="n"/>
      <c r="C165" s="12" t="n"/>
      <c r="D165" s="12" t="n"/>
      <c r="E165" s="12" t="n"/>
      <c r="F165" s="12" t="n"/>
      <c r="G165" s="12" t="n"/>
      <c r="H165" s="14">
        <f>IFERROR(VLOOKUP($B165,$A$25:$N$54,7,FALSE),"")</f>
        <v/>
      </c>
      <c r="I165" s="15">
        <f>IF($H165="Minor",1,IF($H165="Moderate",2,IF($H165="Major",3,IF($H165="Critical",4,""))))</f>
        <v/>
      </c>
      <c r="J165" s="16" t="n"/>
      <c r="K165" s="16" t="n"/>
      <c r="L165" s="15">
        <f>IF(OR($G165="Exact TP",$G165="Equivalent TP"),1,0)</f>
        <v/>
      </c>
      <c r="M165" s="15">
        <f>IF(OR($G165="FP Extra",$G165="Harmful FP"),1,0)</f>
        <v/>
      </c>
      <c r="N165" s="15">
        <f>IF(OR($G165="FN",$G165="Partial"),1,0)</f>
        <v/>
      </c>
      <c r="O165" s="15">
        <f>IF($L165=1,$I165,0)</f>
        <v/>
      </c>
      <c r="P165" s="15">
        <f>IF($M165=1,$I165,0)</f>
        <v/>
      </c>
      <c r="Q165" s="15">
        <f>IF($N165=1,$I165,0)</f>
        <v/>
      </c>
      <c r="R165" s="20" t="n"/>
      <c r="S165" s="20" t="n"/>
      <c r="T165" s="20" t="n"/>
    </row>
    <row r="166" ht="18.75" customHeight="1">
      <c r="A166" s="12" t="n"/>
      <c r="B166" s="12" t="n"/>
      <c r="C166" s="12" t="n"/>
      <c r="D166" s="12" t="n"/>
      <c r="E166" s="12" t="n"/>
      <c r="F166" s="12" t="n"/>
      <c r="G166" s="12" t="n"/>
      <c r="H166" s="14">
        <f>IFERROR(VLOOKUP($B166,$A$25:$N$54,7,FALSE),"")</f>
        <v/>
      </c>
      <c r="I166" s="15">
        <f>IF($H166="Minor",1,IF($H166="Moderate",2,IF($H166="Major",3,IF($H166="Critical",4,""))))</f>
        <v/>
      </c>
      <c r="J166" s="16" t="n"/>
      <c r="K166" s="16" t="n"/>
      <c r="L166" s="15">
        <f>IF(OR($G166="Exact TP",$G166="Equivalent TP"),1,0)</f>
        <v/>
      </c>
      <c r="M166" s="15">
        <f>IF(OR($G166="FP Extra",$G166="Harmful FP"),1,0)</f>
        <v/>
      </c>
      <c r="N166" s="15">
        <f>IF(OR($G166="FN",$G166="Partial"),1,0)</f>
        <v/>
      </c>
      <c r="O166" s="15">
        <f>IF($L166=1,$I166,0)</f>
        <v/>
      </c>
      <c r="P166" s="15">
        <f>IF($M166=1,$I166,0)</f>
        <v/>
      </c>
      <c r="Q166" s="15">
        <f>IF($N166=1,$I166,0)</f>
        <v/>
      </c>
      <c r="R166" s="20" t="n"/>
      <c r="S166" s="20" t="n"/>
      <c r="T166" s="20" t="n"/>
    </row>
    <row r="167" ht="18.75" customHeight="1">
      <c r="A167" s="12" t="n"/>
      <c r="B167" s="12" t="n"/>
      <c r="C167" s="12" t="n"/>
      <c r="D167" s="12" t="n"/>
      <c r="E167" s="12" t="n"/>
      <c r="F167" s="12" t="n"/>
      <c r="G167" s="12" t="n"/>
      <c r="H167" s="14">
        <f>IFERROR(VLOOKUP($B167,$A$25:$N$54,7,FALSE),"")</f>
        <v/>
      </c>
      <c r="I167" s="15">
        <f>IF($H167="Minor",1,IF($H167="Moderate",2,IF($H167="Major",3,IF($H167="Critical",4,""))))</f>
        <v/>
      </c>
      <c r="J167" s="16" t="n"/>
      <c r="K167" s="16" t="n"/>
      <c r="L167" s="15">
        <f>IF(OR($G167="Exact TP",$G167="Equivalent TP"),1,0)</f>
        <v/>
      </c>
      <c r="M167" s="15">
        <f>IF(OR($G167="FP Extra",$G167="Harmful FP"),1,0)</f>
        <v/>
      </c>
      <c r="N167" s="15">
        <f>IF(OR($G167="FN",$G167="Partial"),1,0)</f>
        <v/>
      </c>
      <c r="O167" s="15">
        <f>IF($L167=1,$I167,0)</f>
        <v/>
      </c>
      <c r="P167" s="15">
        <f>IF($M167=1,$I167,0)</f>
        <v/>
      </c>
      <c r="Q167" s="15">
        <f>IF($N167=1,$I167,0)</f>
        <v/>
      </c>
      <c r="R167" s="20" t="n"/>
      <c r="S167" s="20" t="n"/>
      <c r="T167" s="20" t="n"/>
    </row>
    <row r="168" ht="18.75" customHeight="1">
      <c r="A168" s="12" t="n"/>
      <c r="B168" s="12" t="n"/>
      <c r="C168" s="12" t="n"/>
      <c r="D168" s="12" t="n"/>
      <c r="E168" s="12" t="n"/>
      <c r="F168" s="12" t="n"/>
      <c r="G168" s="12" t="n"/>
      <c r="H168" s="14">
        <f>IFERROR(VLOOKUP($B168,$A$25:$N$54,7,FALSE),"")</f>
        <v/>
      </c>
      <c r="I168" s="15">
        <f>IF($H168="Minor",1,IF($H168="Moderate",2,IF($H168="Major",3,IF($H168="Critical",4,""))))</f>
        <v/>
      </c>
      <c r="J168" s="16" t="n"/>
      <c r="K168" s="16" t="n"/>
      <c r="L168" s="15">
        <f>IF(OR($G168="Exact TP",$G168="Equivalent TP"),1,0)</f>
        <v/>
      </c>
      <c r="M168" s="15">
        <f>IF(OR($G168="FP Extra",$G168="Harmful FP"),1,0)</f>
        <v/>
      </c>
      <c r="N168" s="15">
        <f>IF(OR($G168="FN",$G168="Partial"),1,0)</f>
        <v/>
      </c>
      <c r="O168" s="15">
        <f>IF($L168=1,$I168,0)</f>
        <v/>
      </c>
      <c r="P168" s="15">
        <f>IF($M168=1,$I168,0)</f>
        <v/>
      </c>
      <c r="Q168" s="15">
        <f>IF($N168=1,$I168,0)</f>
        <v/>
      </c>
      <c r="R168" s="20" t="n"/>
      <c r="S168" s="20" t="n"/>
      <c r="T168" s="20" t="n"/>
    </row>
    <row r="169" ht="18.75" customHeight="1">
      <c r="A169" s="12" t="n"/>
      <c r="B169" s="12" t="n"/>
      <c r="C169" s="12" t="n"/>
      <c r="D169" s="12" t="n"/>
      <c r="E169" s="12" t="n"/>
      <c r="F169" s="12" t="n"/>
      <c r="G169" s="12" t="n"/>
      <c r="H169" s="14">
        <f>IFERROR(VLOOKUP($B169,$A$25:$N$54,7,FALSE),"")</f>
        <v/>
      </c>
      <c r="I169" s="15">
        <f>IF($H169="Minor",1,IF($H169="Moderate",2,IF($H169="Major",3,IF($H169="Critical",4,""))))</f>
        <v/>
      </c>
      <c r="J169" s="16" t="n"/>
      <c r="K169" s="16" t="n"/>
      <c r="L169" s="15">
        <f>IF(OR($G169="Exact TP",$G169="Equivalent TP"),1,0)</f>
        <v/>
      </c>
      <c r="M169" s="15">
        <f>IF(OR($G169="FP Extra",$G169="Harmful FP"),1,0)</f>
        <v/>
      </c>
      <c r="N169" s="15">
        <f>IF(OR($G169="FN",$G169="Partial"),1,0)</f>
        <v/>
      </c>
      <c r="O169" s="15">
        <f>IF($L169=1,$I169,0)</f>
        <v/>
      </c>
      <c r="P169" s="15">
        <f>IF($M169=1,$I169,0)</f>
        <v/>
      </c>
      <c r="Q169" s="15">
        <f>IF($N169=1,$I169,0)</f>
        <v/>
      </c>
      <c r="R169" s="20" t="n"/>
      <c r="S169" s="20" t="n"/>
      <c r="T169" s="20" t="n"/>
    </row>
    <row r="170" ht="18.75" customHeight="1">
      <c r="A170" s="12" t="n"/>
      <c r="B170" s="12" t="n"/>
      <c r="C170" s="12" t="n"/>
      <c r="D170" s="12" t="n"/>
      <c r="E170" s="12" t="n"/>
      <c r="F170" s="12" t="n"/>
      <c r="G170" s="12" t="n"/>
      <c r="H170" s="14">
        <f>IFERROR(VLOOKUP($B170,$A$25:$N$54,7,FALSE),"")</f>
        <v/>
      </c>
      <c r="I170" s="15">
        <f>IF($H170="Minor",1,IF($H170="Moderate",2,IF($H170="Major",3,IF($H170="Critical",4,""))))</f>
        <v/>
      </c>
      <c r="J170" s="16" t="n"/>
      <c r="K170" s="16" t="n"/>
      <c r="L170" s="15">
        <f>IF(OR($G170="Exact TP",$G170="Equivalent TP"),1,0)</f>
        <v/>
      </c>
      <c r="M170" s="15">
        <f>IF(OR($G170="FP Extra",$G170="Harmful FP"),1,0)</f>
        <v/>
      </c>
      <c r="N170" s="15">
        <f>IF(OR($G170="FN",$G170="Partial"),1,0)</f>
        <v/>
      </c>
      <c r="O170" s="15">
        <f>IF($L170=1,$I170,0)</f>
        <v/>
      </c>
      <c r="P170" s="15">
        <f>IF($M170=1,$I170,0)</f>
        <v/>
      </c>
      <c r="Q170" s="15">
        <f>IF($N170=1,$I170,0)</f>
        <v/>
      </c>
      <c r="R170" s="20" t="n"/>
      <c r="S170" s="20" t="n"/>
      <c r="T170" s="20" t="n"/>
    </row>
    <row r="171" ht="18.75" customHeight="1">
      <c r="A171" s="12" t="n"/>
      <c r="B171" s="12" t="n"/>
      <c r="C171" s="12" t="n"/>
      <c r="D171" s="12" t="n"/>
      <c r="E171" s="12" t="n"/>
      <c r="F171" s="12" t="n"/>
      <c r="G171" s="12" t="n"/>
      <c r="H171" s="14">
        <f>IFERROR(VLOOKUP($B171,$A$25:$N$54,7,FALSE),"")</f>
        <v/>
      </c>
      <c r="I171" s="15">
        <f>IF($H171="Minor",1,IF($H171="Moderate",2,IF($H171="Major",3,IF($H171="Critical",4,""))))</f>
        <v/>
      </c>
      <c r="J171" s="16" t="n"/>
      <c r="K171" s="16" t="n"/>
      <c r="L171" s="15">
        <f>IF(OR($G171="Exact TP",$G171="Equivalent TP"),1,0)</f>
        <v/>
      </c>
      <c r="M171" s="15">
        <f>IF(OR($G171="FP Extra",$G171="Harmful FP"),1,0)</f>
        <v/>
      </c>
      <c r="N171" s="15">
        <f>IF(OR($G171="FN",$G171="Partial"),1,0)</f>
        <v/>
      </c>
      <c r="O171" s="15">
        <f>IF($L171=1,$I171,0)</f>
        <v/>
      </c>
      <c r="P171" s="15">
        <f>IF($M171=1,$I171,0)</f>
        <v/>
      </c>
      <c r="Q171" s="15">
        <f>IF($N171=1,$I171,0)</f>
        <v/>
      </c>
      <c r="R171" s="20" t="n"/>
      <c r="S171" s="20" t="n"/>
      <c r="T171" s="20" t="n"/>
    </row>
    <row r="172" ht="18.75" customHeight="1">
      <c r="A172" s="12" t="n"/>
      <c r="B172" s="12" t="n"/>
      <c r="C172" s="12" t="n"/>
      <c r="D172" s="12" t="n"/>
      <c r="E172" s="12" t="n"/>
      <c r="F172" s="12" t="n"/>
      <c r="G172" s="12" t="n"/>
      <c r="H172" s="14">
        <f>IFERROR(VLOOKUP($B172,$A$25:$N$54,7,FALSE),"")</f>
        <v/>
      </c>
      <c r="I172" s="15">
        <f>IF($H172="Minor",1,IF($H172="Moderate",2,IF($H172="Major",3,IF($H172="Critical",4,""))))</f>
        <v/>
      </c>
      <c r="J172" s="16" t="n"/>
      <c r="K172" s="16" t="n"/>
      <c r="L172" s="15">
        <f>IF(OR($G172="Exact TP",$G172="Equivalent TP"),1,0)</f>
        <v/>
      </c>
      <c r="M172" s="15">
        <f>IF(OR($G172="FP Extra",$G172="Harmful FP"),1,0)</f>
        <v/>
      </c>
      <c r="N172" s="15">
        <f>IF(OR($G172="FN",$G172="Partial"),1,0)</f>
        <v/>
      </c>
      <c r="O172" s="15">
        <f>IF($L172=1,$I172,0)</f>
        <v/>
      </c>
      <c r="P172" s="15">
        <f>IF($M172=1,$I172,0)</f>
        <v/>
      </c>
      <c r="Q172" s="15">
        <f>IF($N172=1,$I172,0)</f>
        <v/>
      </c>
      <c r="R172" s="20" t="n"/>
      <c r="S172" s="20" t="n"/>
      <c r="T172" s="20" t="n"/>
    </row>
    <row r="173" ht="18.75" customHeight="1">
      <c r="A173" s="12" t="n"/>
      <c r="B173" s="12" t="n"/>
      <c r="C173" s="12" t="n"/>
      <c r="D173" s="12" t="n"/>
      <c r="E173" s="12" t="n"/>
      <c r="F173" s="12" t="n"/>
      <c r="G173" s="12" t="n"/>
      <c r="H173" s="14">
        <f>IFERROR(VLOOKUP($B173,$A$25:$N$54,7,FALSE),"")</f>
        <v/>
      </c>
      <c r="I173" s="15">
        <f>IF($H173="Minor",1,IF($H173="Moderate",2,IF($H173="Major",3,IF($H173="Critical",4,""))))</f>
        <v/>
      </c>
      <c r="J173" s="16" t="n"/>
      <c r="K173" s="16" t="n"/>
      <c r="L173" s="15">
        <f>IF(OR($G173="Exact TP",$G173="Equivalent TP"),1,0)</f>
        <v/>
      </c>
      <c r="M173" s="15">
        <f>IF(OR($G173="FP Extra",$G173="Harmful FP"),1,0)</f>
        <v/>
      </c>
      <c r="N173" s="15">
        <f>IF(OR($G173="FN",$G173="Partial"),1,0)</f>
        <v/>
      </c>
      <c r="O173" s="15">
        <f>IF($L173=1,$I173,0)</f>
        <v/>
      </c>
      <c r="P173" s="15">
        <f>IF($M173=1,$I173,0)</f>
        <v/>
      </c>
      <c r="Q173" s="15">
        <f>IF($N173=1,$I173,0)</f>
        <v/>
      </c>
      <c r="R173" s="20" t="n"/>
      <c r="S173" s="20" t="n"/>
      <c r="T173" s="20" t="n"/>
    </row>
    <row r="174" ht="18.75" customHeight="1">
      <c r="A174" s="12" t="n"/>
      <c r="B174" s="12" t="n"/>
      <c r="C174" s="12" t="n"/>
      <c r="D174" s="12" t="n"/>
      <c r="E174" s="12" t="n"/>
      <c r="F174" s="12" t="n"/>
      <c r="G174" s="12" t="n"/>
      <c r="H174" s="14">
        <f>IFERROR(VLOOKUP($B174,$A$25:$N$54,7,FALSE),"")</f>
        <v/>
      </c>
      <c r="I174" s="15">
        <f>IF($H174="Minor",1,IF($H174="Moderate",2,IF($H174="Major",3,IF($H174="Critical",4,""))))</f>
        <v/>
      </c>
      <c r="J174" s="16" t="n"/>
      <c r="K174" s="16" t="n"/>
      <c r="L174" s="15">
        <f>IF(OR($G174="Exact TP",$G174="Equivalent TP"),1,0)</f>
        <v/>
      </c>
      <c r="M174" s="15">
        <f>IF(OR($G174="FP Extra",$G174="Harmful FP"),1,0)</f>
        <v/>
      </c>
      <c r="N174" s="15">
        <f>IF(OR($G174="FN",$G174="Partial"),1,0)</f>
        <v/>
      </c>
      <c r="O174" s="15">
        <f>IF($L174=1,$I174,0)</f>
        <v/>
      </c>
      <c r="P174" s="15">
        <f>IF($M174=1,$I174,0)</f>
        <v/>
      </c>
      <c r="Q174" s="15">
        <f>IF($N174=1,$I174,0)</f>
        <v/>
      </c>
      <c r="R174" s="20" t="n"/>
      <c r="S174" s="20" t="n"/>
      <c r="T174" s="20" t="n"/>
    </row>
    <row r="175" ht="18.75" customHeight="1">
      <c r="A175" s="12" t="n"/>
      <c r="B175" s="12" t="n"/>
      <c r="C175" s="12" t="n"/>
      <c r="D175" s="12" t="n"/>
      <c r="E175" s="12" t="n"/>
      <c r="F175" s="12" t="n"/>
      <c r="G175" s="12" t="n"/>
      <c r="H175" s="14">
        <f>IFERROR(VLOOKUP($B175,$A$25:$N$54,7,FALSE),"")</f>
        <v/>
      </c>
      <c r="I175" s="15">
        <f>IF($H175="Minor",1,IF($H175="Moderate",2,IF($H175="Major",3,IF($H175="Critical",4,""))))</f>
        <v/>
      </c>
      <c r="J175" s="16" t="n"/>
      <c r="K175" s="16" t="n"/>
      <c r="L175" s="15">
        <f>IF(OR($G175="Exact TP",$G175="Equivalent TP"),1,0)</f>
        <v/>
      </c>
      <c r="M175" s="15">
        <f>IF(OR($G175="FP Extra",$G175="Harmful FP"),1,0)</f>
        <v/>
      </c>
      <c r="N175" s="15">
        <f>IF(OR($G175="FN",$G175="Partial"),1,0)</f>
        <v/>
      </c>
      <c r="O175" s="15">
        <f>IF($L175=1,$I175,0)</f>
        <v/>
      </c>
      <c r="P175" s="15">
        <f>IF($M175=1,$I175,0)</f>
        <v/>
      </c>
      <c r="Q175" s="15">
        <f>IF($N175=1,$I175,0)</f>
        <v/>
      </c>
      <c r="R175" s="20" t="n"/>
      <c r="S175" s="20" t="n"/>
      <c r="T175" s="20" t="n"/>
    </row>
    <row r="176" ht="18.75" customHeight="1">
      <c r="A176" s="12" t="n"/>
      <c r="B176" s="12" t="n"/>
      <c r="C176" s="12" t="n"/>
      <c r="D176" s="12" t="n"/>
      <c r="E176" s="12" t="n"/>
      <c r="F176" s="12" t="n"/>
      <c r="G176" s="12" t="n"/>
      <c r="H176" s="14">
        <f>IFERROR(VLOOKUP($B176,$A$25:$N$54,7,FALSE),"")</f>
        <v/>
      </c>
      <c r="I176" s="15">
        <f>IF($H176="Minor",1,IF($H176="Moderate",2,IF($H176="Major",3,IF($H176="Critical",4,""))))</f>
        <v/>
      </c>
      <c r="J176" s="16" t="n"/>
      <c r="K176" s="16" t="n"/>
      <c r="L176" s="15">
        <f>IF(OR($G176="Exact TP",$G176="Equivalent TP"),1,0)</f>
        <v/>
      </c>
      <c r="M176" s="15">
        <f>IF(OR($G176="FP Extra",$G176="Harmful FP"),1,0)</f>
        <v/>
      </c>
      <c r="N176" s="15">
        <f>IF(OR($G176="FN",$G176="Partial"),1,0)</f>
        <v/>
      </c>
      <c r="O176" s="15">
        <f>IF($L176=1,$I176,0)</f>
        <v/>
      </c>
      <c r="P176" s="15">
        <f>IF($M176=1,$I176,0)</f>
        <v/>
      </c>
      <c r="Q176" s="15">
        <f>IF($N176=1,$I176,0)</f>
        <v/>
      </c>
      <c r="R176" s="20" t="n"/>
      <c r="S176" s="20" t="n"/>
      <c r="T176" s="20" t="n"/>
    </row>
    <row r="177" ht="18.75" customHeight="1">
      <c r="A177" s="12" t="n"/>
      <c r="B177" s="12" t="n"/>
      <c r="C177" s="12" t="n"/>
      <c r="D177" s="12" t="n"/>
      <c r="E177" s="12" t="n"/>
      <c r="F177" s="12" t="n"/>
      <c r="G177" s="12" t="n"/>
      <c r="H177" s="14">
        <f>IFERROR(VLOOKUP($B177,$A$25:$N$54,7,FALSE),"")</f>
        <v/>
      </c>
      <c r="I177" s="15">
        <f>IF($H177="Minor",1,IF($H177="Moderate",2,IF($H177="Major",3,IF($H177="Critical",4,""))))</f>
        <v/>
      </c>
      <c r="J177" s="16" t="n"/>
      <c r="K177" s="16" t="n"/>
      <c r="L177" s="15">
        <f>IF(OR($G177="Exact TP",$G177="Equivalent TP"),1,0)</f>
        <v/>
      </c>
      <c r="M177" s="15">
        <f>IF(OR($G177="FP Extra",$G177="Harmful FP"),1,0)</f>
        <v/>
      </c>
      <c r="N177" s="15">
        <f>IF(OR($G177="FN",$G177="Partial"),1,0)</f>
        <v/>
      </c>
      <c r="O177" s="15">
        <f>IF($L177=1,$I177,0)</f>
        <v/>
      </c>
      <c r="P177" s="15">
        <f>IF($M177=1,$I177,0)</f>
        <v/>
      </c>
      <c r="Q177" s="15">
        <f>IF($N177=1,$I177,0)</f>
        <v/>
      </c>
      <c r="R177" s="20" t="n"/>
      <c r="S177" s="20" t="n"/>
      <c r="T177" s="20" t="n"/>
    </row>
    <row r="178" ht="18.75" customHeight="1">
      <c r="A178" s="12" t="n"/>
      <c r="B178" s="12" t="n"/>
      <c r="C178" s="12" t="n"/>
      <c r="D178" s="12" t="n"/>
      <c r="E178" s="12" t="n"/>
      <c r="F178" s="12" t="n"/>
      <c r="G178" s="12" t="n"/>
      <c r="H178" s="14">
        <f>IFERROR(VLOOKUP($B178,$A$25:$N$54,7,FALSE),"")</f>
        <v/>
      </c>
      <c r="I178" s="15">
        <f>IF($H178="Minor",1,IF($H178="Moderate",2,IF($H178="Major",3,IF($H178="Critical",4,""))))</f>
        <v/>
      </c>
      <c r="J178" s="16" t="n"/>
      <c r="K178" s="16" t="n"/>
      <c r="L178" s="15">
        <f>IF(OR($G178="Exact TP",$G178="Equivalent TP"),1,0)</f>
        <v/>
      </c>
      <c r="M178" s="15">
        <f>IF(OR($G178="FP Extra",$G178="Harmful FP"),1,0)</f>
        <v/>
      </c>
      <c r="N178" s="15">
        <f>IF(OR($G178="FN",$G178="Partial"),1,0)</f>
        <v/>
      </c>
      <c r="O178" s="15">
        <f>IF($L178=1,$I178,0)</f>
        <v/>
      </c>
      <c r="P178" s="15">
        <f>IF($M178=1,$I178,0)</f>
        <v/>
      </c>
      <c r="Q178" s="15">
        <f>IF($N178=1,$I178,0)</f>
        <v/>
      </c>
      <c r="R178" s="20" t="n"/>
      <c r="S178" s="20" t="n"/>
      <c r="T178" s="20" t="n"/>
    </row>
    <row r="179" ht="18.75" customHeight="1">
      <c r="A179" s="12" t="n"/>
      <c r="B179" s="12" t="n"/>
      <c r="C179" s="12" t="n"/>
      <c r="D179" s="12" t="n"/>
      <c r="E179" s="12" t="n"/>
      <c r="F179" s="12" t="n"/>
      <c r="G179" s="12" t="n"/>
      <c r="H179" s="14">
        <f>IFERROR(VLOOKUP($B179,$A$25:$N$54,7,FALSE),"")</f>
        <v/>
      </c>
      <c r="I179" s="15">
        <f>IF($H179="Minor",1,IF($H179="Moderate",2,IF($H179="Major",3,IF($H179="Critical",4,""))))</f>
        <v/>
      </c>
      <c r="J179" s="16" t="n"/>
      <c r="K179" s="16" t="n"/>
      <c r="L179" s="15">
        <f>IF(OR($G179="Exact TP",$G179="Equivalent TP"),1,0)</f>
        <v/>
      </c>
      <c r="M179" s="15">
        <f>IF(OR($G179="FP Extra",$G179="Harmful FP"),1,0)</f>
        <v/>
      </c>
      <c r="N179" s="15">
        <f>IF(OR($G179="FN",$G179="Partial"),1,0)</f>
        <v/>
      </c>
      <c r="O179" s="15">
        <f>IF($L179=1,$I179,0)</f>
        <v/>
      </c>
      <c r="P179" s="15">
        <f>IF($M179=1,$I179,0)</f>
        <v/>
      </c>
      <c r="Q179" s="15">
        <f>IF($N179=1,$I179,0)</f>
        <v/>
      </c>
      <c r="R179" s="20" t="n"/>
      <c r="S179" s="20" t="n"/>
      <c r="T179" s="20" t="n"/>
    </row>
    <row r="180" ht="18.75" customHeight="1">
      <c r="A180" s="12" t="n"/>
      <c r="B180" s="12" t="n"/>
      <c r="C180" s="12" t="n"/>
      <c r="D180" s="12" t="n"/>
      <c r="E180" s="12" t="n"/>
      <c r="F180" s="12" t="n"/>
      <c r="G180" s="12" t="n"/>
      <c r="H180" s="14">
        <f>IFERROR(VLOOKUP($B180,$A$25:$N$54,7,FALSE),"")</f>
        <v/>
      </c>
      <c r="I180" s="15">
        <f>IF($H180="Minor",1,IF($H180="Moderate",2,IF($H180="Major",3,IF($H180="Critical",4,""))))</f>
        <v/>
      </c>
      <c r="J180" s="16" t="n"/>
      <c r="K180" s="16" t="n"/>
      <c r="L180" s="15">
        <f>IF(OR($G180="Exact TP",$G180="Equivalent TP"),1,0)</f>
        <v/>
      </c>
      <c r="M180" s="15">
        <f>IF(OR($G180="FP Extra",$G180="Harmful FP"),1,0)</f>
        <v/>
      </c>
      <c r="N180" s="15">
        <f>IF(OR($G180="FN",$G180="Partial"),1,0)</f>
        <v/>
      </c>
      <c r="O180" s="15">
        <f>IF($L180=1,$I180,0)</f>
        <v/>
      </c>
      <c r="P180" s="15">
        <f>IF($M180=1,$I180,0)</f>
        <v/>
      </c>
      <c r="Q180" s="15">
        <f>IF($N180=1,$I180,0)</f>
        <v/>
      </c>
      <c r="R180" s="20" t="n"/>
      <c r="S180" s="20" t="n"/>
      <c r="T180" s="20" t="n"/>
    </row>
    <row r="181" ht="18.75" customHeight="1">
      <c r="A181" s="12" t="n"/>
      <c r="B181" s="12" t="n"/>
      <c r="C181" s="12" t="n"/>
      <c r="D181" s="12" t="n"/>
      <c r="E181" s="12" t="n"/>
      <c r="F181" s="12" t="n"/>
      <c r="G181" s="12" t="n"/>
      <c r="H181" s="14">
        <f>IFERROR(VLOOKUP($B181,$A$25:$N$54,7,FALSE),"")</f>
        <v/>
      </c>
      <c r="I181" s="15">
        <f>IF($H181="Minor",1,IF($H181="Moderate",2,IF($H181="Major",3,IF($H181="Critical",4,""))))</f>
        <v/>
      </c>
      <c r="J181" s="16" t="n"/>
      <c r="K181" s="16" t="n"/>
      <c r="L181" s="15">
        <f>IF(OR($G181="Exact TP",$G181="Equivalent TP"),1,0)</f>
        <v/>
      </c>
      <c r="M181" s="15">
        <f>IF(OR($G181="FP Extra",$G181="Harmful FP"),1,0)</f>
        <v/>
      </c>
      <c r="N181" s="15">
        <f>IF(OR($G181="FN",$G181="Partial"),1,0)</f>
        <v/>
      </c>
      <c r="O181" s="15">
        <f>IF($L181=1,$I181,0)</f>
        <v/>
      </c>
      <c r="P181" s="15">
        <f>IF($M181=1,$I181,0)</f>
        <v/>
      </c>
      <c r="Q181" s="15">
        <f>IF($N181=1,$I181,0)</f>
        <v/>
      </c>
      <c r="R181" s="20" t="n"/>
      <c r="S181" s="20" t="n"/>
      <c r="T181" s="20" t="n"/>
    </row>
    <row r="182" ht="18.75" customHeight="1">
      <c r="A182" s="12" t="n"/>
      <c r="B182" s="12" t="n"/>
      <c r="C182" s="12" t="n"/>
      <c r="D182" s="12" t="n"/>
      <c r="E182" s="12" t="n"/>
      <c r="F182" s="12" t="n"/>
      <c r="G182" s="12" t="n"/>
      <c r="H182" s="14">
        <f>IFERROR(VLOOKUP($B182,$A$25:$N$54,7,FALSE),"")</f>
        <v/>
      </c>
      <c r="I182" s="15">
        <f>IF($H182="Minor",1,IF($H182="Moderate",2,IF($H182="Major",3,IF($H182="Critical",4,""))))</f>
        <v/>
      </c>
      <c r="J182" s="16" t="n"/>
      <c r="K182" s="16" t="n"/>
      <c r="L182" s="15">
        <f>IF(OR($G182="Exact TP",$G182="Equivalent TP"),1,0)</f>
        <v/>
      </c>
      <c r="M182" s="15">
        <f>IF(OR($G182="FP Extra",$G182="Harmful FP"),1,0)</f>
        <v/>
      </c>
      <c r="N182" s="15">
        <f>IF(OR($G182="FN",$G182="Partial"),1,0)</f>
        <v/>
      </c>
      <c r="O182" s="15">
        <f>IF($L182=1,$I182,0)</f>
        <v/>
      </c>
      <c r="P182" s="15">
        <f>IF($M182=1,$I182,0)</f>
        <v/>
      </c>
      <c r="Q182" s="15">
        <f>IF($N182=1,$I182,0)</f>
        <v/>
      </c>
      <c r="R182" s="20" t="n"/>
      <c r="S182" s="20" t="n"/>
      <c r="T182" s="20" t="n"/>
    </row>
    <row r="183" ht="18.75" customHeight="1">
      <c r="A183" s="12" t="n"/>
      <c r="B183" s="12" t="n"/>
      <c r="C183" s="12" t="n"/>
      <c r="D183" s="12" t="n"/>
      <c r="E183" s="12" t="n"/>
      <c r="F183" s="12" t="n"/>
      <c r="G183" s="12" t="n"/>
      <c r="H183" s="14">
        <f>IFERROR(VLOOKUP($B183,$A$25:$N$54,7,FALSE),"")</f>
        <v/>
      </c>
      <c r="I183" s="15">
        <f>IF($H183="Minor",1,IF($H183="Moderate",2,IF($H183="Major",3,IF($H183="Critical",4,""))))</f>
        <v/>
      </c>
      <c r="J183" s="16" t="n"/>
      <c r="K183" s="16" t="n"/>
      <c r="L183" s="15">
        <f>IF(OR($G183="Exact TP",$G183="Equivalent TP"),1,0)</f>
        <v/>
      </c>
      <c r="M183" s="15">
        <f>IF(OR($G183="FP Extra",$G183="Harmful FP"),1,0)</f>
        <v/>
      </c>
      <c r="N183" s="15">
        <f>IF(OR($G183="FN",$G183="Partial"),1,0)</f>
        <v/>
      </c>
      <c r="O183" s="15">
        <f>IF($L183=1,$I183,0)</f>
        <v/>
      </c>
      <c r="P183" s="15">
        <f>IF($M183=1,$I183,0)</f>
        <v/>
      </c>
      <c r="Q183" s="15">
        <f>IF($N183=1,$I183,0)</f>
        <v/>
      </c>
      <c r="R183" s="20" t="n"/>
      <c r="S183" s="20" t="n"/>
      <c r="T183" s="20" t="n"/>
    </row>
    <row r="184" ht="18.75" customHeight="1">
      <c r="A184" s="12" t="n"/>
      <c r="B184" s="12" t="n"/>
      <c r="C184" s="12" t="n"/>
      <c r="D184" s="12" t="n"/>
      <c r="E184" s="12" t="n"/>
      <c r="F184" s="12" t="n"/>
      <c r="G184" s="12" t="n"/>
      <c r="H184" s="14">
        <f>IFERROR(VLOOKUP($B184,$A$25:$N$54,7,FALSE),"")</f>
        <v/>
      </c>
      <c r="I184" s="15">
        <f>IF($H184="Minor",1,IF($H184="Moderate",2,IF($H184="Major",3,IF($H184="Critical",4,""))))</f>
        <v/>
      </c>
      <c r="J184" s="16" t="n"/>
      <c r="K184" s="16" t="n"/>
      <c r="L184" s="15">
        <f>IF(OR($G184="Exact TP",$G184="Equivalent TP"),1,0)</f>
        <v/>
      </c>
      <c r="M184" s="15">
        <f>IF(OR($G184="FP Extra",$G184="Harmful FP"),1,0)</f>
        <v/>
      </c>
      <c r="N184" s="15">
        <f>IF(OR($G184="FN",$G184="Partial"),1,0)</f>
        <v/>
      </c>
      <c r="O184" s="15">
        <f>IF($L184=1,$I184,0)</f>
        <v/>
      </c>
      <c r="P184" s="15">
        <f>IF($M184=1,$I184,0)</f>
        <v/>
      </c>
      <c r="Q184" s="15">
        <f>IF($N184=1,$I184,0)</f>
        <v/>
      </c>
      <c r="R184" s="20" t="n"/>
      <c r="S184" s="20" t="n"/>
      <c r="T184" s="20" t="n"/>
    </row>
    <row r="185" ht="18.75" customHeight="1">
      <c r="A185" s="12" t="n"/>
      <c r="B185" s="12" t="n"/>
      <c r="C185" s="12" t="n"/>
      <c r="D185" s="12" t="n"/>
      <c r="E185" s="12" t="n"/>
      <c r="F185" s="12" t="n"/>
      <c r="G185" s="12" t="n"/>
      <c r="H185" s="14">
        <f>IFERROR(VLOOKUP($B185,$A$25:$N$54,7,FALSE),"")</f>
        <v/>
      </c>
      <c r="I185" s="15">
        <f>IF($H185="Minor",1,IF($H185="Moderate",2,IF($H185="Major",3,IF($H185="Critical",4,""))))</f>
        <v/>
      </c>
      <c r="J185" s="16" t="n"/>
      <c r="K185" s="16" t="n"/>
      <c r="L185" s="15">
        <f>IF(OR($G185="Exact TP",$G185="Equivalent TP"),1,0)</f>
        <v/>
      </c>
      <c r="M185" s="15">
        <f>IF(OR($G185="FP Extra",$G185="Harmful FP"),1,0)</f>
        <v/>
      </c>
      <c r="N185" s="15">
        <f>IF(OR($G185="FN",$G185="Partial"),1,0)</f>
        <v/>
      </c>
      <c r="O185" s="15">
        <f>IF($L185=1,$I185,0)</f>
        <v/>
      </c>
      <c r="P185" s="15">
        <f>IF($M185=1,$I185,0)</f>
        <v/>
      </c>
      <c r="Q185" s="15">
        <f>IF($N185=1,$I185,0)</f>
        <v/>
      </c>
      <c r="R185" s="20" t="n"/>
      <c r="S185" s="20" t="n"/>
      <c r="T185" s="20" t="n"/>
    </row>
    <row r="186" ht="18.75" customHeight="1">
      <c r="A186" s="12" t="n"/>
      <c r="B186" s="12" t="n"/>
      <c r="C186" s="12" t="n"/>
      <c r="D186" s="12" t="n"/>
      <c r="E186" s="12" t="n"/>
      <c r="F186" s="12" t="n"/>
      <c r="G186" s="12" t="n"/>
      <c r="H186" s="14">
        <f>IFERROR(VLOOKUP($B186,$A$25:$N$54,7,FALSE),"")</f>
        <v/>
      </c>
      <c r="I186" s="15">
        <f>IF($H186="Minor",1,IF($H186="Moderate",2,IF($H186="Major",3,IF($H186="Critical",4,""))))</f>
        <v/>
      </c>
      <c r="J186" s="16" t="n"/>
      <c r="K186" s="16" t="n"/>
      <c r="L186" s="15">
        <f>IF(OR($G186="Exact TP",$G186="Equivalent TP"),1,0)</f>
        <v/>
      </c>
      <c r="M186" s="15">
        <f>IF(OR($G186="FP Extra",$G186="Harmful FP"),1,0)</f>
        <v/>
      </c>
      <c r="N186" s="15">
        <f>IF(OR($G186="FN",$G186="Partial"),1,0)</f>
        <v/>
      </c>
      <c r="O186" s="15">
        <f>IF($L186=1,$I186,0)</f>
        <v/>
      </c>
      <c r="P186" s="15">
        <f>IF($M186=1,$I186,0)</f>
        <v/>
      </c>
      <c r="Q186" s="15">
        <f>IF($N186=1,$I186,0)</f>
        <v/>
      </c>
      <c r="R186" s="20" t="n"/>
      <c r="S186" s="20" t="n"/>
      <c r="T186" s="20" t="n"/>
    </row>
    <row r="187" ht="18.75" customHeight="1">
      <c r="A187" s="12" t="n"/>
      <c r="B187" s="12" t="n"/>
      <c r="C187" s="12" t="n"/>
      <c r="D187" s="12" t="n"/>
      <c r="E187" s="12" t="n"/>
      <c r="F187" s="12" t="n"/>
      <c r="G187" s="12" t="n"/>
      <c r="H187" s="14">
        <f>IFERROR(VLOOKUP($B187,$A$25:$N$54,7,FALSE),"")</f>
        <v/>
      </c>
      <c r="I187" s="15">
        <f>IF($H187="Minor",1,IF($H187="Moderate",2,IF($H187="Major",3,IF($H187="Critical",4,""))))</f>
        <v/>
      </c>
      <c r="J187" s="16" t="n"/>
      <c r="K187" s="16" t="n"/>
      <c r="L187" s="15">
        <f>IF(OR($G187="Exact TP",$G187="Equivalent TP"),1,0)</f>
        <v/>
      </c>
      <c r="M187" s="15">
        <f>IF(OR($G187="FP Extra",$G187="Harmful FP"),1,0)</f>
        <v/>
      </c>
      <c r="N187" s="15">
        <f>IF(OR($G187="FN",$G187="Partial"),1,0)</f>
        <v/>
      </c>
      <c r="O187" s="15">
        <f>IF($L187=1,$I187,0)</f>
        <v/>
      </c>
      <c r="P187" s="15">
        <f>IF($M187=1,$I187,0)</f>
        <v/>
      </c>
      <c r="Q187" s="15">
        <f>IF($N187=1,$I187,0)</f>
        <v/>
      </c>
      <c r="R187" s="20" t="n"/>
      <c r="S187" s="20" t="n"/>
      <c r="T187" s="20" t="n"/>
    </row>
    <row r="188" ht="18.75" customHeight="1">
      <c r="A188" s="12" t="n"/>
      <c r="B188" s="12" t="n"/>
      <c r="C188" s="12" t="n"/>
      <c r="D188" s="12" t="n"/>
      <c r="E188" s="12" t="n"/>
      <c r="F188" s="12" t="n"/>
      <c r="G188" s="12" t="n"/>
      <c r="H188" s="14">
        <f>IFERROR(VLOOKUP($B188,$A$25:$N$54,7,FALSE),"")</f>
        <v/>
      </c>
      <c r="I188" s="15">
        <f>IF($H188="Minor",1,IF($H188="Moderate",2,IF($H188="Major",3,IF($H188="Critical",4,""))))</f>
        <v/>
      </c>
      <c r="J188" s="16" t="n"/>
      <c r="K188" s="16" t="n"/>
      <c r="L188" s="15">
        <f>IF(OR($G188="Exact TP",$G188="Equivalent TP"),1,0)</f>
        <v/>
      </c>
      <c r="M188" s="15">
        <f>IF(OR($G188="FP Extra",$G188="Harmful FP"),1,0)</f>
        <v/>
      </c>
      <c r="N188" s="15">
        <f>IF(OR($G188="FN",$G188="Partial"),1,0)</f>
        <v/>
      </c>
      <c r="O188" s="15">
        <f>IF($L188=1,$I188,0)</f>
        <v/>
      </c>
      <c r="P188" s="15">
        <f>IF($M188=1,$I188,0)</f>
        <v/>
      </c>
      <c r="Q188" s="15">
        <f>IF($N188=1,$I188,0)</f>
        <v/>
      </c>
      <c r="R188" s="20" t="n"/>
      <c r="S188" s="20" t="n"/>
      <c r="T188" s="20" t="n"/>
    </row>
    <row r="189" ht="18.75" customHeight="1">
      <c r="A189" s="12" t="n"/>
      <c r="B189" s="12" t="n"/>
      <c r="C189" s="12" t="n"/>
      <c r="D189" s="12" t="n"/>
      <c r="E189" s="12" t="n"/>
      <c r="F189" s="12" t="n"/>
      <c r="G189" s="12" t="n"/>
      <c r="H189" s="14">
        <f>IFERROR(VLOOKUP($B189,$A$25:$N$54,7,FALSE),"")</f>
        <v/>
      </c>
      <c r="I189" s="15">
        <f>IF($H189="Minor",1,IF($H189="Moderate",2,IF($H189="Major",3,IF($H189="Critical",4,""))))</f>
        <v/>
      </c>
      <c r="J189" s="16" t="n"/>
      <c r="K189" s="16" t="n"/>
      <c r="L189" s="15">
        <f>IF(OR($G189="Exact TP",$G189="Equivalent TP"),1,0)</f>
        <v/>
      </c>
      <c r="M189" s="15">
        <f>IF(OR($G189="FP Extra",$G189="Harmful FP"),1,0)</f>
        <v/>
      </c>
      <c r="N189" s="15">
        <f>IF(OR($G189="FN",$G189="Partial"),1,0)</f>
        <v/>
      </c>
      <c r="O189" s="15">
        <f>IF($L189=1,$I189,0)</f>
        <v/>
      </c>
      <c r="P189" s="15">
        <f>IF($M189=1,$I189,0)</f>
        <v/>
      </c>
      <c r="Q189" s="15">
        <f>IF($N189=1,$I189,0)</f>
        <v/>
      </c>
      <c r="R189" s="20" t="n"/>
      <c r="S189" s="20" t="n"/>
      <c r="T189" s="20" t="n"/>
    </row>
    <row r="190" ht="18.75" customHeight="1">
      <c r="A190" s="12" t="n"/>
      <c r="B190" s="12" t="n"/>
      <c r="C190" s="12" t="n"/>
      <c r="D190" s="12" t="n"/>
      <c r="E190" s="12" t="n"/>
      <c r="F190" s="12" t="n"/>
      <c r="G190" s="12" t="n"/>
      <c r="H190" s="14">
        <f>IFERROR(VLOOKUP($B190,$A$25:$N$54,7,FALSE),"")</f>
        <v/>
      </c>
      <c r="I190" s="15">
        <f>IF($H190="Minor",1,IF($H190="Moderate",2,IF($H190="Major",3,IF($H190="Critical",4,""))))</f>
        <v/>
      </c>
      <c r="J190" s="16" t="n"/>
      <c r="K190" s="16" t="n"/>
      <c r="L190" s="15">
        <f>IF(OR($G190="Exact TP",$G190="Equivalent TP"),1,0)</f>
        <v/>
      </c>
      <c r="M190" s="15">
        <f>IF(OR($G190="FP Extra",$G190="Harmful FP"),1,0)</f>
        <v/>
      </c>
      <c r="N190" s="15">
        <f>IF(OR($G190="FN",$G190="Partial"),1,0)</f>
        <v/>
      </c>
      <c r="O190" s="15">
        <f>IF($L190=1,$I190,0)</f>
        <v/>
      </c>
      <c r="P190" s="15">
        <f>IF($M190=1,$I190,0)</f>
        <v/>
      </c>
      <c r="Q190" s="15">
        <f>IF($N190=1,$I190,0)</f>
        <v/>
      </c>
      <c r="R190" s="20" t="n"/>
      <c r="S190" s="20" t="n"/>
      <c r="T190" s="20" t="n"/>
    </row>
    <row r="191" ht="18.75" customHeight="1">
      <c r="A191" s="12" t="n"/>
      <c r="B191" s="12" t="n"/>
      <c r="C191" s="12" t="n"/>
      <c r="D191" s="12" t="n"/>
      <c r="E191" s="12" t="n"/>
      <c r="F191" s="12" t="n"/>
      <c r="G191" s="12" t="n"/>
      <c r="H191" s="14">
        <f>IFERROR(VLOOKUP($B191,$A$25:$N$54,7,FALSE),"")</f>
        <v/>
      </c>
      <c r="I191" s="15">
        <f>IF($H191="Minor",1,IF($H191="Moderate",2,IF($H191="Major",3,IF($H191="Critical",4,""))))</f>
        <v/>
      </c>
      <c r="J191" s="16" t="n"/>
      <c r="K191" s="16" t="n"/>
      <c r="L191" s="15">
        <f>IF(OR($G191="Exact TP",$G191="Equivalent TP"),1,0)</f>
        <v/>
      </c>
      <c r="M191" s="15">
        <f>IF(OR($G191="FP Extra",$G191="Harmful FP"),1,0)</f>
        <v/>
      </c>
      <c r="N191" s="15">
        <f>IF(OR($G191="FN",$G191="Partial"),1,0)</f>
        <v/>
      </c>
      <c r="O191" s="15">
        <f>IF($L191=1,$I191,0)</f>
        <v/>
      </c>
      <c r="P191" s="15">
        <f>IF($M191=1,$I191,0)</f>
        <v/>
      </c>
      <c r="Q191" s="15">
        <f>IF($N191=1,$I191,0)</f>
        <v/>
      </c>
      <c r="R191" s="20" t="n"/>
      <c r="S191" s="20" t="n"/>
      <c r="T191" s="20" t="n"/>
    </row>
    <row r="192" ht="18.75" customHeight="1">
      <c r="A192" s="12" t="n"/>
      <c r="B192" s="12" t="n"/>
      <c r="C192" s="12" t="n"/>
      <c r="D192" s="12" t="n"/>
      <c r="E192" s="12" t="n"/>
      <c r="F192" s="12" t="n"/>
      <c r="G192" s="12" t="n"/>
      <c r="H192" s="14">
        <f>IFERROR(VLOOKUP($B192,$A$25:$N$54,7,FALSE),"")</f>
        <v/>
      </c>
      <c r="I192" s="15">
        <f>IF($H192="Minor",1,IF($H192="Moderate",2,IF($H192="Major",3,IF($H192="Critical",4,""))))</f>
        <v/>
      </c>
      <c r="J192" s="16" t="n"/>
      <c r="K192" s="16" t="n"/>
      <c r="L192" s="15">
        <f>IF(OR($G192="Exact TP",$G192="Equivalent TP"),1,0)</f>
        <v/>
      </c>
      <c r="M192" s="15">
        <f>IF(OR($G192="FP Extra",$G192="Harmful FP"),1,0)</f>
        <v/>
      </c>
      <c r="N192" s="15">
        <f>IF(OR($G192="FN",$G192="Partial"),1,0)</f>
        <v/>
      </c>
      <c r="O192" s="15">
        <f>IF($L192=1,$I192,0)</f>
        <v/>
      </c>
      <c r="P192" s="15">
        <f>IF($M192=1,$I192,0)</f>
        <v/>
      </c>
      <c r="Q192" s="15">
        <f>IF($N192=1,$I192,0)</f>
        <v/>
      </c>
      <c r="R192" s="20" t="n"/>
      <c r="S192" s="20" t="n"/>
      <c r="T192" s="20" t="n"/>
    </row>
    <row r="193" ht="18.75" customHeight="1">
      <c r="A193" s="12" t="n"/>
      <c r="B193" s="12" t="n"/>
      <c r="C193" s="12" t="n"/>
      <c r="D193" s="12" t="n"/>
      <c r="E193" s="12" t="n"/>
      <c r="F193" s="12" t="n"/>
      <c r="G193" s="12" t="n"/>
      <c r="H193" s="14">
        <f>IFERROR(VLOOKUP($B193,$A$25:$N$54,7,FALSE),"")</f>
        <v/>
      </c>
      <c r="I193" s="15">
        <f>IF($H193="Minor",1,IF($H193="Moderate",2,IF($H193="Major",3,IF($H193="Critical",4,""))))</f>
        <v/>
      </c>
      <c r="J193" s="16" t="n"/>
      <c r="K193" s="16" t="n"/>
      <c r="L193" s="15">
        <f>IF(OR($G193="Exact TP",$G193="Equivalent TP"),1,0)</f>
        <v/>
      </c>
      <c r="M193" s="15">
        <f>IF(OR($G193="FP Extra",$G193="Harmful FP"),1,0)</f>
        <v/>
      </c>
      <c r="N193" s="15">
        <f>IF(OR($G193="FN",$G193="Partial"),1,0)</f>
        <v/>
      </c>
      <c r="O193" s="15">
        <f>IF($L193=1,$I193,0)</f>
        <v/>
      </c>
      <c r="P193" s="15">
        <f>IF($M193=1,$I193,0)</f>
        <v/>
      </c>
      <c r="Q193" s="15">
        <f>IF($N193=1,$I193,0)</f>
        <v/>
      </c>
      <c r="R193" s="20" t="n"/>
      <c r="S193" s="20" t="n"/>
      <c r="T193" s="20" t="n"/>
    </row>
    <row r="194" ht="18.75" customHeight="1">
      <c r="A194" s="12" t="n"/>
      <c r="B194" s="12" t="n"/>
      <c r="C194" s="12" t="n"/>
      <c r="D194" s="12" t="n"/>
      <c r="E194" s="12" t="n"/>
      <c r="F194" s="12" t="n"/>
      <c r="G194" s="12" t="n"/>
      <c r="H194" s="14">
        <f>IFERROR(VLOOKUP($B194,$A$25:$N$54,7,FALSE),"")</f>
        <v/>
      </c>
      <c r="I194" s="15">
        <f>IF($H194="Minor",1,IF($H194="Moderate",2,IF($H194="Major",3,IF($H194="Critical",4,""))))</f>
        <v/>
      </c>
      <c r="J194" s="16" t="n"/>
      <c r="K194" s="16" t="n"/>
      <c r="L194" s="15">
        <f>IF(OR($G194="Exact TP",$G194="Equivalent TP"),1,0)</f>
        <v/>
      </c>
      <c r="M194" s="15">
        <f>IF(OR($G194="FP Extra",$G194="Harmful FP"),1,0)</f>
        <v/>
      </c>
      <c r="N194" s="15">
        <f>IF(OR($G194="FN",$G194="Partial"),1,0)</f>
        <v/>
      </c>
      <c r="O194" s="15">
        <f>IF($L194=1,$I194,0)</f>
        <v/>
      </c>
      <c r="P194" s="15">
        <f>IF($M194=1,$I194,0)</f>
        <v/>
      </c>
      <c r="Q194" s="15">
        <f>IF($N194=1,$I194,0)</f>
        <v/>
      </c>
      <c r="R194" s="20" t="n"/>
      <c r="S194" s="20" t="n"/>
      <c r="T194" s="20" t="n"/>
    </row>
    <row r="195" ht="18.75" customHeight="1">
      <c r="A195" s="12" t="n"/>
      <c r="B195" s="12" t="n"/>
      <c r="C195" s="12" t="n"/>
      <c r="D195" s="12" t="n"/>
      <c r="E195" s="12" t="n"/>
      <c r="F195" s="12" t="n"/>
      <c r="G195" s="12" t="n"/>
      <c r="H195" s="14">
        <f>IFERROR(VLOOKUP($B195,$A$25:$N$54,7,FALSE),"")</f>
        <v/>
      </c>
      <c r="I195" s="15">
        <f>IF($H195="Minor",1,IF($H195="Moderate",2,IF($H195="Major",3,IF($H195="Critical",4,""))))</f>
        <v/>
      </c>
      <c r="J195" s="16" t="n"/>
      <c r="K195" s="16" t="n"/>
      <c r="L195" s="15">
        <f>IF(OR($G195="Exact TP",$G195="Equivalent TP"),1,0)</f>
        <v/>
      </c>
      <c r="M195" s="15">
        <f>IF(OR($G195="FP Extra",$G195="Harmful FP"),1,0)</f>
        <v/>
      </c>
      <c r="N195" s="15">
        <f>IF(OR($G195="FN",$G195="Partial"),1,0)</f>
        <v/>
      </c>
      <c r="O195" s="15">
        <f>IF($L195=1,$I195,0)</f>
        <v/>
      </c>
      <c r="P195" s="15">
        <f>IF($M195=1,$I195,0)</f>
        <v/>
      </c>
      <c r="Q195" s="15">
        <f>IF($N195=1,$I195,0)</f>
        <v/>
      </c>
      <c r="R195" s="20" t="n"/>
      <c r="S195" s="20" t="n"/>
      <c r="T195" s="20" t="n"/>
    </row>
    <row r="196" ht="18.75" customHeight="1">
      <c r="A196" s="12" t="n"/>
      <c r="B196" s="12" t="n"/>
      <c r="C196" s="12" t="n"/>
      <c r="D196" s="12" t="n"/>
      <c r="E196" s="12" t="n"/>
      <c r="F196" s="12" t="n"/>
      <c r="G196" s="12" t="n"/>
      <c r="H196" s="14">
        <f>IFERROR(VLOOKUP($B196,$A$25:$N$54,7,FALSE),"")</f>
        <v/>
      </c>
      <c r="I196" s="15">
        <f>IF($H196="Minor",1,IF($H196="Moderate",2,IF($H196="Major",3,IF($H196="Critical",4,""))))</f>
        <v/>
      </c>
      <c r="J196" s="16" t="n"/>
      <c r="K196" s="16" t="n"/>
      <c r="L196" s="15">
        <f>IF(OR($G196="Exact TP",$G196="Equivalent TP"),1,0)</f>
        <v/>
      </c>
      <c r="M196" s="15">
        <f>IF(OR($G196="FP Extra",$G196="Harmful FP"),1,0)</f>
        <v/>
      </c>
      <c r="N196" s="15">
        <f>IF(OR($G196="FN",$G196="Partial"),1,0)</f>
        <v/>
      </c>
      <c r="O196" s="15">
        <f>IF($L196=1,$I196,0)</f>
        <v/>
      </c>
      <c r="P196" s="15">
        <f>IF($M196=1,$I196,0)</f>
        <v/>
      </c>
      <c r="Q196" s="15">
        <f>IF($N196=1,$I196,0)</f>
        <v/>
      </c>
      <c r="R196" s="20" t="n"/>
      <c r="S196" s="20" t="n"/>
      <c r="T196" s="20" t="n"/>
    </row>
    <row r="197" ht="18.75" customHeight="1">
      <c r="A197" s="12" t="n"/>
      <c r="B197" s="12" t="n"/>
      <c r="C197" s="12" t="n"/>
      <c r="D197" s="12" t="n"/>
      <c r="E197" s="12" t="n"/>
      <c r="F197" s="12" t="n"/>
      <c r="G197" s="12" t="n"/>
      <c r="H197" s="14">
        <f>IFERROR(VLOOKUP($B197,$A$25:$N$54,7,FALSE),"")</f>
        <v/>
      </c>
      <c r="I197" s="15">
        <f>IF($H197="Minor",1,IF($H197="Moderate",2,IF($H197="Major",3,IF($H197="Critical",4,""))))</f>
        <v/>
      </c>
      <c r="J197" s="16" t="n"/>
      <c r="K197" s="16" t="n"/>
      <c r="L197" s="15">
        <f>IF(OR($G197="Exact TP",$G197="Equivalent TP"),1,0)</f>
        <v/>
      </c>
      <c r="M197" s="15">
        <f>IF(OR($G197="FP Extra",$G197="Harmful FP"),1,0)</f>
        <v/>
      </c>
      <c r="N197" s="15">
        <f>IF(OR($G197="FN",$G197="Partial"),1,0)</f>
        <v/>
      </c>
      <c r="O197" s="15">
        <f>IF($L197=1,$I197,0)</f>
        <v/>
      </c>
      <c r="P197" s="15">
        <f>IF($M197=1,$I197,0)</f>
        <v/>
      </c>
      <c r="Q197" s="15">
        <f>IF($N197=1,$I197,0)</f>
        <v/>
      </c>
      <c r="R197" s="20" t="n"/>
      <c r="S197" s="20" t="n"/>
      <c r="T197" s="20" t="n"/>
    </row>
    <row r="198" ht="18.75" customHeight="1">
      <c r="A198" s="12" t="n"/>
      <c r="B198" s="12" t="n"/>
      <c r="C198" s="12" t="n"/>
      <c r="D198" s="12" t="n"/>
      <c r="E198" s="12" t="n"/>
      <c r="F198" s="12" t="n"/>
      <c r="G198" s="12" t="n"/>
      <c r="H198" s="14">
        <f>IFERROR(VLOOKUP($B198,$A$25:$N$54,7,FALSE),"")</f>
        <v/>
      </c>
      <c r="I198" s="15">
        <f>IF($H198="Minor",1,IF($H198="Moderate",2,IF($H198="Major",3,IF($H198="Critical",4,""))))</f>
        <v/>
      </c>
      <c r="J198" s="16" t="n"/>
      <c r="K198" s="16" t="n"/>
      <c r="L198" s="15">
        <f>IF(OR($G198="Exact TP",$G198="Equivalent TP"),1,0)</f>
        <v/>
      </c>
      <c r="M198" s="15">
        <f>IF(OR($G198="FP Extra",$G198="Harmful FP"),1,0)</f>
        <v/>
      </c>
      <c r="N198" s="15">
        <f>IF(OR($G198="FN",$G198="Partial"),1,0)</f>
        <v/>
      </c>
      <c r="O198" s="15">
        <f>IF($L198=1,$I198,0)</f>
        <v/>
      </c>
      <c r="P198" s="15">
        <f>IF($M198=1,$I198,0)</f>
        <v/>
      </c>
      <c r="Q198" s="15">
        <f>IF($N198=1,$I198,0)</f>
        <v/>
      </c>
      <c r="R198" s="20" t="n"/>
      <c r="S198" s="20" t="n"/>
      <c r="T198" s="20" t="n"/>
    </row>
    <row r="199" ht="18.75" customHeight="1">
      <c r="A199" s="12" t="n"/>
      <c r="B199" s="12" t="n"/>
      <c r="C199" s="12" t="n"/>
      <c r="D199" s="12" t="n"/>
      <c r="E199" s="12" t="n"/>
      <c r="F199" s="12" t="n"/>
      <c r="G199" s="12" t="n"/>
      <c r="H199" s="14">
        <f>IFERROR(VLOOKUP($B199,$A$25:$N$54,7,FALSE),"")</f>
        <v/>
      </c>
      <c r="I199" s="15">
        <f>IF($H199="Minor",1,IF($H199="Moderate",2,IF($H199="Major",3,IF($H199="Critical",4,""))))</f>
        <v/>
      </c>
      <c r="J199" s="16" t="n"/>
      <c r="K199" s="16" t="n"/>
      <c r="L199" s="15">
        <f>IF(OR($G199="Exact TP",$G199="Equivalent TP"),1,0)</f>
        <v/>
      </c>
      <c r="M199" s="15">
        <f>IF(OR($G199="FP Extra",$G199="Harmful FP"),1,0)</f>
        <v/>
      </c>
      <c r="N199" s="15">
        <f>IF(OR($G199="FN",$G199="Partial"),1,0)</f>
        <v/>
      </c>
      <c r="O199" s="15">
        <f>IF($L199=1,$I199,0)</f>
        <v/>
      </c>
      <c r="P199" s="15">
        <f>IF($M199=1,$I199,0)</f>
        <v/>
      </c>
      <c r="Q199" s="15">
        <f>IF($N199=1,$I199,0)</f>
        <v/>
      </c>
      <c r="R199" s="20" t="n"/>
      <c r="S199" s="20" t="n"/>
      <c r="T199" s="20" t="n"/>
    </row>
    <row r="200" ht="18.75" customHeight="1">
      <c r="A200" s="12" t="n"/>
      <c r="B200" s="12" t="n"/>
      <c r="C200" s="12" t="n"/>
      <c r="D200" s="12" t="n"/>
      <c r="E200" s="12" t="n"/>
      <c r="F200" s="12" t="n"/>
      <c r="G200" s="12" t="n"/>
      <c r="H200" s="14">
        <f>IFERROR(VLOOKUP($B200,$A$25:$N$54,7,FALSE),"")</f>
        <v/>
      </c>
      <c r="I200" s="15">
        <f>IF($H200="Minor",1,IF($H200="Moderate",2,IF($H200="Major",3,IF($H200="Critical",4,""))))</f>
        <v/>
      </c>
      <c r="J200" s="16" t="n"/>
      <c r="K200" s="16" t="n"/>
      <c r="L200" s="15">
        <f>IF(OR($G200="Exact TP",$G200="Equivalent TP"),1,0)</f>
        <v/>
      </c>
      <c r="M200" s="15">
        <f>IF(OR($G200="FP Extra",$G200="Harmful FP"),1,0)</f>
        <v/>
      </c>
      <c r="N200" s="15">
        <f>IF(OR($G200="FN",$G200="Partial"),1,0)</f>
        <v/>
      </c>
      <c r="O200" s="15">
        <f>IF($L200=1,$I200,0)</f>
        <v/>
      </c>
      <c r="P200" s="15">
        <f>IF($M200=1,$I200,0)</f>
        <v/>
      </c>
      <c r="Q200" s="15">
        <f>IF($N200=1,$I200,0)</f>
        <v/>
      </c>
      <c r="R200" s="20" t="n"/>
      <c r="S200" s="20" t="n"/>
      <c r="T200" s="20" t="n"/>
    </row>
    <row r="201" ht="18.75" customHeight="1">
      <c r="A201" s="12" t="n"/>
      <c r="B201" s="12" t="n"/>
      <c r="C201" s="12" t="n"/>
      <c r="D201" s="12" t="n"/>
      <c r="E201" s="12" t="n"/>
      <c r="F201" s="12" t="n"/>
      <c r="G201" s="12" t="n"/>
      <c r="H201" s="14">
        <f>IFERROR(VLOOKUP($B201,$A$25:$N$54,7,FALSE),"")</f>
        <v/>
      </c>
      <c r="I201" s="15">
        <f>IF($H201="Minor",1,IF($H201="Moderate",2,IF($H201="Major",3,IF($H201="Critical",4,""))))</f>
        <v/>
      </c>
      <c r="J201" s="16" t="n"/>
      <c r="K201" s="16" t="n"/>
      <c r="L201" s="15">
        <f>IF(OR($G201="Exact TP",$G201="Equivalent TP"),1,0)</f>
        <v/>
      </c>
      <c r="M201" s="15">
        <f>IF(OR($G201="FP Extra",$G201="Harmful FP"),1,0)</f>
        <v/>
      </c>
      <c r="N201" s="15">
        <f>IF(OR($G201="FN",$G201="Partial"),1,0)</f>
        <v/>
      </c>
      <c r="O201" s="15">
        <f>IF($L201=1,$I201,0)</f>
        <v/>
      </c>
      <c r="P201" s="15">
        <f>IF($M201=1,$I201,0)</f>
        <v/>
      </c>
      <c r="Q201" s="15">
        <f>IF($N201=1,$I201,0)</f>
        <v/>
      </c>
      <c r="R201" s="20" t="n"/>
      <c r="S201" s="20" t="n"/>
      <c r="T201" s="20" t="n"/>
    </row>
    <row r="202" ht="18.75" customHeight="1">
      <c r="A202" s="12" t="n"/>
      <c r="B202" s="12" t="n"/>
      <c r="C202" s="12" t="n"/>
      <c r="D202" s="12" t="n"/>
      <c r="E202" s="12" t="n"/>
      <c r="F202" s="12" t="n"/>
      <c r="G202" s="12" t="n"/>
      <c r="H202" s="14">
        <f>IFERROR(VLOOKUP($B202,$A$25:$N$54,7,FALSE),"")</f>
        <v/>
      </c>
      <c r="I202" s="15">
        <f>IF($H202="Minor",1,IF($H202="Moderate",2,IF($H202="Major",3,IF($H202="Critical",4,""))))</f>
        <v/>
      </c>
      <c r="J202" s="16" t="n"/>
      <c r="K202" s="16" t="n"/>
      <c r="L202" s="15">
        <f>IF(OR($G202="Exact TP",$G202="Equivalent TP"),1,0)</f>
        <v/>
      </c>
      <c r="M202" s="15">
        <f>IF(OR($G202="FP Extra",$G202="Harmful FP"),1,0)</f>
        <v/>
      </c>
      <c r="N202" s="15">
        <f>IF(OR($G202="FN",$G202="Partial"),1,0)</f>
        <v/>
      </c>
      <c r="O202" s="15">
        <f>IF($L202=1,$I202,0)</f>
        <v/>
      </c>
      <c r="P202" s="15">
        <f>IF($M202=1,$I202,0)</f>
        <v/>
      </c>
      <c r="Q202" s="15">
        <f>IF($N202=1,$I202,0)</f>
        <v/>
      </c>
      <c r="R202" s="20" t="n"/>
      <c r="S202" s="20" t="n"/>
      <c r="T202" s="20" t="n"/>
    </row>
    <row r="203" ht="18.75" customHeight="1">
      <c r="A203" s="12" t="n"/>
      <c r="B203" s="12" t="n"/>
      <c r="C203" s="12" t="n"/>
      <c r="D203" s="12" t="n"/>
      <c r="E203" s="12" t="n"/>
      <c r="F203" s="12" t="n"/>
      <c r="G203" s="12" t="n"/>
      <c r="H203" s="14">
        <f>IFERROR(VLOOKUP($B203,$A$25:$N$54,7,FALSE),"")</f>
        <v/>
      </c>
      <c r="I203" s="15">
        <f>IF($H203="Minor",1,IF($H203="Moderate",2,IF($H203="Major",3,IF($H203="Critical",4,""))))</f>
        <v/>
      </c>
      <c r="J203" s="16" t="n"/>
      <c r="K203" s="16" t="n"/>
      <c r="L203" s="15">
        <f>IF(OR($G203="Exact TP",$G203="Equivalent TP"),1,0)</f>
        <v/>
      </c>
      <c r="M203" s="15">
        <f>IF(OR($G203="FP Extra",$G203="Harmful FP"),1,0)</f>
        <v/>
      </c>
      <c r="N203" s="15">
        <f>IF(OR($G203="FN",$G203="Partial"),1,0)</f>
        <v/>
      </c>
      <c r="O203" s="15">
        <f>IF($L203=1,$I203,0)</f>
        <v/>
      </c>
      <c r="P203" s="15">
        <f>IF($M203=1,$I203,0)</f>
        <v/>
      </c>
      <c r="Q203" s="15">
        <f>IF($N203=1,$I203,0)</f>
        <v/>
      </c>
      <c r="R203" s="20" t="n"/>
      <c r="S203" s="20" t="n"/>
      <c r="T203" s="20" t="n"/>
    </row>
    <row r="204" ht="18.75" customHeight="1">
      <c r="A204" s="12" t="n"/>
      <c r="B204" s="12" t="n"/>
      <c r="C204" s="12" t="n"/>
      <c r="D204" s="12" t="n"/>
      <c r="E204" s="12" t="n"/>
      <c r="F204" s="12" t="n"/>
      <c r="G204" s="12" t="n"/>
      <c r="H204" s="14">
        <f>IFERROR(VLOOKUP($B204,$A$25:$N$54,7,FALSE),"")</f>
        <v/>
      </c>
      <c r="I204" s="15">
        <f>IF($H204="Minor",1,IF($H204="Moderate",2,IF($H204="Major",3,IF($H204="Critical",4,""))))</f>
        <v/>
      </c>
      <c r="J204" s="16" t="n"/>
      <c r="K204" s="16" t="n"/>
      <c r="L204" s="15">
        <f>IF(OR($G204="Exact TP",$G204="Equivalent TP"),1,0)</f>
        <v/>
      </c>
      <c r="M204" s="15">
        <f>IF(OR($G204="FP Extra",$G204="Harmful FP"),1,0)</f>
        <v/>
      </c>
      <c r="N204" s="15">
        <f>IF(OR($G204="FN",$G204="Partial"),1,0)</f>
        <v/>
      </c>
      <c r="O204" s="15">
        <f>IF($L204=1,$I204,0)</f>
        <v/>
      </c>
      <c r="P204" s="15">
        <f>IF($M204=1,$I204,0)</f>
        <v/>
      </c>
      <c r="Q204" s="15">
        <f>IF($N204=1,$I204,0)</f>
        <v/>
      </c>
      <c r="R204" s="20" t="n"/>
      <c r="S204" s="20" t="n"/>
      <c r="T204" s="20" t="n"/>
    </row>
    <row r="205" ht="18.75" customHeight="1">
      <c r="A205" s="12" t="n"/>
      <c r="B205" s="12" t="n"/>
      <c r="C205" s="12" t="n"/>
      <c r="D205" s="12" t="n"/>
      <c r="E205" s="12" t="n"/>
      <c r="F205" s="12" t="n"/>
      <c r="G205" s="12" t="n"/>
      <c r="H205" s="14">
        <f>IFERROR(VLOOKUP($B205,$A$25:$N$54,7,FALSE),"")</f>
        <v/>
      </c>
      <c r="I205" s="15">
        <f>IF($H205="Minor",1,IF($H205="Moderate",2,IF($H205="Major",3,IF($H205="Critical",4,""))))</f>
        <v/>
      </c>
      <c r="J205" s="16" t="n"/>
      <c r="K205" s="16" t="n"/>
      <c r="L205" s="15">
        <f>IF(OR($G205="Exact TP",$G205="Equivalent TP"),1,0)</f>
        <v/>
      </c>
      <c r="M205" s="15">
        <f>IF(OR($G205="FP Extra",$G205="Harmful FP"),1,0)</f>
        <v/>
      </c>
      <c r="N205" s="15">
        <f>IF(OR($G205="FN",$G205="Partial"),1,0)</f>
        <v/>
      </c>
      <c r="O205" s="15">
        <f>IF($L205=1,$I205,0)</f>
        <v/>
      </c>
      <c r="P205" s="15">
        <f>IF($M205=1,$I205,0)</f>
        <v/>
      </c>
      <c r="Q205" s="15">
        <f>IF($N205=1,$I205,0)</f>
        <v/>
      </c>
      <c r="R205" s="20" t="n"/>
      <c r="S205" s="20" t="n"/>
      <c r="T205" s="20" t="n"/>
    </row>
    <row r="206" ht="18.75" customHeight="1">
      <c r="A206" s="12" t="n"/>
      <c r="B206" s="12" t="n"/>
      <c r="C206" s="12" t="n"/>
      <c r="D206" s="12" t="n"/>
      <c r="E206" s="12" t="n"/>
      <c r="F206" s="12" t="n"/>
      <c r="G206" s="12" t="n"/>
      <c r="H206" s="14">
        <f>IFERROR(VLOOKUP($B206,$A$25:$N$54,7,FALSE),"")</f>
        <v/>
      </c>
      <c r="I206" s="15">
        <f>IF($H206="Minor",1,IF($H206="Moderate",2,IF($H206="Major",3,IF($H206="Critical",4,""))))</f>
        <v/>
      </c>
      <c r="J206" s="16" t="n"/>
      <c r="K206" s="16" t="n"/>
      <c r="L206" s="15">
        <f>IF(OR($G206="Exact TP",$G206="Equivalent TP"),1,0)</f>
        <v/>
      </c>
      <c r="M206" s="15">
        <f>IF(OR($G206="FP Extra",$G206="Harmful FP"),1,0)</f>
        <v/>
      </c>
      <c r="N206" s="15">
        <f>IF(OR($G206="FN",$G206="Partial"),1,0)</f>
        <v/>
      </c>
      <c r="O206" s="15">
        <f>IF($L206=1,$I206,0)</f>
        <v/>
      </c>
      <c r="P206" s="15">
        <f>IF($M206=1,$I206,0)</f>
        <v/>
      </c>
      <c r="Q206" s="15">
        <f>IF($N206=1,$I206,0)</f>
        <v/>
      </c>
      <c r="R206" s="20" t="n"/>
      <c r="S206" s="20" t="n"/>
      <c r="T206" s="20" t="n"/>
    </row>
    <row r="207" ht="18.75" customHeight="1">
      <c r="A207" s="12" t="n"/>
      <c r="B207" s="12" t="n"/>
      <c r="C207" s="12" t="n"/>
      <c r="D207" s="12" t="n"/>
      <c r="E207" s="12" t="n"/>
      <c r="F207" s="12" t="n"/>
      <c r="G207" s="12" t="n"/>
      <c r="H207" s="14">
        <f>IFERROR(VLOOKUP($B207,$A$25:$N$54,7,FALSE),"")</f>
        <v/>
      </c>
      <c r="I207" s="15">
        <f>IF($H207="Minor",1,IF($H207="Moderate",2,IF($H207="Major",3,IF($H207="Critical",4,""))))</f>
        <v/>
      </c>
      <c r="J207" s="16" t="n"/>
      <c r="K207" s="16" t="n"/>
      <c r="L207" s="15">
        <f>IF(OR($G207="Exact TP",$G207="Equivalent TP"),1,0)</f>
        <v/>
      </c>
      <c r="M207" s="15">
        <f>IF(OR($G207="FP Extra",$G207="Harmful FP"),1,0)</f>
        <v/>
      </c>
      <c r="N207" s="15">
        <f>IF(OR($G207="FN",$G207="Partial"),1,0)</f>
        <v/>
      </c>
      <c r="O207" s="15">
        <f>IF($L207=1,$I207,0)</f>
        <v/>
      </c>
      <c r="P207" s="15">
        <f>IF($M207=1,$I207,0)</f>
        <v/>
      </c>
      <c r="Q207" s="15">
        <f>IF($N207=1,$I207,0)</f>
        <v/>
      </c>
      <c r="R207" s="20" t="n"/>
      <c r="S207" s="20" t="n"/>
      <c r="T207" s="20" t="n"/>
    </row>
    <row r="208" ht="18.75" customHeight="1">
      <c r="A208" s="12" t="n"/>
      <c r="B208" s="12" t="n"/>
      <c r="C208" s="12" t="n"/>
      <c r="D208" s="12" t="n"/>
      <c r="E208" s="12" t="n"/>
      <c r="F208" s="12" t="n"/>
      <c r="G208" s="12" t="n"/>
      <c r="H208" s="14">
        <f>IFERROR(VLOOKUP($B208,$A$25:$N$54,7,FALSE),"")</f>
        <v/>
      </c>
      <c r="I208" s="15">
        <f>IF($H208="Minor",1,IF($H208="Moderate",2,IF($H208="Major",3,IF($H208="Critical",4,""))))</f>
        <v/>
      </c>
      <c r="J208" s="16" t="n"/>
      <c r="K208" s="16" t="n"/>
      <c r="L208" s="15">
        <f>IF(OR($G208="Exact TP",$G208="Equivalent TP"),1,0)</f>
        <v/>
      </c>
      <c r="M208" s="15">
        <f>IF(OR($G208="FP Extra",$G208="Harmful FP"),1,0)</f>
        <v/>
      </c>
      <c r="N208" s="15">
        <f>IF(OR($G208="FN",$G208="Partial"),1,0)</f>
        <v/>
      </c>
      <c r="O208" s="15">
        <f>IF($L208=1,$I208,0)</f>
        <v/>
      </c>
      <c r="P208" s="15">
        <f>IF($M208=1,$I208,0)</f>
        <v/>
      </c>
      <c r="Q208" s="15">
        <f>IF($N208=1,$I208,0)</f>
        <v/>
      </c>
      <c r="R208" s="20" t="n"/>
      <c r="S208" s="20" t="n"/>
      <c r="T208" s="20" t="n"/>
    </row>
    <row r="209" ht="18.75" customHeight="1">
      <c r="A209" s="12" t="n"/>
      <c r="B209" s="12" t="n"/>
      <c r="C209" s="12" t="n"/>
      <c r="D209" s="12" t="n"/>
      <c r="E209" s="12" t="n"/>
      <c r="F209" s="12" t="n"/>
      <c r="G209" s="12" t="n"/>
      <c r="H209" s="14">
        <f>IFERROR(VLOOKUP($B209,$A$25:$N$54,7,FALSE),"")</f>
        <v/>
      </c>
      <c r="I209" s="15">
        <f>IF($H209="Minor",1,IF($H209="Moderate",2,IF($H209="Major",3,IF($H209="Critical",4,""))))</f>
        <v/>
      </c>
      <c r="J209" s="16" t="n"/>
      <c r="K209" s="16" t="n"/>
      <c r="L209" s="15">
        <f>IF(OR($G209="Exact TP",$G209="Equivalent TP"),1,0)</f>
        <v/>
      </c>
      <c r="M209" s="15">
        <f>IF(OR($G209="FP Extra",$G209="Harmful FP"),1,0)</f>
        <v/>
      </c>
      <c r="N209" s="15">
        <f>IF(OR($G209="FN",$G209="Partial"),1,0)</f>
        <v/>
      </c>
      <c r="O209" s="15">
        <f>IF($L209=1,$I209,0)</f>
        <v/>
      </c>
      <c r="P209" s="15">
        <f>IF($M209=1,$I209,0)</f>
        <v/>
      </c>
      <c r="Q209" s="15">
        <f>IF($N209=1,$I209,0)</f>
        <v/>
      </c>
      <c r="R209" s="20" t="n"/>
      <c r="S209" s="20" t="n"/>
      <c r="T209" s="20" t="n"/>
    </row>
    <row r="210" ht="18.75" customHeight="1">
      <c r="A210" s="12" t="n"/>
      <c r="B210" s="12" t="n"/>
      <c r="C210" s="12" t="n"/>
      <c r="D210" s="12" t="n"/>
      <c r="E210" s="12" t="n"/>
      <c r="F210" s="12" t="n"/>
      <c r="G210" s="12" t="n"/>
      <c r="H210" s="14">
        <f>IFERROR(VLOOKUP($B210,$A$25:$N$54,7,FALSE),"")</f>
        <v/>
      </c>
      <c r="I210" s="15">
        <f>IF($H210="Minor",1,IF($H210="Moderate",2,IF($H210="Major",3,IF($H210="Critical",4,""))))</f>
        <v/>
      </c>
      <c r="J210" s="16" t="n"/>
      <c r="K210" s="16" t="n"/>
      <c r="L210" s="15">
        <f>IF(OR($G210="Exact TP",$G210="Equivalent TP"),1,0)</f>
        <v/>
      </c>
      <c r="M210" s="15">
        <f>IF(OR($G210="FP Extra",$G210="Harmful FP"),1,0)</f>
        <v/>
      </c>
      <c r="N210" s="15">
        <f>IF(OR($G210="FN",$G210="Partial"),1,0)</f>
        <v/>
      </c>
      <c r="O210" s="15">
        <f>IF($L210=1,$I210,0)</f>
        <v/>
      </c>
      <c r="P210" s="15">
        <f>IF($M210=1,$I210,0)</f>
        <v/>
      </c>
      <c r="Q210" s="15">
        <f>IF($N210=1,$I210,0)</f>
        <v/>
      </c>
      <c r="R210" s="20" t="n"/>
      <c r="S210" s="20" t="n"/>
      <c r="T210" s="20" t="n"/>
    </row>
    <row r="211" ht="18.75" customHeight="1">
      <c r="A211" s="20" t="n"/>
      <c r="B211" s="20" t="n"/>
      <c r="C211" s="21" t="n"/>
      <c r="D211" s="21" t="n"/>
      <c r="E211" s="20" t="n"/>
      <c r="F211" s="21" t="n"/>
      <c r="G211" s="21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</row>
    <row r="212" ht="18.75" customHeight="1">
      <c r="A212" s="20" t="n"/>
      <c r="B212" s="20" t="n"/>
      <c r="C212" s="21" t="n"/>
      <c r="D212" s="21" t="n"/>
      <c r="E212" s="20" t="n"/>
      <c r="F212" s="21" t="n"/>
      <c r="G212" s="21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</row>
    <row r="213" ht="18.75" customHeight="1">
      <c r="A213" s="1" t="inlineStr">
        <is>
          <t>7. Behavioral and Quality Evaluation by Treatment</t>
        </is>
      </c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2" t="n"/>
      <c r="Q213" s="20" t="n"/>
      <c r="R213" s="20" t="n"/>
      <c r="S213" s="20" t="n"/>
      <c r="T213" s="20" t="n"/>
    </row>
    <row r="214" ht="18.75" customFormat="1" customHeight="1" s="4">
      <c r="A214" s="8" t="inlineStr">
        <is>
          <t>Treatment</t>
        </is>
      </c>
      <c r="B214" s="8" t="inlineStr">
        <is>
          <t>Build Status</t>
        </is>
      </c>
      <c r="C214" s="8" t="inlineStr">
        <is>
          <t>Tests Total</t>
        </is>
      </c>
      <c r="D214" s="8" t="inlineStr">
        <is>
          <t>Tests Passed</t>
        </is>
      </c>
      <c r="E214" s="8" t="inlineStr">
        <is>
          <t>Test Pass Rate</t>
        </is>
      </c>
      <c r="F214" s="8" t="inlineStr">
        <is>
          <t>Behavior Score</t>
        </is>
      </c>
      <c r="G214" s="8" t="inlineStr">
        <is>
          <t>Runtime Issues</t>
        </is>
      </c>
      <c r="H214" s="8" t="inlineStr">
        <is>
          <t>Smells Before</t>
        </is>
      </c>
      <c r="I214" s="8" t="inlineStr">
        <is>
          <t>Smells After</t>
        </is>
      </c>
      <c r="J214" s="8" t="inlineStr">
        <is>
          <t>Smell Red.%</t>
        </is>
      </c>
      <c r="K214" s="8" t="inlineStr">
        <is>
          <t>Complexity Before</t>
        </is>
      </c>
      <c r="L214" s="8" t="inlineStr">
        <is>
          <t>Complexity After</t>
        </is>
      </c>
      <c r="M214" s="8" t="inlineStr">
        <is>
          <t>Complexity Red.%</t>
        </is>
      </c>
      <c r="N214" s="8" t="inlineStr">
        <is>
          <t>MI Before</t>
        </is>
      </c>
      <c r="O214" s="8" t="inlineStr">
        <is>
          <t>MI After</t>
        </is>
      </c>
      <c r="P214" s="8" t="inlineStr">
        <is>
          <t>MI Change</t>
        </is>
      </c>
      <c r="Q214" s="8" t="inlineStr">
        <is>
          <t>Repair Effort (hrs)</t>
        </is>
      </c>
      <c r="R214" s="8" t="inlineStr">
        <is>
          <t>Integration Readiness</t>
        </is>
      </c>
      <c r="S214" s="8" t="inlineStr">
        <is>
          <t>Notes</t>
        </is>
      </c>
      <c r="T214" s="21" t="n"/>
    </row>
    <row r="215" ht="18.75" customHeight="1">
      <c r="A215" s="6" t="inlineStr">
        <is>
          <t>AI-Assisted</t>
        </is>
      </c>
      <c r="B215" s="12" t="n"/>
      <c r="C215" s="12" t="n"/>
      <c r="D215" s="12" t="n"/>
      <c r="E215" s="17">
        <f>IFERROR(D215/C215,"")</f>
        <v/>
      </c>
      <c r="F215" s="18" t="n"/>
      <c r="G215" s="12" t="n"/>
      <c r="H215" s="12" t="n"/>
      <c r="I215" s="12" t="n"/>
      <c r="J215" s="17">
        <f>IFERROR((H215-I215)/H215,"")</f>
        <v/>
      </c>
      <c r="K215" s="12" t="n"/>
      <c r="L215" s="12" t="n"/>
      <c r="M215" s="17">
        <f>IFERROR((K215-L215)/K215,"")</f>
        <v/>
      </c>
      <c r="N215" s="12" t="n"/>
      <c r="O215" s="12" t="n"/>
      <c r="P215" s="19">
        <f>IFERROR(O215-N215,"")</f>
        <v/>
      </c>
      <c r="Q215" s="18" t="n"/>
      <c r="R215" s="12" t="n"/>
      <c r="S215" s="12" t="n"/>
      <c r="T215" s="20" t="n"/>
    </row>
    <row r="216" ht="18.75" customHeight="1">
      <c r="A216" s="6" t="inlineStr">
        <is>
          <t>Auto Tool A</t>
        </is>
      </c>
      <c r="B216" s="12" t="n"/>
      <c r="C216" s="12" t="n"/>
      <c r="D216" s="12" t="n"/>
      <c r="E216" s="17">
        <f>IFERROR(D216/C216,"")</f>
        <v/>
      </c>
      <c r="F216" s="18" t="n"/>
      <c r="G216" s="12" t="n"/>
      <c r="H216" s="12" t="n"/>
      <c r="I216" s="12" t="n"/>
      <c r="J216" s="17">
        <f>IFERROR((H216-I216)/H216,"")</f>
        <v/>
      </c>
      <c r="K216" s="12" t="n"/>
      <c r="L216" s="12" t="n"/>
      <c r="M216" s="17">
        <f>IFERROR((K216-L216)/K216,"")</f>
        <v/>
      </c>
      <c r="N216" s="12" t="n"/>
      <c r="O216" s="12" t="n"/>
      <c r="P216" s="19">
        <f>IFERROR(O216-N216,"")</f>
        <v/>
      </c>
      <c r="Q216" s="18" t="n"/>
      <c r="R216" s="12" t="n"/>
      <c r="S216" s="12" t="n"/>
      <c r="T216" s="20" t="n"/>
    </row>
    <row r="217" ht="18.75" customHeight="1">
      <c r="A217" s="6" t="inlineStr">
        <is>
          <t>Auto Tool B</t>
        </is>
      </c>
      <c r="B217" s="12" t="n"/>
      <c r="C217" s="12" t="n"/>
      <c r="D217" s="12" t="n"/>
      <c r="E217" s="17">
        <f>IFERROR(D217/C217,"")</f>
        <v/>
      </c>
      <c r="F217" s="18" t="n"/>
      <c r="G217" s="12" t="n"/>
      <c r="H217" s="12" t="n"/>
      <c r="I217" s="12" t="n"/>
      <c r="J217" s="17">
        <f>IFERROR((H217-I217)/H217,"")</f>
        <v/>
      </c>
      <c r="K217" s="12" t="n"/>
      <c r="L217" s="12" t="n"/>
      <c r="M217" s="17">
        <f>IFERROR((K217-L217)/K217,"")</f>
        <v/>
      </c>
      <c r="N217" s="12" t="n"/>
      <c r="O217" s="12" t="n"/>
      <c r="P217" s="19">
        <f>IFERROR(O217-N217,"")</f>
        <v/>
      </c>
      <c r="Q217" s="18" t="n"/>
      <c r="R217" s="12" t="n"/>
      <c r="S217" s="12" t="n"/>
      <c r="T217" s="20" t="n"/>
    </row>
    <row r="218" ht="18.75" customHeight="1">
      <c r="A218" s="6" t="inlineStr">
        <is>
          <t>Auto Tool C</t>
        </is>
      </c>
      <c r="B218" s="12" t="n"/>
      <c r="C218" s="12" t="n"/>
      <c r="D218" s="12" t="n"/>
      <c r="E218" s="17">
        <f>IFERROR(D218/C218,"")</f>
        <v/>
      </c>
      <c r="F218" s="18" t="n"/>
      <c r="G218" s="12" t="n"/>
      <c r="H218" s="12" t="n"/>
      <c r="I218" s="12" t="n"/>
      <c r="J218" s="17">
        <f>IFERROR((H218-I218)/H218,"")</f>
        <v/>
      </c>
      <c r="K218" s="12" t="n"/>
      <c r="L218" s="12" t="n"/>
      <c r="M218" s="17">
        <f>IFERROR((K218-L218)/K218,"")</f>
        <v/>
      </c>
      <c r="N218" s="12" t="n"/>
      <c r="O218" s="12" t="n"/>
      <c r="P218" s="19">
        <f>IFERROR(O218-N218,"")</f>
        <v/>
      </c>
      <c r="Q218" s="18" t="n"/>
      <c r="R218" s="12" t="n"/>
      <c r="S218" s="12" t="n"/>
      <c r="T218" s="20" t="n"/>
    </row>
    <row r="219" ht="18.75" customHeight="1">
      <c r="A219" s="20" t="n"/>
      <c r="B219" s="20" t="n"/>
      <c r="C219" s="21" t="n"/>
      <c r="D219" s="21" t="n"/>
      <c r="E219" s="20" t="n"/>
      <c r="F219" s="21" t="n"/>
      <c r="G219" s="21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</row>
    <row r="220" ht="18.75" customHeight="1">
      <c r="A220" s="20" t="n"/>
      <c r="B220" s="20" t="n"/>
      <c r="C220" s="21" t="n"/>
      <c r="D220" s="21" t="n"/>
      <c r="E220" s="20" t="n"/>
      <c r="F220" s="21" t="n"/>
      <c r="G220" s="21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</row>
    <row r="221" ht="18.75" customHeight="1">
      <c r="A221" s="20" t="n"/>
      <c r="B221" s="20" t="n"/>
      <c r="C221" s="21" t="n"/>
      <c r="D221" s="21" t="n"/>
      <c r="E221" s="20" t="n"/>
      <c r="F221" s="21" t="n"/>
      <c r="G221" s="21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</row>
    <row r="222" ht="18.75" customHeight="1">
      <c r="A222" s="1" t="inlineStr">
        <is>
          <t>8. Representative Examples / Notes</t>
        </is>
      </c>
      <c r="B222" s="41" t="n"/>
      <c r="C222" s="41" t="n"/>
      <c r="D222" s="41" t="n"/>
      <c r="E222" s="41" t="n"/>
      <c r="F222" s="41" t="n"/>
      <c r="G222" s="41" t="n"/>
      <c r="H222" s="42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</row>
    <row r="223" ht="18.75" customFormat="1" customHeight="1" s="4">
      <c r="A223" s="8" t="inlineStr">
        <is>
          <t>Treatment</t>
        </is>
      </c>
      <c r="B223" s="8" t="inlineStr">
        <is>
          <t>RR_ID</t>
        </is>
      </c>
      <c r="C223" s="8" t="inlineStr">
        <is>
          <t>GA_ID</t>
        </is>
      </c>
      <c r="D223" s="8" t="inlineStr">
        <is>
          <t>Short Label</t>
        </is>
      </c>
      <c r="E223" s="8" t="inlineStr">
        <is>
          <t>Why Representative</t>
        </is>
      </c>
      <c r="F223" s="8" t="inlineStr">
        <is>
          <t>Outcome Summary</t>
        </is>
      </c>
      <c r="G223" s="8" t="inlineStr">
        <is>
          <t>Code Pointer / Diff Ref</t>
        </is>
      </c>
      <c r="H223" s="8" t="inlineStr">
        <is>
          <t>Notes</t>
        </is>
      </c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</row>
    <row r="224" ht="18.75" customFormat="1" customHeight="1" s="4">
      <c r="A224" s="12" t="n"/>
      <c r="B224" s="13" t="n"/>
      <c r="C224" s="12" t="n"/>
      <c r="D224" s="13" t="n"/>
      <c r="E224" s="12" t="n"/>
      <c r="F224" s="13" t="n"/>
      <c r="G224" s="12" t="n"/>
      <c r="H224" s="13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</row>
    <row r="225" ht="18.75" customFormat="1" customHeight="1" s="4">
      <c r="A225" s="12" t="n"/>
      <c r="B225" s="13" t="n"/>
      <c r="C225" s="12" t="n"/>
      <c r="D225" s="13" t="n"/>
      <c r="E225" s="12" t="n"/>
      <c r="F225" s="13" t="n"/>
      <c r="G225" s="12" t="n"/>
      <c r="H225" s="13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</row>
    <row r="226" ht="18.75" customFormat="1" customHeight="1" s="4">
      <c r="A226" s="12" t="n"/>
      <c r="B226" s="13" t="n"/>
      <c r="C226" s="12" t="n"/>
      <c r="D226" s="13" t="n"/>
      <c r="E226" s="12" t="n"/>
      <c r="F226" s="13" t="n"/>
      <c r="G226" s="12" t="n"/>
      <c r="H226" s="13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</row>
    <row r="227" ht="18.75" customFormat="1" customHeight="1" s="4">
      <c r="A227" s="12" t="n"/>
      <c r="B227" s="13" t="n"/>
      <c r="C227" s="12" t="n"/>
      <c r="D227" s="13" t="n"/>
      <c r="E227" s="12" t="n"/>
      <c r="F227" s="13" t="n"/>
      <c r="G227" s="12" t="n"/>
      <c r="H227" s="13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</row>
    <row r="228" ht="18.75" customFormat="1" customHeight="1" s="4">
      <c r="A228" s="12" t="n"/>
      <c r="B228" s="13" t="n"/>
      <c r="C228" s="12" t="n"/>
      <c r="D228" s="13" t="n"/>
      <c r="E228" s="12" t="n"/>
      <c r="F228" s="13" t="n"/>
      <c r="G228" s="12" t="n"/>
      <c r="H228" s="13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</row>
    <row r="229" ht="18.75" customFormat="1" customHeight="1" s="4">
      <c r="A229" s="12" t="n"/>
      <c r="B229" s="13" t="n"/>
      <c r="C229" s="12" t="n"/>
      <c r="D229" s="13" t="n"/>
      <c r="E229" s="12" t="n"/>
      <c r="F229" s="13" t="n"/>
      <c r="G229" s="12" t="n"/>
      <c r="H229" s="13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</row>
    <row r="230" ht="18.75" customFormat="1" customHeight="1" s="4">
      <c r="A230" s="12" t="n"/>
      <c r="B230" s="13" t="n"/>
      <c r="C230" s="12" t="n"/>
      <c r="D230" s="13" t="n"/>
      <c r="E230" s="12" t="n"/>
      <c r="F230" s="13" t="n"/>
      <c r="G230" s="12" t="n"/>
      <c r="H230" s="13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</row>
  </sheetData>
  <mergeCells count="9">
    <mergeCell ref="A1:T1"/>
    <mergeCell ref="A89:Q89"/>
    <mergeCell ref="H4:T4"/>
    <mergeCell ref="A14:J14"/>
    <mergeCell ref="A57:K57"/>
    <mergeCell ref="A222:H222"/>
    <mergeCell ref="A4:F4"/>
    <mergeCell ref="A23:N23"/>
    <mergeCell ref="A213:P2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7.xml><?xml version="1.0" encoding="utf-8"?>
<worksheet xmlns="http://schemas.openxmlformats.org/spreadsheetml/2006/main">
  <sheetPr>
    <outlinePr summaryBelow="0"/>
    <pageSetUpPr/>
  </sheetPr>
  <dimension ref="A1:T230"/>
  <sheetViews>
    <sheetView workbookViewId="0">
      <selection activeCell="A1" sqref="A1"/>
    </sheetView>
  </sheetViews>
  <sheetFormatPr baseColWidth="8" defaultRowHeight="15"/>
  <cols>
    <col width="18.005" bestFit="1" customWidth="1" style="20" min="1" max="1"/>
    <col width="18.005" bestFit="1" customWidth="1" style="20" min="2" max="2"/>
    <col width="24.005" bestFit="1" customWidth="1" style="21" min="3" max="3"/>
    <col width="24.005" bestFit="1" customWidth="1" style="21" min="4" max="4"/>
    <col width="18.005" bestFit="1" customWidth="1" style="20" min="5" max="5"/>
    <col width="18.005" bestFit="1" customWidth="1" style="21" min="6" max="6"/>
    <col width="14.005" bestFit="1" customWidth="1" style="21" min="7" max="7"/>
    <col width="14.005" bestFit="1" customWidth="1" style="20" min="8" max="8"/>
    <col width="14.005" bestFit="1" customWidth="1" style="20" min="9" max="9"/>
    <col width="18.005" bestFit="1" customWidth="1" style="20" min="10" max="10"/>
    <col width="18.005" bestFit="1" customWidth="1" style="20" min="11" max="11"/>
    <col width="14.005" bestFit="1" customWidth="1" style="20" min="12" max="12"/>
    <col width="14.005" bestFit="1" customWidth="1" style="20" min="13" max="13"/>
    <col width="18.005" bestFit="1" customWidth="1" style="20" min="14" max="14"/>
    <col width="14.005" bestFit="1" customWidth="1" style="20" min="15" max="15"/>
    <col width="14.005" bestFit="1" customWidth="1" style="20" min="16" max="16"/>
    <col width="14.005" bestFit="1" customWidth="1" style="20" min="17" max="17"/>
    <col width="14.005" bestFit="1" customWidth="1" style="20" min="18" max="18"/>
    <col width="14.005" bestFit="1" customWidth="1" style="20" min="19" max="19"/>
    <col width="14.005" bestFit="1" customWidth="1" style="20" min="20" max="20"/>
  </cols>
  <sheetData>
    <row r="1" ht="18.75" customHeight="1">
      <c r="A1" s="1" t="inlineStr">
        <is>
          <t>Module_M4 — Data Collection Sheet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18.75" customFormat="1" customHeight="1" s="4">
      <c r="A2" s="5" t="inlineStr">
        <is>
          <t>Blue-font cells are for input. Black-font cells contain formulas. Replace placeholders only where appropriate.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ht="18.75" customHeight="1">
      <c r="A3" s="20" t="n"/>
      <c r="B3" s="20" t="n"/>
      <c r="C3" s="21" t="n"/>
      <c r="D3" s="21" t="n"/>
      <c r="E3" s="20" t="n"/>
      <c r="F3" s="21" t="n"/>
      <c r="G3" s="21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8.75" customHeight="1">
      <c r="A4" s="1" t="inlineStr">
        <is>
          <t>1. Module Metadata</t>
        </is>
      </c>
      <c r="B4" s="41" t="n"/>
      <c r="C4" s="41" t="n"/>
      <c r="D4" s="41" t="n"/>
      <c r="E4" s="41" t="n"/>
      <c r="F4" s="42" t="n"/>
      <c r="G4" s="21" t="n"/>
      <c r="H4" s="1" t="inlineStr">
        <is>
          <t>2. Auto-Calculated Summary by Treatment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2" t="n"/>
    </row>
    <row r="5" ht="18.75" customHeight="1">
      <c r="A5" s="6" t="inlineStr">
        <is>
          <t>Module ID</t>
        </is>
      </c>
      <c r="B5" s="7" t="inlineStr">
        <is>
          <t>M4</t>
        </is>
      </c>
      <c r="C5" s="21" t="n"/>
      <c r="D5" s="21" t="n"/>
      <c r="E5" s="20" t="n"/>
      <c r="F5" s="21" t="n"/>
      <c r="G5" s="21" t="n"/>
      <c r="H5" s="8" t="inlineStr">
        <is>
          <t>Treatment</t>
        </is>
      </c>
      <c r="I5" s="8" t="inlineStr">
        <is>
          <t>TP</t>
        </is>
      </c>
      <c r="J5" s="8" t="inlineStr">
        <is>
          <t>Partial</t>
        </is>
      </c>
      <c r="K5" s="8" t="inlineStr">
        <is>
          <t>FP</t>
        </is>
      </c>
      <c r="L5" s="8" t="inlineStr">
        <is>
          <t>FN</t>
        </is>
      </c>
      <c r="M5" s="8" t="inlineStr">
        <is>
          <t>Precision</t>
        </is>
      </c>
      <c r="N5" s="8" t="inlineStr">
        <is>
          <t>Recall</t>
        </is>
      </c>
      <c r="O5" s="8" t="inlineStr">
        <is>
          <t>F1</t>
        </is>
      </c>
      <c r="P5" s="8" t="inlineStr">
        <is>
          <t>Weighted F1</t>
        </is>
      </c>
      <c r="Q5" s="8" t="inlineStr">
        <is>
          <t>Behavior Score</t>
        </is>
      </c>
      <c r="R5" s="8" t="inlineStr">
        <is>
          <t>Smell Red.%</t>
        </is>
      </c>
      <c r="S5" s="8" t="inlineStr">
        <is>
          <t>Integration</t>
        </is>
      </c>
      <c r="T5" s="20" t="n"/>
    </row>
    <row r="6" ht="18.75" customHeight="1">
      <c r="A6" s="6" t="inlineStr">
        <is>
          <t>Module Name</t>
        </is>
      </c>
      <c r="B6" s="7" t="n"/>
      <c r="C6" s="21" t="n"/>
      <c r="D6" s="21" t="n"/>
      <c r="E6" s="20" t="n"/>
      <c r="F6" s="21" t="n"/>
      <c r="G6" s="21" t="n"/>
      <c r="H6" s="6" t="inlineStr">
        <is>
          <t>AI-Assisted</t>
        </is>
      </c>
      <c r="I6" s="9">
        <f>SUMIFS($L$89:$L$210,$A$89:$A$210,$H6)</f>
        <v/>
      </c>
      <c r="J6" s="9">
        <f>COUNTIFS($A$89:$A$210,$H6,$G$89:$G$210,"Partial")</f>
        <v/>
      </c>
      <c r="K6" s="9">
        <f>SUMIFS($M$89:$M$210,$A$89:$A$210,$H6)</f>
        <v/>
      </c>
      <c r="L6" s="9">
        <f>SUMIFS($N$89:$N$210,$A$89:$A$210,$H6)</f>
        <v/>
      </c>
      <c r="M6" s="10">
        <f>IFERROR(I6/(I6+K6),"")</f>
        <v/>
      </c>
      <c r="N6" s="10">
        <f>IFERROR(I6/(I6+L6),"")</f>
        <v/>
      </c>
      <c r="O6" s="10">
        <f>IFERROR(2*M6*N6/(M6+N6),"")</f>
        <v/>
      </c>
      <c r="P6" s="10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9">
        <f>IFERROR(INDEX($F$215:$F$218,MATCH($H6,$A$215:$A$218,0)),"")</f>
        <v/>
      </c>
      <c r="R6" s="10">
        <f>IFERROR(INDEX($J$215:$J$218,MATCH($H6,$A$215:$A$218,0)),"")</f>
        <v/>
      </c>
      <c r="S6" s="11">
        <f>IFERROR(INDEX($R$215:$R$218,MATCH($H6,$A$215:$A$218,0)),"")</f>
        <v/>
      </c>
      <c r="T6" s="20" t="n"/>
    </row>
    <row r="7" ht="18.75" customHeight="1">
      <c r="A7" s="6" t="inlineStr">
        <is>
          <t>Functional Area</t>
        </is>
      </c>
      <c r="B7" s="7" t="n"/>
      <c r="C7" s="21" t="n"/>
      <c r="D7" s="21" t="n"/>
      <c r="E7" s="20" t="n"/>
      <c r="F7" s="21" t="n"/>
      <c r="G7" s="21" t="n"/>
      <c r="H7" s="6" t="inlineStr">
        <is>
          <t>Auto Tool A</t>
        </is>
      </c>
      <c r="I7" s="9">
        <f>SUMIFS($L$89:$L$210,$A$89:$A$210,$H7)</f>
        <v/>
      </c>
      <c r="J7" s="9">
        <f>COUNTIFS($A$89:$A$210,$H7,$G$89:$G$210,"Partial")</f>
        <v/>
      </c>
      <c r="K7" s="9">
        <f>SUMIFS($M$89:$M$210,$A$89:$A$210,$H7)</f>
        <v/>
      </c>
      <c r="L7" s="9">
        <f>SUMIFS($N$89:$N$210,$A$89:$A$210,$H7)</f>
        <v/>
      </c>
      <c r="M7" s="10">
        <f>IFERROR(I7/(I7+K7),"")</f>
        <v/>
      </c>
      <c r="N7" s="10">
        <f>IFERROR(I7/(I7+L7),"")</f>
        <v/>
      </c>
      <c r="O7" s="10">
        <f>IFERROR(2*M7*N7/(M7+N7),"")</f>
        <v/>
      </c>
      <c r="P7" s="10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9">
        <f>IFERROR(INDEX($F$215:$F$218,MATCH($H7,$A$215:$A$218,0)),"")</f>
        <v/>
      </c>
      <c r="R7" s="10">
        <f>IFERROR(INDEX($J$215:$J$218,MATCH($H7,$A$215:$A$218,0)),"")</f>
        <v/>
      </c>
      <c r="S7" s="11">
        <f>IFERROR(INDEX($R$215:$R$218,MATCH($H7,$A$215:$A$218,0)),"")</f>
        <v/>
      </c>
      <c r="T7" s="20" t="n"/>
    </row>
    <row r="8" ht="18.75" customHeight="1">
      <c r="A8" s="6" t="inlineStr">
        <is>
          <t>Complexity Level</t>
        </is>
      </c>
      <c r="B8" s="7" t="n"/>
      <c r="C8" s="21" t="n"/>
      <c r="D8" s="21" t="n"/>
      <c r="E8" s="20" t="n"/>
      <c r="F8" s="21" t="n"/>
      <c r="G8" s="21" t="n"/>
      <c r="H8" s="6" t="inlineStr">
        <is>
          <t>Auto Tool B</t>
        </is>
      </c>
      <c r="I8" s="9">
        <f>SUMIFS($L$89:$L$210,$A$89:$A$210,$H8)</f>
        <v/>
      </c>
      <c r="J8" s="9">
        <f>COUNTIFS($A$89:$A$210,$H8,$G$89:$G$210,"Partial")</f>
        <v/>
      </c>
      <c r="K8" s="9">
        <f>SUMIFS($M$89:$M$210,$A$89:$A$210,$H8)</f>
        <v/>
      </c>
      <c r="L8" s="9">
        <f>SUMIFS($N$89:$N$210,$A$89:$A$210,$H8)</f>
        <v/>
      </c>
      <c r="M8" s="10">
        <f>IFERROR(I8/(I8+K8),"")</f>
        <v/>
      </c>
      <c r="N8" s="10">
        <f>IFERROR(I8/(I8+L8),"")</f>
        <v/>
      </c>
      <c r="O8" s="10">
        <f>IFERROR(2*M8*N8/(M8+N8),"")</f>
        <v/>
      </c>
      <c r="P8" s="10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9">
        <f>IFERROR(INDEX($F$215:$F$218,MATCH($H8,$A$215:$A$218,0)),"")</f>
        <v/>
      </c>
      <c r="R8" s="10">
        <f>IFERROR(INDEX($J$215:$J$218,MATCH($H8,$A$215:$A$218,0)),"")</f>
        <v/>
      </c>
      <c r="S8" s="11">
        <f>IFERROR(INDEX($R$215:$R$218,MATCH($H8,$A$215:$A$218,0)),"")</f>
        <v/>
      </c>
      <c r="T8" s="20" t="n"/>
    </row>
    <row r="9" ht="18.75" customHeight="1">
      <c r="A9" s="6" t="inlineStr">
        <is>
          <t>Approx. LOC</t>
        </is>
      </c>
      <c r="B9" s="7" t="n"/>
      <c r="C9" s="21" t="n"/>
      <c r="D9" s="21" t="n"/>
      <c r="E9" s="20" t="n"/>
      <c r="F9" s="21" t="n"/>
      <c r="G9" s="21" t="n"/>
      <c r="H9" s="6" t="inlineStr">
        <is>
          <t>Auto Tool C</t>
        </is>
      </c>
      <c r="I9" s="9">
        <f>SUMIFS($L$89:$L$210,$A$89:$A$210,$H9)</f>
        <v/>
      </c>
      <c r="J9" s="9">
        <f>COUNTIFS($A$89:$A$210,$H9,$G$89:$G$210,"Partial")</f>
        <v/>
      </c>
      <c r="K9" s="9">
        <f>SUMIFS($M$89:$M$210,$A$89:$A$210,$H9)</f>
        <v/>
      </c>
      <c r="L9" s="9">
        <f>SUMIFS($N$89:$N$210,$A$89:$A$210,$H9)</f>
        <v/>
      </c>
      <c r="M9" s="10">
        <f>IFERROR(I9/(I9+K9),"")</f>
        <v/>
      </c>
      <c r="N9" s="10">
        <f>IFERROR(I9/(I9+L9),"")</f>
        <v/>
      </c>
      <c r="O9" s="10">
        <f>IFERROR(2*M9*N9/(M9+N9),"")</f>
        <v/>
      </c>
      <c r="P9" s="10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9">
        <f>IFERROR(INDEX($F$215:$F$218,MATCH($H9,$A$215:$A$218,0)),"")</f>
        <v/>
      </c>
      <c r="R9" s="10">
        <f>IFERROR(INDEX($J$215:$J$218,MATCH($H9,$A$215:$A$218,0)),"")</f>
        <v/>
      </c>
      <c r="S9" s="11">
        <f>IFERROR(INDEX($R$215:$R$218,MATCH($H9,$A$215:$A$218,0)),"")</f>
        <v/>
      </c>
      <c r="T9" s="20" t="n"/>
    </row>
    <row r="10" ht="18.75" customHeight="1">
      <c r="A10" s="6" t="inlineStr">
        <is>
          <t>Python Files</t>
        </is>
      </c>
      <c r="B10" s="7" t="n"/>
      <c r="C10" s="21" t="n"/>
      <c r="D10" s="21" t="n"/>
      <c r="E10" s="20" t="n"/>
      <c r="F10" s="21" t="n"/>
      <c r="G10" s="21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8.75" customHeight="1">
      <c r="A11" s="6" t="inlineStr">
        <is>
          <t>Initial Smell Count</t>
        </is>
      </c>
      <c r="B11" s="7" t="n"/>
      <c r="C11" s="21" t="n"/>
      <c r="D11" s="21" t="n"/>
      <c r="E11" s="20" t="n"/>
      <c r="F11" s="21" t="n"/>
      <c r="G11" s="21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18.75" customHeight="1">
      <c r="A12" s="6" t="inlineStr">
        <is>
          <t>Evaluator(s)</t>
        </is>
      </c>
      <c r="B12" s="7" t="n"/>
      <c r="C12" s="21" t="n"/>
      <c r="D12" s="21" t="n"/>
      <c r="E12" s="20" t="n"/>
      <c r="F12" s="21" t="n"/>
      <c r="G12" s="21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8.75" customHeight="1">
      <c r="A13" s="20" t="n"/>
      <c r="B13" s="20" t="n"/>
      <c r="C13" s="21" t="n"/>
      <c r="D13" s="21" t="n"/>
      <c r="E13" s="20" t="n"/>
      <c r="F13" s="21" t="n"/>
      <c r="G13" s="21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18.75" customHeight="1">
      <c r="A14" s="1" t="inlineStr">
        <is>
          <t>3. Treatment Run Log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8.75" customFormat="1" customHeight="1" s="4">
      <c r="A15" s="8" t="inlineStr">
        <is>
          <t>Treatment</t>
        </is>
      </c>
      <c r="B15" s="8" t="inlineStr">
        <is>
          <t>Tool / Workflow</t>
        </is>
      </c>
      <c r="C15" s="8" t="inlineStr">
        <is>
          <t>Model Version</t>
        </is>
      </c>
      <c r="D15" s="8" t="inlineStr">
        <is>
          <t>Prompt Template</t>
        </is>
      </c>
      <c r="E15" s="8" t="inlineStr">
        <is>
          <t>Run Date</t>
        </is>
      </c>
      <c r="F15" s="8" t="inlineStr">
        <is>
          <t>Human Iterations</t>
        </is>
      </c>
      <c r="G15" s="8" t="inlineStr">
        <is>
          <t>Output ID</t>
        </is>
      </c>
      <c r="H15" s="8" t="inlineStr">
        <is>
          <t>Files Changed</t>
        </is>
      </c>
      <c r="I15" s="8" t="inlineStr">
        <is>
          <t>LOC Changed</t>
        </is>
      </c>
      <c r="J15" s="8" t="inlineStr">
        <is>
          <t>Build Status</t>
        </is>
      </c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8.75" customHeight="1">
      <c r="A16" s="6" t="inlineStr">
        <is>
          <t>AI-Assisted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8.75" customHeight="1">
      <c r="A17" s="6" t="inlineStr">
        <is>
          <t>Auto Tool 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8.75" customHeight="1">
      <c r="A18" s="6" t="inlineStr">
        <is>
          <t>Auto Tool B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8.75" customHeight="1">
      <c r="A19" s="6" t="inlineStr">
        <is>
          <t>Auto Tool C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.75" customHeight="1">
      <c r="A20" s="20" t="n"/>
      <c r="B20" s="20" t="n"/>
      <c r="C20" s="21" t="n"/>
      <c r="D20" s="21" t="n"/>
      <c r="E20" s="20" t="n"/>
      <c r="F20" s="21" t="n"/>
      <c r="G20" s="21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8.75" customHeight="1">
      <c r="A21" s="20" t="n"/>
      <c r="B21" s="20" t="n"/>
      <c r="C21" s="21" t="n"/>
      <c r="D21" s="21" t="n"/>
      <c r="E21" s="20" t="n"/>
      <c r="F21" s="21" t="n"/>
      <c r="G21" s="2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.75" customHeight="1">
      <c r="A22" s="20" t="n"/>
      <c r="B22" s="20" t="n"/>
      <c r="C22" s="21" t="n"/>
      <c r="D22" s="21" t="n"/>
      <c r="E22" s="20" t="n"/>
      <c r="F22" s="21" t="n"/>
      <c r="G22" s="21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18.75" customHeight="1">
      <c r="A23" s="1" t="inlineStr">
        <is>
          <t>4. Reference Refactoring Registry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  <c r="O23" s="20" t="n"/>
      <c r="P23" s="20" t="n"/>
      <c r="Q23" s="20" t="n"/>
      <c r="R23" s="20" t="n"/>
      <c r="S23" s="20" t="n"/>
      <c r="T23" s="20" t="n"/>
    </row>
    <row r="24" ht="18.75" customFormat="1" customHeight="1" s="4">
      <c r="A24" s="8" t="inlineStr">
        <is>
          <t>RR_ID</t>
        </is>
      </c>
      <c r="B24" s="8" t="inlineStr">
        <is>
          <t>Location</t>
        </is>
      </c>
      <c r="C24" s="8" t="inlineStr">
        <is>
          <t>Issue Description</t>
        </is>
      </c>
      <c r="D24" s="8" t="inlineStr">
        <is>
          <t>Issue Type</t>
        </is>
      </c>
      <c r="E24" s="8" t="inlineStr">
        <is>
          <t>Refactoring Type</t>
        </is>
      </c>
      <c r="F24" s="8" t="inlineStr">
        <is>
          <t>Intent</t>
        </is>
      </c>
      <c r="G24" s="8" t="inlineStr">
        <is>
          <t>Severity</t>
        </is>
      </c>
      <c r="H24" s="8" t="inlineStr">
        <is>
          <t>Granularity</t>
        </is>
      </c>
      <c r="I24" s="8" t="inlineStr">
        <is>
          <t>Dependency Scope</t>
        </is>
      </c>
      <c r="J24" s="8" t="inlineStr">
        <is>
          <t>Behavioral Risk</t>
        </is>
      </c>
      <c r="K24" s="8" t="inlineStr">
        <is>
          <t>Context Dependence</t>
        </is>
      </c>
      <c r="L24" s="8" t="inlineStr">
        <is>
          <t>Mandatory?</t>
        </is>
      </c>
      <c r="M24" s="8" t="inlineStr">
        <is>
          <t>Acceptable Alternatives</t>
        </is>
      </c>
      <c r="N24" s="8" t="inlineStr">
        <is>
          <t>Notes</t>
        </is>
      </c>
      <c r="O24" s="21" t="n"/>
      <c r="P24" s="21" t="n"/>
      <c r="Q24" s="21" t="n"/>
      <c r="R24" s="21" t="n"/>
      <c r="S24" s="21" t="n"/>
      <c r="T24" s="21" t="n"/>
    </row>
    <row r="25" ht="18.75" customFormat="1" customHeight="1" s="4">
      <c r="A25" s="12" t="n"/>
      <c r="B25" s="13" t="n"/>
      <c r="C25" s="12" t="n"/>
      <c r="D25" s="13" t="n"/>
      <c r="E25" s="12" t="n"/>
      <c r="F25" s="13" t="n"/>
      <c r="G25" s="12" t="n"/>
      <c r="H25" s="13" t="n"/>
      <c r="I25" s="12" t="n"/>
      <c r="J25" s="13" t="n"/>
      <c r="K25" s="12" t="n"/>
      <c r="L25" s="13" t="n"/>
      <c r="M25" s="12" t="n"/>
      <c r="N25" s="13" t="n"/>
      <c r="O25" s="21" t="n"/>
      <c r="P25" s="21" t="n"/>
      <c r="Q25" s="21" t="n"/>
      <c r="R25" s="21" t="n"/>
      <c r="S25" s="21" t="n"/>
      <c r="T25" s="21" t="n"/>
    </row>
    <row r="26" ht="18.75" customFormat="1" customHeight="1" s="4">
      <c r="A26" s="12" t="n"/>
      <c r="B26" s="13" t="n"/>
      <c r="C26" s="12" t="n"/>
      <c r="D26" s="13" t="n"/>
      <c r="E26" s="12" t="n"/>
      <c r="F26" s="13" t="n"/>
      <c r="G26" s="12" t="n"/>
      <c r="H26" s="13" t="n"/>
      <c r="I26" s="12" t="n"/>
      <c r="J26" s="13" t="n"/>
      <c r="K26" s="12" t="n"/>
      <c r="L26" s="13" t="n"/>
      <c r="M26" s="12" t="n"/>
      <c r="N26" s="13" t="n"/>
      <c r="O26" s="21" t="n"/>
      <c r="P26" s="21" t="n"/>
      <c r="Q26" s="21" t="n"/>
      <c r="R26" s="21" t="n"/>
      <c r="S26" s="21" t="n"/>
      <c r="T26" s="21" t="n"/>
    </row>
    <row r="27" ht="18.75" customFormat="1" customHeight="1" s="4">
      <c r="A27" s="12" t="n"/>
      <c r="B27" s="13" t="n"/>
      <c r="C27" s="12" t="n"/>
      <c r="D27" s="13" t="n"/>
      <c r="E27" s="12" t="n"/>
      <c r="F27" s="13" t="n"/>
      <c r="G27" s="12" t="n"/>
      <c r="H27" s="13" t="n"/>
      <c r="I27" s="12" t="n"/>
      <c r="J27" s="13" t="n"/>
      <c r="K27" s="12" t="n"/>
      <c r="L27" s="13" t="n"/>
      <c r="M27" s="12" t="n"/>
      <c r="N27" s="13" t="n"/>
      <c r="O27" s="21" t="n"/>
      <c r="P27" s="21" t="n"/>
      <c r="Q27" s="21" t="n"/>
      <c r="R27" s="21" t="n"/>
      <c r="S27" s="21" t="n"/>
      <c r="T27" s="21" t="n"/>
    </row>
    <row r="28" ht="18.75" customFormat="1" customHeight="1" s="4">
      <c r="A28" s="12" t="n"/>
      <c r="B28" s="13" t="n"/>
      <c r="C28" s="12" t="n"/>
      <c r="D28" s="13" t="n"/>
      <c r="E28" s="12" t="n"/>
      <c r="F28" s="13" t="n"/>
      <c r="G28" s="12" t="n"/>
      <c r="H28" s="13" t="n"/>
      <c r="I28" s="12" t="n"/>
      <c r="J28" s="13" t="n"/>
      <c r="K28" s="12" t="n"/>
      <c r="L28" s="13" t="n"/>
      <c r="M28" s="12" t="n"/>
      <c r="N28" s="13" t="n"/>
      <c r="O28" s="21" t="n"/>
      <c r="P28" s="21" t="n"/>
      <c r="Q28" s="21" t="n"/>
      <c r="R28" s="21" t="n"/>
      <c r="S28" s="21" t="n"/>
      <c r="T28" s="21" t="n"/>
    </row>
    <row r="29" ht="18.75" customFormat="1" customHeight="1" s="4">
      <c r="A29" s="12" t="n"/>
      <c r="B29" s="13" t="n"/>
      <c r="C29" s="12" t="n"/>
      <c r="D29" s="13" t="n"/>
      <c r="E29" s="12" t="n"/>
      <c r="F29" s="13" t="n"/>
      <c r="G29" s="12" t="n"/>
      <c r="H29" s="13" t="n"/>
      <c r="I29" s="12" t="n"/>
      <c r="J29" s="13" t="n"/>
      <c r="K29" s="12" t="n"/>
      <c r="L29" s="13" t="n"/>
      <c r="M29" s="12" t="n"/>
      <c r="N29" s="13" t="n"/>
      <c r="O29" s="21" t="n"/>
      <c r="P29" s="21" t="n"/>
      <c r="Q29" s="21" t="n"/>
      <c r="R29" s="21" t="n"/>
      <c r="S29" s="21" t="n"/>
      <c r="T29" s="21" t="n"/>
    </row>
    <row r="30" ht="18.75" customFormat="1" customHeight="1" s="4">
      <c r="A30" s="12" t="n"/>
      <c r="B30" s="13" t="n"/>
      <c r="C30" s="12" t="n"/>
      <c r="D30" s="13" t="n"/>
      <c r="E30" s="12" t="n"/>
      <c r="F30" s="13" t="n"/>
      <c r="G30" s="12" t="n"/>
      <c r="H30" s="13" t="n"/>
      <c r="I30" s="12" t="n"/>
      <c r="J30" s="13" t="n"/>
      <c r="K30" s="12" t="n"/>
      <c r="L30" s="13" t="n"/>
      <c r="M30" s="12" t="n"/>
      <c r="N30" s="13" t="n"/>
      <c r="O30" s="21" t="n"/>
      <c r="P30" s="21" t="n"/>
      <c r="Q30" s="21" t="n"/>
      <c r="R30" s="21" t="n"/>
      <c r="S30" s="21" t="n"/>
      <c r="T30" s="21" t="n"/>
    </row>
    <row r="31" ht="18.75" customFormat="1" customHeight="1" s="4">
      <c r="A31" s="12" t="n"/>
      <c r="B31" s="13" t="n"/>
      <c r="C31" s="12" t="n"/>
      <c r="D31" s="13" t="n"/>
      <c r="E31" s="12" t="n"/>
      <c r="F31" s="13" t="n"/>
      <c r="G31" s="12" t="n"/>
      <c r="H31" s="13" t="n"/>
      <c r="I31" s="12" t="n"/>
      <c r="J31" s="13" t="n"/>
      <c r="K31" s="12" t="n"/>
      <c r="L31" s="13" t="n"/>
      <c r="M31" s="12" t="n"/>
      <c r="N31" s="13" t="n"/>
      <c r="O31" s="21" t="n"/>
      <c r="P31" s="21" t="n"/>
      <c r="Q31" s="21" t="n"/>
      <c r="R31" s="21" t="n"/>
      <c r="S31" s="21" t="n"/>
      <c r="T31" s="21" t="n"/>
    </row>
    <row r="32" ht="18.75" customFormat="1" customHeight="1" s="4">
      <c r="A32" s="12" t="n"/>
      <c r="B32" s="13" t="n"/>
      <c r="C32" s="12" t="n"/>
      <c r="D32" s="13" t="n"/>
      <c r="E32" s="12" t="n"/>
      <c r="F32" s="13" t="n"/>
      <c r="G32" s="12" t="n"/>
      <c r="H32" s="13" t="n"/>
      <c r="I32" s="12" t="n"/>
      <c r="J32" s="13" t="n"/>
      <c r="K32" s="12" t="n"/>
      <c r="L32" s="13" t="n"/>
      <c r="M32" s="12" t="n"/>
      <c r="N32" s="13" t="n"/>
      <c r="O32" s="21" t="n"/>
      <c r="P32" s="21" t="n"/>
      <c r="Q32" s="21" t="n"/>
      <c r="R32" s="21" t="n"/>
      <c r="S32" s="21" t="n"/>
      <c r="T32" s="21" t="n"/>
    </row>
    <row r="33" ht="18.75" customFormat="1" customHeight="1" s="4">
      <c r="A33" s="12" t="n"/>
      <c r="B33" s="13" t="n"/>
      <c r="C33" s="12" t="n"/>
      <c r="D33" s="13" t="n"/>
      <c r="E33" s="12" t="n"/>
      <c r="F33" s="13" t="n"/>
      <c r="G33" s="12" t="n"/>
      <c r="H33" s="13" t="n"/>
      <c r="I33" s="12" t="n"/>
      <c r="J33" s="13" t="n"/>
      <c r="K33" s="12" t="n"/>
      <c r="L33" s="13" t="n"/>
      <c r="M33" s="12" t="n"/>
      <c r="N33" s="13" t="n"/>
      <c r="O33" s="21" t="n"/>
      <c r="P33" s="21" t="n"/>
      <c r="Q33" s="21" t="n"/>
      <c r="R33" s="21" t="n"/>
      <c r="S33" s="21" t="n"/>
      <c r="T33" s="21" t="n"/>
    </row>
    <row r="34" ht="18.75" customFormat="1" customHeight="1" s="4">
      <c r="A34" s="12" t="n"/>
      <c r="B34" s="13" t="n"/>
      <c r="C34" s="12" t="n"/>
      <c r="D34" s="13" t="n"/>
      <c r="E34" s="12" t="n"/>
      <c r="F34" s="13" t="n"/>
      <c r="G34" s="12" t="n"/>
      <c r="H34" s="13" t="n"/>
      <c r="I34" s="12" t="n"/>
      <c r="J34" s="13" t="n"/>
      <c r="K34" s="12" t="n"/>
      <c r="L34" s="13" t="n"/>
      <c r="M34" s="12" t="n"/>
      <c r="N34" s="13" t="n"/>
      <c r="O34" s="21" t="n"/>
      <c r="P34" s="21" t="n"/>
      <c r="Q34" s="21" t="n"/>
      <c r="R34" s="21" t="n"/>
      <c r="S34" s="21" t="n"/>
      <c r="T34" s="21" t="n"/>
    </row>
    <row r="35" ht="18.75" customFormat="1" customHeight="1" s="4">
      <c r="A35" s="12" t="n"/>
      <c r="B35" s="13" t="n"/>
      <c r="C35" s="12" t="n"/>
      <c r="D35" s="13" t="n"/>
      <c r="E35" s="12" t="n"/>
      <c r="F35" s="13" t="n"/>
      <c r="G35" s="12" t="n"/>
      <c r="H35" s="13" t="n"/>
      <c r="I35" s="12" t="n"/>
      <c r="J35" s="13" t="n"/>
      <c r="K35" s="12" t="n"/>
      <c r="L35" s="13" t="n"/>
      <c r="M35" s="12" t="n"/>
      <c r="N35" s="13" t="n"/>
      <c r="O35" s="21" t="n"/>
      <c r="P35" s="21" t="n"/>
      <c r="Q35" s="21" t="n"/>
      <c r="R35" s="21" t="n"/>
      <c r="S35" s="21" t="n"/>
      <c r="T35" s="21" t="n"/>
    </row>
    <row r="36" ht="18.75" customFormat="1" customHeight="1" s="4">
      <c r="A36" s="12" t="n"/>
      <c r="B36" s="13" t="n"/>
      <c r="C36" s="12" t="n"/>
      <c r="D36" s="13" t="n"/>
      <c r="E36" s="12" t="n"/>
      <c r="F36" s="13" t="n"/>
      <c r="G36" s="12" t="n"/>
      <c r="H36" s="13" t="n"/>
      <c r="I36" s="12" t="n"/>
      <c r="J36" s="13" t="n"/>
      <c r="K36" s="12" t="n"/>
      <c r="L36" s="13" t="n"/>
      <c r="M36" s="12" t="n"/>
      <c r="N36" s="13" t="n"/>
      <c r="O36" s="21" t="n"/>
      <c r="P36" s="21" t="n"/>
      <c r="Q36" s="21" t="n"/>
      <c r="R36" s="21" t="n"/>
      <c r="S36" s="21" t="n"/>
      <c r="T36" s="21" t="n"/>
    </row>
    <row r="37" ht="18.75" customFormat="1" customHeight="1" s="4">
      <c r="A37" s="12" t="n"/>
      <c r="B37" s="13" t="n"/>
      <c r="C37" s="12" t="n"/>
      <c r="D37" s="13" t="n"/>
      <c r="E37" s="12" t="n"/>
      <c r="F37" s="13" t="n"/>
      <c r="G37" s="12" t="n"/>
      <c r="H37" s="13" t="n"/>
      <c r="I37" s="12" t="n"/>
      <c r="J37" s="13" t="n"/>
      <c r="K37" s="12" t="n"/>
      <c r="L37" s="13" t="n"/>
      <c r="M37" s="12" t="n"/>
      <c r="N37" s="13" t="n"/>
      <c r="O37" s="21" t="n"/>
      <c r="P37" s="21" t="n"/>
      <c r="Q37" s="21" t="n"/>
      <c r="R37" s="21" t="n"/>
      <c r="S37" s="21" t="n"/>
      <c r="T37" s="21" t="n"/>
    </row>
    <row r="38" ht="18.75" customFormat="1" customHeight="1" s="4">
      <c r="A38" s="12" t="n"/>
      <c r="B38" s="13" t="n"/>
      <c r="C38" s="12" t="n"/>
      <c r="D38" s="13" t="n"/>
      <c r="E38" s="12" t="n"/>
      <c r="F38" s="13" t="n"/>
      <c r="G38" s="12" t="n"/>
      <c r="H38" s="13" t="n"/>
      <c r="I38" s="12" t="n"/>
      <c r="J38" s="13" t="n"/>
      <c r="K38" s="12" t="n"/>
      <c r="L38" s="13" t="n"/>
      <c r="M38" s="12" t="n"/>
      <c r="N38" s="13" t="n"/>
      <c r="O38" s="21" t="n"/>
      <c r="P38" s="21" t="n"/>
      <c r="Q38" s="21" t="n"/>
      <c r="R38" s="21" t="n"/>
      <c r="S38" s="21" t="n"/>
      <c r="T38" s="21" t="n"/>
    </row>
    <row r="39" ht="18.75" customFormat="1" customHeight="1" s="4">
      <c r="A39" s="12" t="n"/>
      <c r="B39" s="13" t="n"/>
      <c r="C39" s="12" t="n"/>
      <c r="D39" s="13" t="n"/>
      <c r="E39" s="12" t="n"/>
      <c r="F39" s="13" t="n"/>
      <c r="G39" s="12" t="n"/>
      <c r="H39" s="13" t="n"/>
      <c r="I39" s="12" t="n"/>
      <c r="J39" s="13" t="n"/>
      <c r="K39" s="12" t="n"/>
      <c r="L39" s="13" t="n"/>
      <c r="M39" s="12" t="n"/>
      <c r="N39" s="13" t="n"/>
      <c r="O39" s="21" t="n"/>
      <c r="P39" s="21" t="n"/>
      <c r="Q39" s="21" t="n"/>
      <c r="R39" s="21" t="n"/>
      <c r="S39" s="21" t="n"/>
      <c r="T39" s="21" t="n"/>
    </row>
    <row r="40" ht="18.75" customFormat="1" customHeight="1" s="4">
      <c r="A40" s="12" t="n"/>
      <c r="B40" s="13" t="n"/>
      <c r="C40" s="12" t="n"/>
      <c r="D40" s="13" t="n"/>
      <c r="E40" s="12" t="n"/>
      <c r="F40" s="13" t="n"/>
      <c r="G40" s="12" t="n"/>
      <c r="H40" s="13" t="n"/>
      <c r="I40" s="12" t="n"/>
      <c r="J40" s="13" t="n"/>
      <c r="K40" s="12" t="n"/>
      <c r="L40" s="13" t="n"/>
      <c r="M40" s="12" t="n"/>
      <c r="N40" s="13" t="n"/>
      <c r="O40" s="21" t="n"/>
      <c r="P40" s="21" t="n"/>
      <c r="Q40" s="21" t="n"/>
      <c r="R40" s="21" t="n"/>
      <c r="S40" s="21" t="n"/>
      <c r="T40" s="21" t="n"/>
    </row>
    <row r="41" ht="18.75" customFormat="1" customHeight="1" s="4">
      <c r="A41" s="12" t="n"/>
      <c r="B41" s="13" t="n"/>
      <c r="C41" s="12" t="n"/>
      <c r="D41" s="13" t="n"/>
      <c r="E41" s="12" t="n"/>
      <c r="F41" s="13" t="n"/>
      <c r="G41" s="12" t="n"/>
      <c r="H41" s="13" t="n"/>
      <c r="I41" s="12" t="n"/>
      <c r="J41" s="13" t="n"/>
      <c r="K41" s="12" t="n"/>
      <c r="L41" s="13" t="n"/>
      <c r="M41" s="12" t="n"/>
      <c r="N41" s="13" t="n"/>
      <c r="O41" s="21" t="n"/>
      <c r="P41" s="21" t="n"/>
      <c r="Q41" s="21" t="n"/>
      <c r="R41" s="21" t="n"/>
      <c r="S41" s="21" t="n"/>
      <c r="T41" s="21" t="n"/>
    </row>
    <row r="42" ht="18.75" customFormat="1" customHeight="1" s="4">
      <c r="A42" s="12" t="n"/>
      <c r="B42" s="13" t="n"/>
      <c r="C42" s="12" t="n"/>
      <c r="D42" s="13" t="n"/>
      <c r="E42" s="12" t="n"/>
      <c r="F42" s="13" t="n"/>
      <c r="G42" s="12" t="n"/>
      <c r="H42" s="13" t="n"/>
      <c r="I42" s="12" t="n"/>
      <c r="J42" s="13" t="n"/>
      <c r="K42" s="12" t="n"/>
      <c r="L42" s="13" t="n"/>
      <c r="M42" s="12" t="n"/>
      <c r="N42" s="13" t="n"/>
      <c r="O42" s="21" t="n"/>
      <c r="P42" s="21" t="n"/>
      <c r="Q42" s="21" t="n"/>
      <c r="R42" s="21" t="n"/>
      <c r="S42" s="21" t="n"/>
      <c r="T42" s="21" t="n"/>
    </row>
    <row r="43" ht="18.75" customFormat="1" customHeight="1" s="4">
      <c r="A43" s="12" t="n"/>
      <c r="B43" s="13" t="n"/>
      <c r="C43" s="12" t="n"/>
      <c r="D43" s="13" t="n"/>
      <c r="E43" s="12" t="n"/>
      <c r="F43" s="13" t="n"/>
      <c r="G43" s="12" t="n"/>
      <c r="H43" s="13" t="n"/>
      <c r="I43" s="12" t="n"/>
      <c r="J43" s="13" t="n"/>
      <c r="K43" s="12" t="n"/>
      <c r="L43" s="13" t="n"/>
      <c r="M43" s="12" t="n"/>
      <c r="N43" s="13" t="n"/>
      <c r="O43" s="21" t="n"/>
      <c r="P43" s="21" t="n"/>
      <c r="Q43" s="21" t="n"/>
      <c r="R43" s="21" t="n"/>
      <c r="S43" s="21" t="n"/>
      <c r="T43" s="21" t="n"/>
    </row>
    <row r="44" ht="18.75" customFormat="1" customHeight="1" s="4">
      <c r="A44" s="12" t="n"/>
      <c r="B44" s="13" t="n"/>
      <c r="C44" s="12" t="n"/>
      <c r="D44" s="13" t="n"/>
      <c r="E44" s="12" t="n"/>
      <c r="F44" s="13" t="n"/>
      <c r="G44" s="12" t="n"/>
      <c r="H44" s="13" t="n"/>
      <c r="I44" s="12" t="n"/>
      <c r="J44" s="13" t="n"/>
      <c r="K44" s="12" t="n"/>
      <c r="L44" s="13" t="n"/>
      <c r="M44" s="12" t="n"/>
      <c r="N44" s="13" t="n"/>
      <c r="O44" s="21" t="n"/>
      <c r="P44" s="21" t="n"/>
      <c r="Q44" s="21" t="n"/>
      <c r="R44" s="21" t="n"/>
      <c r="S44" s="21" t="n"/>
      <c r="T44" s="21" t="n"/>
    </row>
    <row r="45" ht="18.75" customFormat="1" customHeight="1" s="4">
      <c r="A45" s="12" t="n"/>
      <c r="B45" s="13" t="n"/>
      <c r="C45" s="12" t="n"/>
      <c r="D45" s="13" t="n"/>
      <c r="E45" s="12" t="n"/>
      <c r="F45" s="13" t="n"/>
      <c r="G45" s="12" t="n"/>
      <c r="H45" s="13" t="n"/>
      <c r="I45" s="12" t="n"/>
      <c r="J45" s="13" t="n"/>
      <c r="K45" s="12" t="n"/>
      <c r="L45" s="13" t="n"/>
      <c r="M45" s="12" t="n"/>
      <c r="N45" s="13" t="n"/>
      <c r="O45" s="21" t="n"/>
      <c r="P45" s="21" t="n"/>
      <c r="Q45" s="21" t="n"/>
      <c r="R45" s="21" t="n"/>
      <c r="S45" s="21" t="n"/>
      <c r="T45" s="21" t="n"/>
    </row>
    <row r="46" ht="18.75" customFormat="1" customHeight="1" s="4">
      <c r="A46" s="12" t="n"/>
      <c r="B46" s="13" t="n"/>
      <c r="C46" s="12" t="n"/>
      <c r="D46" s="13" t="n"/>
      <c r="E46" s="12" t="n"/>
      <c r="F46" s="13" t="n"/>
      <c r="G46" s="12" t="n"/>
      <c r="H46" s="13" t="n"/>
      <c r="I46" s="12" t="n"/>
      <c r="J46" s="13" t="n"/>
      <c r="K46" s="12" t="n"/>
      <c r="L46" s="13" t="n"/>
      <c r="M46" s="12" t="n"/>
      <c r="N46" s="13" t="n"/>
      <c r="O46" s="21" t="n"/>
      <c r="P46" s="21" t="n"/>
      <c r="Q46" s="21" t="n"/>
      <c r="R46" s="21" t="n"/>
      <c r="S46" s="21" t="n"/>
      <c r="T46" s="21" t="n"/>
    </row>
    <row r="47" ht="18.75" customFormat="1" customHeight="1" s="4">
      <c r="A47" s="12" t="n"/>
      <c r="B47" s="13" t="n"/>
      <c r="C47" s="12" t="n"/>
      <c r="D47" s="13" t="n"/>
      <c r="E47" s="12" t="n"/>
      <c r="F47" s="13" t="n"/>
      <c r="G47" s="12" t="n"/>
      <c r="H47" s="13" t="n"/>
      <c r="I47" s="12" t="n"/>
      <c r="J47" s="13" t="n"/>
      <c r="K47" s="12" t="n"/>
      <c r="L47" s="13" t="n"/>
      <c r="M47" s="12" t="n"/>
      <c r="N47" s="13" t="n"/>
      <c r="O47" s="21" t="n"/>
      <c r="P47" s="21" t="n"/>
      <c r="Q47" s="21" t="n"/>
      <c r="R47" s="21" t="n"/>
      <c r="S47" s="21" t="n"/>
      <c r="T47" s="21" t="n"/>
    </row>
    <row r="48" ht="18.75" customFormat="1" customHeight="1" s="4">
      <c r="A48" s="12" t="n"/>
      <c r="B48" s="13" t="n"/>
      <c r="C48" s="12" t="n"/>
      <c r="D48" s="13" t="n"/>
      <c r="E48" s="12" t="n"/>
      <c r="F48" s="13" t="n"/>
      <c r="G48" s="12" t="n"/>
      <c r="H48" s="13" t="n"/>
      <c r="I48" s="12" t="n"/>
      <c r="J48" s="13" t="n"/>
      <c r="K48" s="12" t="n"/>
      <c r="L48" s="13" t="n"/>
      <c r="M48" s="12" t="n"/>
      <c r="N48" s="13" t="n"/>
      <c r="O48" s="21" t="n"/>
      <c r="P48" s="21" t="n"/>
      <c r="Q48" s="21" t="n"/>
      <c r="R48" s="21" t="n"/>
      <c r="S48" s="21" t="n"/>
      <c r="T48" s="21" t="n"/>
    </row>
    <row r="49" ht="18.75" customFormat="1" customHeight="1" s="4">
      <c r="A49" s="12" t="n"/>
      <c r="B49" s="13" t="n"/>
      <c r="C49" s="12" t="n"/>
      <c r="D49" s="13" t="n"/>
      <c r="E49" s="12" t="n"/>
      <c r="F49" s="13" t="n"/>
      <c r="G49" s="12" t="n"/>
      <c r="H49" s="13" t="n"/>
      <c r="I49" s="12" t="n"/>
      <c r="J49" s="13" t="n"/>
      <c r="K49" s="12" t="n"/>
      <c r="L49" s="13" t="n"/>
      <c r="M49" s="12" t="n"/>
      <c r="N49" s="13" t="n"/>
      <c r="O49" s="21" t="n"/>
      <c r="P49" s="21" t="n"/>
      <c r="Q49" s="21" t="n"/>
      <c r="R49" s="21" t="n"/>
      <c r="S49" s="21" t="n"/>
      <c r="T49" s="21" t="n"/>
    </row>
    <row r="50" ht="18.75" customFormat="1" customHeight="1" s="4">
      <c r="A50" s="12" t="n"/>
      <c r="B50" s="13" t="n"/>
      <c r="C50" s="12" t="n"/>
      <c r="D50" s="13" t="n"/>
      <c r="E50" s="12" t="n"/>
      <c r="F50" s="13" t="n"/>
      <c r="G50" s="12" t="n"/>
      <c r="H50" s="13" t="n"/>
      <c r="I50" s="12" t="n"/>
      <c r="J50" s="13" t="n"/>
      <c r="K50" s="12" t="n"/>
      <c r="L50" s="13" t="n"/>
      <c r="M50" s="12" t="n"/>
      <c r="N50" s="13" t="n"/>
      <c r="O50" s="21" t="n"/>
      <c r="P50" s="21" t="n"/>
      <c r="Q50" s="21" t="n"/>
      <c r="R50" s="21" t="n"/>
      <c r="S50" s="21" t="n"/>
      <c r="T50" s="21" t="n"/>
    </row>
    <row r="51" ht="18.75" customFormat="1" customHeight="1" s="4">
      <c r="A51" s="12" t="n"/>
      <c r="B51" s="13" t="n"/>
      <c r="C51" s="12" t="n"/>
      <c r="D51" s="13" t="n"/>
      <c r="E51" s="12" t="n"/>
      <c r="F51" s="13" t="n"/>
      <c r="G51" s="12" t="n"/>
      <c r="H51" s="13" t="n"/>
      <c r="I51" s="12" t="n"/>
      <c r="J51" s="13" t="n"/>
      <c r="K51" s="12" t="n"/>
      <c r="L51" s="13" t="n"/>
      <c r="M51" s="12" t="n"/>
      <c r="N51" s="13" t="n"/>
      <c r="O51" s="21" t="n"/>
      <c r="P51" s="21" t="n"/>
      <c r="Q51" s="21" t="n"/>
      <c r="R51" s="21" t="n"/>
      <c r="S51" s="21" t="n"/>
      <c r="T51" s="21" t="n"/>
    </row>
    <row r="52" ht="18.75" customFormat="1" customHeight="1" s="4">
      <c r="A52" s="12" t="n"/>
      <c r="B52" s="13" t="n"/>
      <c r="C52" s="12" t="n"/>
      <c r="D52" s="13" t="n"/>
      <c r="E52" s="12" t="n"/>
      <c r="F52" s="13" t="n"/>
      <c r="G52" s="12" t="n"/>
      <c r="H52" s="13" t="n"/>
      <c r="I52" s="12" t="n"/>
      <c r="J52" s="13" t="n"/>
      <c r="K52" s="12" t="n"/>
      <c r="L52" s="13" t="n"/>
      <c r="M52" s="12" t="n"/>
      <c r="N52" s="13" t="n"/>
      <c r="O52" s="21" t="n"/>
      <c r="P52" s="21" t="n"/>
      <c r="Q52" s="21" t="n"/>
      <c r="R52" s="21" t="n"/>
      <c r="S52" s="21" t="n"/>
      <c r="T52" s="21" t="n"/>
    </row>
    <row r="53" ht="18.75" customFormat="1" customHeight="1" s="4">
      <c r="A53" s="12" t="n"/>
      <c r="B53" s="13" t="n"/>
      <c r="C53" s="12" t="n"/>
      <c r="D53" s="13" t="n"/>
      <c r="E53" s="12" t="n"/>
      <c r="F53" s="13" t="n"/>
      <c r="G53" s="12" t="n"/>
      <c r="H53" s="13" t="n"/>
      <c r="I53" s="12" t="n"/>
      <c r="J53" s="13" t="n"/>
      <c r="K53" s="12" t="n"/>
      <c r="L53" s="13" t="n"/>
      <c r="M53" s="12" t="n"/>
      <c r="N53" s="13" t="n"/>
      <c r="O53" s="21" t="n"/>
      <c r="P53" s="21" t="n"/>
      <c r="Q53" s="21" t="n"/>
      <c r="R53" s="21" t="n"/>
      <c r="S53" s="21" t="n"/>
      <c r="T53" s="21" t="n"/>
    </row>
    <row r="54" ht="18.75" customFormat="1" customHeight="1" s="4">
      <c r="A54" s="12" t="n"/>
      <c r="B54" s="13" t="n"/>
      <c r="C54" s="12" t="n"/>
      <c r="D54" s="13" t="n"/>
      <c r="E54" s="12" t="n"/>
      <c r="F54" s="13" t="n"/>
      <c r="G54" s="12" t="n"/>
      <c r="H54" s="13" t="n"/>
      <c r="I54" s="12" t="n"/>
      <c r="J54" s="13" t="n"/>
      <c r="K54" s="12" t="n"/>
      <c r="L54" s="13" t="n"/>
      <c r="M54" s="12" t="n"/>
      <c r="N54" s="13" t="n"/>
      <c r="O54" s="21" t="n"/>
      <c r="P54" s="21" t="n"/>
      <c r="Q54" s="21" t="n"/>
      <c r="R54" s="21" t="n"/>
      <c r="S54" s="21" t="n"/>
      <c r="T54" s="21" t="n"/>
    </row>
    <row r="55" ht="18.75" customHeight="1">
      <c r="A55" s="20" t="n"/>
      <c r="B55" s="20" t="n"/>
      <c r="C55" s="21" t="n"/>
      <c r="D55" s="21" t="n"/>
      <c r="E55" s="20" t="n"/>
      <c r="F55" s="21" t="n"/>
      <c r="G55" s="21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</row>
    <row r="56" ht="18.75" customHeight="1">
      <c r="A56" s="20" t="n"/>
      <c r="B56" s="20" t="n"/>
      <c r="C56" s="21" t="n"/>
      <c r="D56" s="21" t="n"/>
      <c r="E56" s="20" t="n"/>
      <c r="F56" s="21" t="n"/>
      <c r="G56" s="21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</row>
    <row r="57" ht="18.75" customHeight="1">
      <c r="A57" s="1" t="inlineStr">
        <is>
          <t>5. Generated Refactoring Actions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2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</row>
    <row r="58" ht="18.75" customFormat="1" customHeight="1" s="4">
      <c r="A58" s="8" t="inlineStr">
        <is>
          <t>GA_ID</t>
        </is>
      </c>
      <c r="B58" s="8" t="inlineStr">
        <is>
          <t>Treatment</t>
        </is>
      </c>
      <c r="C58" s="8" t="inlineStr">
        <is>
          <t>Location(s)</t>
        </is>
      </c>
      <c r="D58" s="8" t="inlineStr">
        <is>
          <t>Generated Action Description</t>
        </is>
      </c>
      <c r="E58" s="8" t="inlineStr">
        <is>
          <t>Inferred Refactoring Type</t>
        </is>
      </c>
      <c r="F58" s="8" t="inlineStr">
        <is>
          <t>Scope</t>
        </is>
      </c>
      <c r="G58" s="8" t="inlineStr">
        <is>
          <t>Files Changed</t>
        </is>
      </c>
      <c r="H58" s="8" t="inlineStr">
        <is>
          <t>LOC Changed</t>
        </is>
      </c>
      <c r="I58" s="8" t="inlineStr">
        <is>
          <t>Context Needed?</t>
        </is>
      </c>
      <c r="J58" s="8" t="inlineStr">
        <is>
          <t>Rationale Quality</t>
        </is>
      </c>
      <c r="K58" s="8" t="inlineStr">
        <is>
          <t>Notes</t>
        </is>
      </c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</row>
    <row r="59" ht="18.75" customFormat="1" customHeight="1" s="4">
      <c r="A59" s="12" t="n"/>
      <c r="B59" s="13" t="n"/>
      <c r="C59" s="12" t="n"/>
      <c r="D59" s="13" t="n"/>
      <c r="E59" s="12" t="n"/>
      <c r="F59" s="13" t="n"/>
      <c r="G59" s="12" t="n"/>
      <c r="H59" s="13" t="n"/>
      <c r="I59" s="12" t="n"/>
      <c r="J59" s="13" t="n"/>
      <c r="K59" s="12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</row>
    <row r="60" ht="18.75" customFormat="1" customHeight="1" s="4">
      <c r="A60" s="12" t="n"/>
      <c r="B60" s="13" t="n"/>
      <c r="C60" s="12" t="n"/>
      <c r="D60" s="13" t="n"/>
      <c r="E60" s="12" t="n"/>
      <c r="F60" s="13" t="n"/>
      <c r="G60" s="12" t="n"/>
      <c r="H60" s="13" t="n"/>
      <c r="I60" s="12" t="n"/>
      <c r="J60" s="13" t="n"/>
      <c r="K60" s="12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</row>
    <row r="61" ht="18.75" customFormat="1" customHeight="1" s="4">
      <c r="A61" s="12" t="n"/>
      <c r="B61" s="13" t="n"/>
      <c r="C61" s="12" t="n"/>
      <c r="D61" s="13" t="n"/>
      <c r="E61" s="12" t="n"/>
      <c r="F61" s="13" t="n"/>
      <c r="G61" s="12" t="n"/>
      <c r="H61" s="13" t="n"/>
      <c r="I61" s="12" t="n"/>
      <c r="J61" s="13" t="n"/>
      <c r="K61" s="12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</row>
    <row r="62" ht="18.75" customFormat="1" customHeight="1" s="4">
      <c r="A62" s="12" t="n"/>
      <c r="B62" s="13" t="n"/>
      <c r="C62" s="12" t="n"/>
      <c r="D62" s="13" t="n"/>
      <c r="E62" s="12" t="n"/>
      <c r="F62" s="13" t="n"/>
      <c r="G62" s="12" t="n"/>
      <c r="H62" s="13" t="n"/>
      <c r="I62" s="12" t="n"/>
      <c r="J62" s="13" t="n"/>
      <c r="K62" s="12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</row>
    <row r="63" ht="18.75" customFormat="1" customHeight="1" s="4">
      <c r="A63" s="12" t="n"/>
      <c r="B63" s="13" t="n"/>
      <c r="C63" s="12" t="n"/>
      <c r="D63" s="13" t="n"/>
      <c r="E63" s="12" t="n"/>
      <c r="F63" s="13" t="n"/>
      <c r="G63" s="12" t="n"/>
      <c r="H63" s="13" t="n"/>
      <c r="I63" s="12" t="n"/>
      <c r="J63" s="13" t="n"/>
      <c r="K63" s="12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</row>
    <row r="64" ht="18.75" customFormat="1" customHeight="1" s="4">
      <c r="A64" s="12" t="n"/>
      <c r="B64" s="13" t="n"/>
      <c r="C64" s="12" t="n"/>
      <c r="D64" s="13" t="n"/>
      <c r="E64" s="12" t="n"/>
      <c r="F64" s="13" t="n"/>
      <c r="G64" s="12" t="n"/>
      <c r="H64" s="13" t="n"/>
      <c r="I64" s="12" t="n"/>
      <c r="J64" s="13" t="n"/>
      <c r="K64" s="12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</row>
    <row r="65" ht="18.75" customFormat="1" customHeight="1" s="4">
      <c r="A65" s="12" t="n"/>
      <c r="B65" s="13" t="n"/>
      <c r="C65" s="12" t="n"/>
      <c r="D65" s="13" t="n"/>
      <c r="E65" s="12" t="n"/>
      <c r="F65" s="13" t="n"/>
      <c r="G65" s="12" t="n"/>
      <c r="H65" s="13" t="n"/>
      <c r="I65" s="12" t="n"/>
      <c r="J65" s="13" t="n"/>
      <c r="K65" s="12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</row>
    <row r="66" ht="18.75" customFormat="1" customHeight="1" s="4">
      <c r="A66" s="12" t="n"/>
      <c r="B66" s="13" t="n"/>
      <c r="C66" s="12" t="n"/>
      <c r="D66" s="13" t="n"/>
      <c r="E66" s="12" t="n"/>
      <c r="F66" s="13" t="n"/>
      <c r="G66" s="12" t="n"/>
      <c r="H66" s="13" t="n"/>
      <c r="I66" s="12" t="n"/>
      <c r="J66" s="13" t="n"/>
      <c r="K66" s="12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</row>
    <row r="67" ht="18.75" customFormat="1" customHeight="1" s="4">
      <c r="A67" s="12" t="n"/>
      <c r="B67" s="13" t="n"/>
      <c r="C67" s="12" t="n"/>
      <c r="D67" s="13" t="n"/>
      <c r="E67" s="12" t="n"/>
      <c r="F67" s="13" t="n"/>
      <c r="G67" s="12" t="n"/>
      <c r="H67" s="13" t="n"/>
      <c r="I67" s="12" t="n"/>
      <c r="J67" s="13" t="n"/>
      <c r="K67" s="12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</row>
    <row r="68" ht="18.75" customFormat="1" customHeight="1" s="4">
      <c r="A68" s="12" t="n"/>
      <c r="B68" s="13" t="n"/>
      <c r="C68" s="12" t="n"/>
      <c r="D68" s="13" t="n"/>
      <c r="E68" s="12" t="n"/>
      <c r="F68" s="13" t="n"/>
      <c r="G68" s="12" t="n"/>
      <c r="H68" s="13" t="n"/>
      <c r="I68" s="12" t="n"/>
      <c r="J68" s="13" t="n"/>
      <c r="K68" s="12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</row>
    <row r="69" ht="18.75" customFormat="1" customHeight="1" s="4">
      <c r="A69" s="12" t="n"/>
      <c r="B69" s="13" t="n"/>
      <c r="C69" s="12" t="n"/>
      <c r="D69" s="13" t="n"/>
      <c r="E69" s="12" t="n"/>
      <c r="F69" s="13" t="n"/>
      <c r="G69" s="12" t="n"/>
      <c r="H69" s="13" t="n"/>
      <c r="I69" s="12" t="n"/>
      <c r="J69" s="13" t="n"/>
      <c r="K69" s="12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</row>
    <row r="70" ht="18.75" customFormat="1" customHeight="1" s="4">
      <c r="A70" s="12" t="n"/>
      <c r="B70" s="13" t="n"/>
      <c r="C70" s="12" t="n"/>
      <c r="D70" s="13" t="n"/>
      <c r="E70" s="12" t="n"/>
      <c r="F70" s="13" t="n"/>
      <c r="G70" s="12" t="n"/>
      <c r="H70" s="13" t="n"/>
      <c r="I70" s="12" t="n"/>
      <c r="J70" s="13" t="n"/>
      <c r="K70" s="12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</row>
    <row r="71" ht="18.75" customFormat="1" customHeight="1" s="4">
      <c r="A71" s="12" t="n"/>
      <c r="B71" s="13" t="n"/>
      <c r="C71" s="12" t="n"/>
      <c r="D71" s="13" t="n"/>
      <c r="E71" s="12" t="n"/>
      <c r="F71" s="13" t="n"/>
      <c r="G71" s="12" t="n"/>
      <c r="H71" s="13" t="n"/>
      <c r="I71" s="12" t="n"/>
      <c r="J71" s="13" t="n"/>
      <c r="K71" s="12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</row>
    <row r="72" ht="18.75" customFormat="1" customHeight="1" s="4">
      <c r="A72" s="12" t="n"/>
      <c r="B72" s="13" t="n"/>
      <c r="C72" s="12" t="n"/>
      <c r="D72" s="13" t="n"/>
      <c r="E72" s="12" t="n"/>
      <c r="F72" s="13" t="n"/>
      <c r="G72" s="12" t="n"/>
      <c r="H72" s="13" t="n"/>
      <c r="I72" s="12" t="n"/>
      <c r="J72" s="13" t="n"/>
      <c r="K72" s="12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</row>
    <row r="73" ht="18.75" customFormat="1" customHeight="1" s="4">
      <c r="A73" s="12" t="n"/>
      <c r="B73" s="13" t="n"/>
      <c r="C73" s="12" t="n"/>
      <c r="D73" s="13" t="n"/>
      <c r="E73" s="12" t="n"/>
      <c r="F73" s="13" t="n"/>
      <c r="G73" s="12" t="n"/>
      <c r="H73" s="13" t="n"/>
      <c r="I73" s="12" t="n"/>
      <c r="J73" s="13" t="n"/>
      <c r="K73" s="12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</row>
    <row r="74" ht="18.75" customFormat="1" customHeight="1" s="4">
      <c r="A74" s="12" t="n"/>
      <c r="B74" s="13" t="n"/>
      <c r="C74" s="12" t="n"/>
      <c r="D74" s="13" t="n"/>
      <c r="E74" s="12" t="n"/>
      <c r="F74" s="13" t="n"/>
      <c r="G74" s="12" t="n"/>
      <c r="H74" s="13" t="n"/>
      <c r="I74" s="12" t="n"/>
      <c r="J74" s="13" t="n"/>
      <c r="K74" s="12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</row>
    <row r="75" ht="18.75" customFormat="1" customHeight="1" s="4">
      <c r="A75" s="12" t="n"/>
      <c r="B75" s="13" t="n"/>
      <c r="C75" s="12" t="n"/>
      <c r="D75" s="13" t="n"/>
      <c r="E75" s="12" t="n"/>
      <c r="F75" s="13" t="n"/>
      <c r="G75" s="12" t="n"/>
      <c r="H75" s="13" t="n"/>
      <c r="I75" s="12" t="n"/>
      <c r="J75" s="13" t="n"/>
      <c r="K75" s="12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</row>
    <row r="76" ht="18.75" customFormat="1" customHeight="1" s="4">
      <c r="A76" s="12" t="n"/>
      <c r="B76" s="13" t="n"/>
      <c r="C76" s="12" t="n"/>
      <c r="D76" s="13" t="n"/>
      <c r="E76" s="12" t="n"/>
      <c r="F76" s="13" t="n"/>
      <c r="G76" s="12" t="n"/>
      <c r="H76" s="13" t="n"/>
      <c r="I76" s="12" t="n"/>
      <c r="J76" s="13" t="n"/>
      <c r="K76" s="12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</row>
    <row r="77" ht="18.75" customFormat="1" customHeight="1" s="4">
      <c r="A77" s="12" t="n"/>
      <c r="B77" s="13" t="n"/>
      <c r="C77" s="12" t="n"/>
      <c r="D77" s="13" t="n"/>
      <c r="E77" s="12" t="n"/>
      <c r="F77" s="13" t="n"/>
      <c r="G77" s="12" t="n"/>
      <c r="H77" s="13" t="n"/>
      <c r="I77" s="12" t="n"/>
      <c r="J77" s="13" t="n"/>
      <c r="K77" s="12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</row>
    <row r="78" ht="18.75" customFormat="1" customHeight="1" s="4">
      <c r="A78" s="12" t="n"/>
      <c r="B78" s="13" t="n"/>
      <c r="C78" s="12" t="n"/>
      <c r="D78" s="13" t="n"/>
      <c r="E78" s="12" t="n"/>
      <c r="F78" s="13" t="n"/>
      <c r="G78" s="12" t="n"/>
      <c r="H78" s="13" t="n"/>
      <c r="I78" s="12" t="n"/>
      <c r="J78" s="13" t="n"/>
      <c r="K78" s="12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</row>
    <row r="79" ht="18.75" customFormat="1" customHeight="1" s="4">
      <c r="A79" s="12" t="n"/>
      <c r="B79" s="13" t="n"/>
      <c r="C79" s="12" t="n"/>
      <c r="D79" s="13" t="n"/>
      <c r="E79" s="12" t="n"/>
      <c r="F79" s="13" t="n"/>
      <c r="G79" s="12" t="n"/>
      <c r="H79" s="13" t="n"/>
      <c r="I79" s="12" t="n"/>
      <c r="J79" s="13" t="n"/>
      <c r="K79" s="12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</row>
    <row r="80" ht="18.75" customFormat="1" customHeight="1" s="4">
      <c r="A80" s="12" t="n"/>
      <c r="B80" s="13" t="n"/>
      <c r="C80" s="12" t="n"/>
      <c r="D80" s="13" t="n"/>
      <c r="E80" s="12" t="n"/>
      <c r="F80" s="13" t="n"/>
      <c r="G80" s="12" t="n"/>
      <c r="H80" s="13" t="n"/>
      <c r="I80" s="12" t="n"/>
      <c r="J80" s="13" t="n"/>
      <c r="K80" s="12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</row>
    <row r="81" ht="18.75" customFormat="1" customHeight="1" s="4">
      <c r="A81" s="12" t="n"/>
      <c r="B81" s="13" t="n"/>
      <c r="C81" s="12" t="n"/>
      <c r="D81" s="13" t="n"/>
      <c r="E81" s="12" t="n"/>
      <c r="F81" s="13" t="n"/>
      <c r="G81" s="12" t="n"/>
      <c r="H81" s="13" t="n"/>
      <c r="I81" s="12" t="n"/>
      <c r="J81" s="13" t="n"/>
      <c r="K81" s="12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</row>
    <row r="82" ht="18.75" customFormat="1" customHeight="1" s="4">
      <c r="A82" s="12" t="n"/>
      <c r="B82" s="13" t="n"/>
      <c r="C82" s="12" t="n"/>
      <c r="D82" s="13" t="n"/>
      <c r="E82" s="12" t="n"/>
      <c r="F82" s="13" t="n"/>
      <c r="G82" s="12" t="n"/>
      <c r="H82" s="13" t="n"/>
      <c r="I82" s="12" t="n"/>
      <c r="J82" s="13" t="n"/>
      <c r="K82" s="12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</row>
    <row r="83" ht="18.75" customFormat="1" customHeight="1" s="4">
      <c r="A83" s="12" t="n"/>
      <c r="B83" s="13" t="n"/>
      <c r="C83" s="12" t="n"/>
      <c r="D83" s="13" t="n"/>
      <c r="E83" s="12" t="n"/>
      <c r="F83" s="13" t="n"/>
      <c r="G83" s="12" t="n"/>
      <c r="H83" s="13" t="n"/>
      <c r="I83" s="12" t="n"/>
      <c r="J83" s="13" t="n"/>
      <c r="K83" s="12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</row>
    <row r="84" ht="18.75" customFormat="1" customHeight="1" s="4">
      <c r="A84" s="12" t="n"/>
      <c r="B84" s="13" t="n"/>
      <c r="C84" s="12" t="n"/>
      <c r="D84" s="13" t="n"/>
      <c r="E84" s="12" t="n"/>
      <c r="F84" s="13" t="n"/>
      <c r="G84" s="12" t="n"/>
      <c r="H84" s="13" t="n"/>
      <c r="I84" s="12" t="n"/>
      <c r="J84" s="13" t="n"/>
      <c r="K84" s="12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</row>
    <row r="85" ht="18.75" customFormat="1" customHeight="1" s="4">
      <c r="A85" s="12" t="n"/>
      <c r="B85" s="13" t="n"/>
      <c r="C85" s="12" t="n"/>
      <c r="D85" s="13" t="n"/>
      <c r="E85" s="12" t="n"/>
      <c r="F85" s="13" t="n"/>
      <c r="G85" s="12" t="n"/>
      <c r="H85" s="13" t="n"/>
      <c r="I85" s="12" t="n"/>
      <c r="J85" s="13" t="n"/>
      <c r="K85" s="12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</row>
    <row r="86" ht="18.75" customFormat="1" customHeight="1" s="4">
      <c r="A86" s="12" t="n"/>
      <c r="B86" s="13" t="n"/>
      <c r="C86" s="12" t="n"/>
      <c r="D86" s="13" t="n"/>
      <c r="E86" s="12" t="n"/>
      <c r="F86" s="13" t="n"/>
      <c r="G86" s="12" t="n"/>
      <c r="H86" s="13" t="n"/>
      <c r="I86" s="12" t="n"/>
      <c r="J86" s="13" t="n"/>
      <c r="K86" s="12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</row>
    <row r="87" ht="18.75" customFormat="1" customHeight="1" s="4">
      <c r="A87" s="12" t="n"/>
      <c r="B87" s="13" t="n"/>
      <c r="C87" s="12" t="n"/>
      <c r="D87" s="13" t="n"/>
      <c r="E87" s="12" t="n"/>
      <c r="F87" s="13" t="n"/>
      <c r="G87" s="12" t="n"/>
      <c r="H87" s="13" t="n"/>
      <c r="I87" s="12" t="n"/>
      <c r="J87" s="13" t="n"/>
      <c r="K87" s="12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</row>
    <row r="88" ht="18.75" customFormat="1" customHeight="1" s="4">
      <c r="A88" s="12" t="n"/>
      <c r="B88" s="13" t="n"/>
      <c r="C88" s="12" t="n"/>
      <c r="D88" s="13" t="n"/>
      <c r="E88" s="12" t="n"/>
      <c r="F88" s="13" t="n"/>
      <c r="G88" s="12" t="n"/>
      <c r="H88" s="13" t="n"/>
      <c r="I88" s="12" t="n"/>
      <c r="J88" s="13" t="n"/>
      <c r="K88" s="12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</row>
    <row r="89" ht="18.75" customHeight="1">
      <c r="A89" s="1" t="inlineStr">
        <is>
          <t>6. Matching and Scoring (one row per treatment × reference item evaluation)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2" t="n"/>
      <c r="R89" s="20" t="n"/>
      <c r="S89" s="20" t="n"/>
      <c r="T89" s="20" t="n"/>
    </row>
    <row r="90" ht="18.75" customFormat="1" customHeight="1" s="4">
      <c r="A90" s="8" t="inlineStr">
        <is>
          <t>Treatment</t>
        </is>
      </c>
      <c r="B90" s="8" t="inlineStr">
        <is>
          <t>RR_ID</t>
        </is>
      </c>
      <c r="C90" s="8" t="inlineStr">
        <is>
          <t>GA_ID</t>
        </is>
      </c>
      <c r="D90" s="8" t="inlineStr">
        <is>
          <t>Match Status</t>
        </is>
      </c>
      <c r="E90" s="8" t="inlineStr">
        <is>
          <t>Reviewer 1</t>
        </is>
      </c>
      <c r="F90" s="8" t="inlineStr">
        <is>
          <t>Reviewer 2</t>
        </is>
      </c>
      <c r="G90" s="8" t="inlineStr">
        <is>
          <t>Final Class</t>
        </is>
      </c>
      <c r="H90" s="8" t="inlineStr">
        <is>
          <t>Severity</t>
        </is>
      </c>
      <c r="I90" s="8" t="inlineStr">
        <is>
          <t>Severity Weight</t>
        </is>
      </c>
      <c r="J90" s="8" t="inlineStr">
        <is>
          <t>Harm Category</t>
        </is>
      </c>
      <c r="K90" s="8" t="inlineStr">
        <is>
          <t>Justification</t>
        </is>
      </c>
      <c r="L90" s="8" t="inlineStr">
        <is>
          <t>TP Flag</t>
        </is>
      </c>
      <c r="M90" s="8" t="inlineStr">
        <is>
          <t>FP Flag</t>
        </is>
      </c>
      <c r="N90" s="8" t="inlineStr">
        <is>
          <t>FN Flag</t>
        </is>
      </c>
      <c r="O90" s="8" t="inlineStr">
        <is>
          <t>Weighted TP</t>
        </is>
      </c>
      <c r="P90" s="8" t="inlineStr">
        <is>
          <t>Weighted FP</t>
        </is>
      </c>
      <c r="Q90" s="8" t="inlineStr">
        <is>
          <t>Weighted FN</t>
        </is>
      </c>
      <c r="R90" s="21" t="n"/>
      <c r="S90" s="21" t="n"/>
      <c r="T90" s="21" t="n"/>
    </row>
    <row r="91" ht="18.75" customHeight="1">
      <c r="A91" s="12" t="n"/>
      <c r="B91" s="12" t="n"/>
      <c r="C91" s="12" t="n"/>
      <c r="D91" s="12" t="n"/>
      <c r="E91" s="12" t="n"/>
      <c r="F91" s="12" t="n"/>
      <c r="G91" s="12" t="n"/>
      <c r="H91" s="14">
        <f>IFERROR(VLOOKUP($B91,$A$25:$N$54,7,FALSE),"")</f>
        <v/>
      </c>
      <c r="I91" s="15">
        <f>IF($H91="Minor",1,IF($H91="Moderate",2,IF($H91="Major",3,IF($H91="Critical",4,""))))</f>
        <v/>
      </c>
      <c r="J91" s="16" t="n"/>
      <c r="K91" s="16" t="n"/>
      <c r="L91" s="15">
        <f>IF(OR($G91="Exact TP",$G91="Equivalent TP"),1,0)</f>
        <v/>
      </c>
      <c r="M91" s="15">
        <f>IF(OR($G91="FP Extra",$G91="Harmful FP"),1,0)</f>
        <v/>
      </c>
      <c r="N91" s="15">
        <f>IF(OR($G91="FN",$G91="Partial"),1,0)</f>
        <v/>
      </c>
      <c r="O91" s="15">
        <f>IF($L91=1,$I91,0)</f>
        <v/>
      </c>
      <c r="P91" s="15">
        <f>IF($M91=1,$I91,0)</f>
        <v/>
      </c>
      <c r="Q91" s="15">
        <f>IF($N91=1,$I91,0)</f>
        <v/>
      </c>
      <c r="R91" s="20" t="n"/>
      <c r="S91" s="20" t="n"/>
      <c r="T91" s="20" t="n"/>
    </row>
    <row r="92" ht="18.75" customHeight="1">
      <c r="A92" s="12" t="n"/>
      <c r="B92" s="12" t="n"/>
      <c r="C92" s="12" t="n"/>
      <c r="D92" s="12" t="n"/>
      <c r="E92" s="12" t="n"/>
      <c r="F92" s="12" t="n"/>
      <c r="G92" s="12" t="n"/>
      <c r="H92" s="14">
        <f>IFERROR(VLOOKUP($B92,$A$25:$N$54,7,FALSE),"")</f>
        <v/>
      </c>
      <c r="I92" s="15">
        <f>IF($H92="Minor",1,IF($H92="Moderate",2,IF($H92="Major",3,IF($H92="Critical",4,""))))</f>
        <v/>
      </c>
      <c r="J92" s="16" t="n"/>
      <c r="K92" s="16" t="n"/>
      <c r="L92" s="15">
        <f>IF(OR($G92="Exact TP",$G92="Equivalent TP"),1,0)</f>
        <v/>
      </c>
      <c r="M92" s="15">
        <f>IF(OR($G92="FP Extra",$G92="Harmful FP"),1,0)</f>
        <v/>
      </c>
      <c r="N92" s="15">
        <f>IF(OR($G92="FN",$G92="Partial"),1,0)</f>
        <v/>
      </c>
      <c r="O92" s="15">
        <f>IF($L92=1,$I92,0)</f>
        <v/>
      </c>
      <c r="P92" s="15">
        <f>IF($M92=1,$I92,0)</f>
        <v/>
      </c>
      <c r="Q92" s="15">
        <f>IF($N92=1,$I92,0)</f>
        <v/>
      </c>
      <c r="R92" s="20" t="n"/>
      <c r="S92" s="20" t="n"/>
      <c r="T92" s="20" t="n"/>
    </row>
    <row r="93" ht="18.75" customHeight="1">
      <c r="A93" s="12" t="n"/>
      <c r="B93" s="12" t="n"/>
      <c r="C93" s="12" t="n"/>
      <c r="D93" s="12" t="n"/>
      <c r="E93" s="12" t="n"/>
      <c r="F93" s="12" t="n"/>
      <c r="G93" s="12" t="n"/>
      <c r="H93" s="14">
        <f>IFERROR(VLOOKUP($B93,$A$25:$N$54,7,FALSE),"")</f>
        <v/>
      </c>
      <c r="I93" s="15">
        <f>IF($H93="Minor",1,IF($H93="Moderate",2,IF($H93="Major",3,IF($H93="Critical",4,""))))</f>
        <v/>
      </c>
      <c r="J93" s="16" t="n"/>
      <c r="K93" s="16" t="n"/>
      <c r="L93" s="15">
        <f>IF(OR($G93="Exact TP",$G93="Equivalent TP"),1,0)</f>
        <v/>
      </c>
      <c r="M93" s="15">
        <f>IF(OR($G93="FP Extra",$G93="Harmful FP"),1,0)</f>
        <v/>
      </c>
      <c r="N93" s="15">
        <f>IF(OR($G93="FN",$G93="Partial"),1,0)</f>
        <v/>
      </c>
      <c r="O93" s="15">
        <f>IF($L93=1,$I93,0)</f>
        <v/>
      </c>
      <c r="P93" s="15">
        <f>IF($M93=1,$I93,0)</f>
        <v/>
      </c>
      <c r="Q93" s="15">
        <f>IF($N93=1,$I93,0)</f>
        <v/>
      </c>
      <c r="R93" s="20" t="n"/>
      <c r="S93" s="20" t="n"/>
      <c r="T93" s="20" t="n"/>
    </row>
    <row r="94" ht="18.75" customHeight="1">
      <c r="A94" s="12" t="n"/>
      <c r="B94" s="12" t="n"/>
      <c r="C94" s="12" t="n"/>
      <c r="D94" s="12" t="n"/>
      <c r="E94" s="12" t="n"/>
      <c r="F94" s="12" t="n"/>
      <c r="G94" s="12" t="n"/>
      <c r="H94" s="14">
        <f>IFERROR(VLOOKUP($B94,$A$25:$N$54,7,FALSE),"")</f>
        <v/>
      </c>
      <c r="I94" s="15">
        <f>IF($H94="Minor",1,IF($H94="Moderate",2,IF($H94="Major",3,IF($H94="Critical",4,""))))</f>
        <v/>
      </c>
      <c r="J94" s="16" t="n"/>
      <c r="K94" s="16" t="n"/>
      <c r="L94" s="15">
        <f>IF(OR($G94="Exact TP",$G94="Equivalent TP"),1,0)</f>
        <v/>
      </c>
      <c r="M94" s="15">
        <f>IF(OR($G94="FP Extra",$G94="Harmful FP"),1,0)</f>
        <v/>
      </c>
      <c r="N94" s="15">
        <f>IF(OR($G94="FN",$G94="Partial"),1,0)</f>
        <v/>
      </c>
      <c r="O94" s="15">
        <f>IF($L94=1,$I94,0)</f>
        <v/>
      </c>
      <c r="P94" s="15">
        <f>IF($M94=1,$I94,0)</f>
        <v/>
      </c>
      <c r="Q94" s="15">
        <f>IF($N94=1,$I94,0)</f>
        <v/>
      </c>
      <c r="R94" s="20" t="n"/>
      <c r="S94" s="20" t="n"/>
      <c r="T94" s="20" t="n"/>
    </row>
    <row r="95" ht="18.75" customHeight="1">
      <c r="A95" s="12" t="n"/>
      <c r="B95" s="12" t="n"/>
      <c r="C95" s="12" t="n"/>
      <c r="D95" s="12" t="n"/>
      <c r="E95" s="12" t="n"/>
      <c r="F95" s="12" t="n"/>
      <c r="G95" s="12" t="n"/>
      <c r="H95" s="14">
        <f>IFERROR(VLOOKUP($B95,$A$25:$N$54,7,FALSE),"")</f>
        <v/>
      </c>
      <c r="I95" s="15">
        <f>IF($H95="Minor",1,IF($H95="Moderate",2,IF($H95="Major",3,IF($H95="Critical",4,""))))</f>
        <v/>
      </c>
      <c r="J95" s="16" t="n"/>
      <c r="K95" s="16" t="n"/>
      <c r="L95" s="15">
        <f>IF(OR($G95="Exact TP",$G95="Equivalent TP"),1,0)</f>
        <v/>
      </c>
      <c r="M95" s="15">
        <f>IF(OR($G95="FP Extra",$G95="Harmful FP"),1,0)</f>
        <v/>
      </c>
      <c r="N95" s="15">
        <f>IF(OR($G95="FN",$G95="Partial"),1,0)</f>
        <v/>
      </c>
      <c r="O95" s="15">
        <f>IF($L95=1,$I95,0)</f>
        <v/>
      </c>
      <c r="P95" s="15">
        <f>IF($M95=1,$I95,0)</f>
        <v/>
      </c>
      <c r="Q95" s="15">
        <f>IF($N95=1,$I95,0)</f>
        <v/>
      </c>
      <c r="R95" s="20" t="n"/>
      <c r="S95" s="20" t="n"/>
      <c r="T95" s="20" t="n"/>
    </row>
    <row r="96" ht="18.75" customHeight="1">
      <c r="A96" s="12" t="n"/>
      <c r="B96" s="12" t="n"/>
      <c r="C96" s="12" t="n"/>
      <c r="D96" s="12" t="n"/>
      <c r="E96" s="12" t="n"/>
      <c r="F96" s="12" t="n"/>
      <c r="G96" s="12" t="n"/>
      <c r="H96" s="14">
        <f>IFERROR(VLOOKUP($B96,$A$25:$N$54,7,FALSE),"")</f>
        <v/>
      </c>
      <c r="I96" s="15">
        <f>IF($H96="Minor",1,IF($H96="Moderate",2,IF($H96="Major",3,IF($H96="Critical",4,""))))</f>
        <v/>
      </c>
      <c r="J96" s="16" t="n"/>
      <c r="K96" s="16" t="n"/>
      <c r="L96" s="15">
        <f>IF(OR($G96="Exact TP",$G96="Equivalent TP"),1,0)</f>
        <v/>
      </c>
      <c r="M96" s="15">
        <f>IF(OR($G96="FP Extra",$G96="Harmful FP"),1,0)</f>
        <v/>
      </c>
      <c r="N96" s="15">
        <f>IF(OR($G96="FN",$G96="Partial"),1,0)</f>
        <v/>
      </c>
      <c r="O96" s="15">
        <f>IF($L96=1,$I96,0)</f>
        <v/>
      </c>
      <c r="P96" s="15">
        <f>IF($M96=1,$I96,0)</f>
        <v/>
      </c>
      <c r="Q96" s="15">
        <f>IF($N96=1,$I96,0)</f>
        <v/>
      </c>
      <c r="R96" s="20" t="n"/>
      <c r="S96" s="20" t="n"/>
      <c r="T96" s="20" t="n"/>
    </row>
    <row r="97" ht="18.75" customHeight="1">
      <c r="A97" s="12" t="n"/>
      <c r="B97" s="12" t="n"/>
      <c r="C97" s="12" t="n"/>
      <c r="D97" s="12" t="n"/>
      <c r="E97" s="12" t="n"/>
      <c r="F97" s="12" t="n"/>
      <c r="G97" s="12" t="n"/>
      <c r="H97" s="14">
        <f>IFERROR(VLOOKUP($B97,$A$25:$N$54,7,FALSE),"")</f>
        <v/>
      </c>
      <c r="I97" s="15">
        <f>IF($H97="Minor",1,IF($H97="Moderate",2,IF($H97="Major",3,IF($H97="Critical",4,""))))</f>
        <v/>
      </c>
      <c r="J97" s="16" t="n"/>
      <c r="K97" s="16" t="n"/>
      <c r="L97" s="15">
        <f>IF(OR($G97="Exact TP",$G97="Equivalent TP"),1,0)</f>
        <v/>
      </c>
      <c r="M97" s="15">
        <f>IF(OR($G97="FP Extra",$G97="Harmful FP"),1,0)</f>
        <v/>
      </c>
      <c r="N97" s="15">
        <f>IF(OR($G97="FN",$G97="Partial"),1,0)</f>
        <v/>
      </c>
      <c r="O97" s="15">
        <f>IF($L97=1,$I97,0)</f>
        <v/>
      </c>
      <c r="P97" s="15">
        <f>IF($M97=1,$I97,0)</f>
        <v/>
      </c>
      <c r="Q97" s="15">
        <f>IF($N97=1,$I97,0)</f>
        <v/>
      </c>
      <c r="R97" s="20" t="n"/>
      <c r="S97" s="20" t="n"/>
      <c r="T97" s="20" t="n"/>
    </row>
    <row r="98" ht="18.75" customHeight="1">
      <c r="A98" s="12" t="n"/>
      <c r="B98" s="12" t="n"/>
      <c r="C98" s="12" t="n"/>
      <c r="D98" s="12" t="n"/>
      <c r="E98" s="12" t="n"/>
      <c r="F98" s="12" t="n"/>
      <c r="G98" s="12" t="n"/>
      <c r="H98" s="14">
        <f>IFERROR(VLOOKUP($B98,$A$25:$N$54,7,FALSE),"")</f>
        <v/>
      </c>
      <c r="I98" s="15">
        <f>IF($H98="Minor",1,IF($H98="Moderate",2,IF($H98="Major",3,IF($H98="Critical",4,""))))</f>
        <v/>
      </c>
      <c r="J98" s="16" t="n"/>
      <c r="K98" s="16" t="n"/>
      <c r="L98" s="15">
        <f>IF(OR($G98="Exact TP",$G98="Equivalent TP"),1,0)</f>
        <v/>
      </c>
      <c r="M98" s="15">
        <f>IF(OR($G98="FP Extra",$G98="Harmful FP"),1,0)</f>
        <v/>
      </c>
      <c r="N98" s="15">
        <f>IF(OR($G98="FN",$G98="Partial"),1,0)</f>
        <v/>
      </c>
      <c r="O98" s="15">
        <f>IF($L98=1,$I98,0)</f>
        <v/>
      </c>
      <c r="P98" s="15">
        <f>IF($M98=1,$I98,0)</f>
        <v/>
      </c>
      <c r="Q98" s="15">
        <f>IF($N98=1,$I98,0)</f>
        <v/>
      </c>
      <c r="R98" s="20" t="n"/>
      <c r="S98" s="20" t="n"/>
      <c r="T98" s="20" t="n"/>
    </row>
    <row r="99" ht="18.75" customHeight="1">
      <c r="A99" s="12" t="n"/>
      <c r="B99" s="12" t="n"/>
      <c r="C99" s="12" t="n"/>
      <c r="D99" s="12" t="n"/>
      <c r="E99" s="12" t="n"/>
      <c r="F99" s="12" t="n"/>
      <c r="G99" s="12" t="n"/>
      <c r="H99" s="14">
        <f>IFERROR(VLOOKUP($B99,$A$25:$N$54,7,FALSE),"")</f>
        <v/>
      </c>
      <c r="I99" s="15">
        <f>IF($H99="Minor",1,IF($H99="Moderate",2,IF($H99="Major",3,IF($H99="Critical",4,""))))</f>
        <v/>
      </c>
      <c r="J99" s="16" t="n"/>
      <c r="K99" s="16" t="n"/>
      <c r="L99" s="15">
        <f>IF(OR($G99="Exact TP",$G99="Equivalent TP"),1,0)</f>
        <v/>
      </c>
      <c r="M99" s="15">
        <f>IF(OR($G99="FP Extra",$G99="Harmful FP"),1,0)</f>
        <v/>
      </c>
      <c r="N99" s="15">
        <f>IF(OR($G99="FN",$G99="Partial"),1,0)</f>
        <v/>
      </c>
      <c r="O99" s="15">
        <f>IF($L99=1,$I99,0)</f>
        <v/>
      </c>
      <c r="P99" s="15">
        <f>IF($M99=1,$I99,0)</f>
        <v/>
      </c>
      <c r="Q99" s="15">
        <f>IF($N99=1,$I99,0)</f>
        <v/>
      </c>
      <c r="R99" s="20" t="n"/>
      <c r="S99" s="20" t="n"/>
      <c r="T99" s="20" t="n"/>
    </row>
    <row r="100" ht="18.75" customHeight="1">
      <c r="A100" s="12" t="n"/>
      <c r="B100" s="12" t="n"/>
      <c r="C100" s="12" t="n"/>
      <c r="D100" s="12" t="n"/>
      <c r="E100" s="12" t="n"/>
      <c r="F100" s="12" t="n"/>
      <c r="G100" s="12" t="n"/>
      <c r="H100" s="14">
        <f>IFERROR(VLOOKUP($B100,$A$25:$N$54,7,FALSE),"")</f>
        <v/>
      </c>
      <c r="I100" s="15">
        <f>IF($H100="Minor",1,IF($H100="Moderate",2,IF($H100="Major",3,IF($H100="Critical",4,""))))</f>
        <v/>
      </c>
      <c r="J100" s="16" t="n"/>
      <c r="K100" s="16" t="n"/>
      <c r="L100" s="15">
        <f>IF(OR($G100="Exact TP",$G100="Equivalent TP"),1,0)</f>
        <v/>
      </c>
      <c r="M100" s="15">
        <f>IF(OR($G100="FP Extra",$G100="Harmful FP"),1,0)</f>
        <v/>
      </c>
      <c r="N100" s="15">
        <f>IF(OR($G100="FN",$G100="Partial"),1,0)</f>
        <v/>
      </c>
      <c r="O100" s="15">
        <f>IF($L100=1,$I100,0)</f>
        <v/>
      </c>
      <c r="P100" s="15">
        <f>IF($M100=1,$I100,0)</f>
        <v/>
      </c>
      <c r="Q100" s="15">
        <f>IF($N100=1,$I100,0)</f>
        <v/>
      </c>
      <c r="R100" s="20" t="n"/>
      <c r="S100" s="20" t="n"/>
      <c r="T100" s="20" t="n"/>
    </row>
    <row r="101" ht="18.75" customHeight="1">
      <c r="A101" s="12" t="n"/>
      <c r="B101" s="12" t="n"/>
      <c r="C101" s="12" t="n"/>
      <c r="D101" s="12" t="n"/>
      <c r="E101" s="12" t="n"/>
      <c r="F101" s="12" t="n"/>
      <c r="G101" s="12" t="n"/>
      <c r="H101" s="14">
        <f>IFERROR(VLOOKUP($B101,$A$25:$N$54,7,FALSE),"")</f>
        <v/>
      </c>
      <c r="I101" s="15">
        <f>IF($H101="Minor",1,IF($H101="Moderate",2,IF($H101="Major",3,IF($H101="Critical",4,""))))</f>
        <v/>
      </c>
      <c r="J101" s="16" t="n"/>
      <c r="K101" s="16" t="n"/>
      <c r="L101" s="15">
        <f>IF(OR($G101="Exact TP",$G101="Equivalent TP"),1,0)</f>
        <v/>
      </c>
      <c r="M101" s="15">
        <f>IF(OR($G101="FP Extra",$G101="Harmful FP"),1,0)</f>
        <v/>
      </c>
      <c r="N101" s="15">
        <f>IF(OR($G101="FN",$G101="Partial"),1,0)</f>
        <v/>
      </c>
      <c r="O101" s="15">
        <f>IF($L101=1,$I101,0)</f>
        <v/>
      </c>
      <c r="P101" s="15">
        <f>IF($M101=1,$I101,0)</f>
        <v/>
      </c>
      <c r="Q101" s="15">
        <f>IF($N101=1,$I101,0)</f>
        <v/>
      </c>
      <c r="R101" s="20" t="n"/>
      <c r="S101" s="20" t="n"/>
      <c r="T101" s="20" t="n"/>
    </row>
    <row r="102" ht="18.75" customHeight="1">
      <c r="A102" s="12" t="n"/>
      <c r="B102" s="12" t="n"/>
      <c r="C102" s="12" t="n"/>
      <c r="D102" s="12" t="n"/>
      <c r="E102" s="12" t="n"/>
      <c r="F102" s="12" t="n"/>
      <c r="G102" s="12" t="n"/>
      <c r="H102" s="14">
        <f>IFERROR(VLOOKUP($B102,$A$25:$N$54,7,FALSE),"")</f>
        <v/>
      </c>
      <c r="I102" s="15">
        <f>IF($H102="Minor",1,IF($H102="Moderate",2,IF($H102="Major",3,IF($H102="Critical",4,""))))</f>
        <v/>
      </c>
      <c r="J102" s="16" t="n"/>
      <c r="K102" s="16" t="n"/>
      <c r="L102" s="15">
        <f>IF(OR($G102="Exact TP",$G102="Equivalent TP"),1,0)</f>
        <v/>
      </c>
      <c r="M102" s="15">
        <f>IF(OR($G102="FP Extra",$G102="Harmful FP"),1,0)</f>
        <v/>
      </c>
      <c r="N102" s="15">
        <f>IF(OR($G102="FN",$G102="Partial"),1,0)</f>
        <v/>
      </c>
      <c r="O102" s="15">
        <f>IF($L102=1,$I102,0)</f>
        <v/>
      </c>
      <c r="P102" s="15">
        <f>IF($M102=1,$I102,0)</f>
        <v/>
      </c>
      <c r="Q102" s="15">
        <f>IF($N102=1,$I102,0)</f>
        <v/>
      </c>
      <c r="R102" s="20" t="n"/>
      <c r="S102" s="20" t="n"/>
      <c r="T102" s="20" t="n"/>
    </row>
    <row r="103" ht="18.75" customHeight="1">
      <c r="A103" s="12" t="n"/>
      <c r="B103" s="12" t="n"/>
      <c r="C103" s="12" t="n"/>
      <c r="D103" s="12" t="n"/>
      <c r="E103" s="12" t="n"/>
      <c r="F103" s="12" t="n"/>
      <c r="G103" s="12" t="n"/>
      <c r="H103" s="14">
        <f>IFERROR(VLOOKUP($B103,$A$25:$N$54,7,FALSE),"")</f>
        <v/>
      </c>
      <c r="I103" s="15">
        <f>IF($H103="Minor",1,IF($H103="Moderate",2,IF($H103="Major",3,IF($H103="Critical",4,""))))</f>
        <v/>
      </c>
      <c r="J103" s="16" t="n"/>
      <c r="K103" s="16" t="n"/>
      <c r="L103" s="15">
        <f>IF(OR($G103="Exact TP",$G103="Equivalent TP"),1,0)</f>
        <v/>
      </c>
      <c r="M103" s="15">
        <f>IF(OR($G103="FP Extra",$G103="Harmful FP"),1,0)</f>
        <v/>
      </c>
      <c r="N103" s="15">
        <f>IF(OR($G103="FN",$G103="Partial"),1,0)</f>
        <v/>
      </c>
      <c r="O103" s="15">
        <f>IF($L103=1,$I103,0)</f>
        <v/>
      </c>
      <c r="P103" s="15">
        <f>IF($M103=1,$I103,0)</f>
        <v/>
      </c>
      <c r="Q103" s="15">
        <f>IF($N103=1,$I103,0)</f>
        <v/>
      </c>
      <c r="R103" s="20" t="n"/>
      <c r="S103" s="20" t="n"/>
      <c r="T103" s="20" t="n"/>
    </row>
    <row r="104" ht="18.75" customHeight="1">
      <c r="A104" s="12" t="n"/>
      <c r="B104" s="12" t="n"/>
      <c r="C104" s="12" t="n"/>
      <c r="D104" s="12" t="n"/>
      <c r="E104" s="12" t="n"/>
      <c r="F104" s="12" t="n"/>
      <c r="G104" s="12" t="n"/>
      <c r="H104" s="14">
        <f>IFERROR(VLOOKUP($B104,$A$25:$N$54,7,FALSE),"")</f>
        <v/>
      </c>
      <c r="I104" s="15">
        <f>IF($H104="Minor",1,IF($H104="Moderate",2,IF($H104="Major",3,IF($H104="Critical",4,""))))</f>
        <v/>
      </c>
      <c r="J104" s="16" t="n"/>
      <c r="K104" s="16" t="n"/>
      <c r="L104" s="15">
        <f>IF(OR($G104="Exact TP",$G104="Equivalent TP"),1,0)</f>
        <v/>
      </c>
      <c r="M104" s="15">
        <f>IF(OR($G104="FP Extra",$G104="Harmful FP"),1,0)</f>
        <v/>
      </c>
      <c r="N104" s="15">
        <f>IF(OR($G104="FN",$G104="Partial"),1,0)</f>
        <v/>
      </c>
      <c r="O104" s="15">
        <f>IF($L104=1,$I104,0)</f>
        <v/>
      </c>
      <c r="P104" s="15">
        <f>IF($M104=1,$I104,0)</f>
        <v/>
      </c>
      <c r="Q104" s="15">
        <f>IF($N104=1,$I104,0)</f>
        <v/>
      </c>
      <c r="R104" s="20" t="n"/>
      <c r="S104" s="20" t="n"/>
      <c r="T104" s="20" t="n"/>
    </row>
    <row r="105" ht="18.75" customHeight="1">
      <c r="A105" s="12" t="n"/>
      <c r="B105" s="12" t="n"/>
      <c r="C105" s="12" t="n"/>
      <c r="D105" s="12" t="n"/>
      <c r="E105" s="12" t="n"/>
      <c r="F105" s="12" t="n"/>
      <c r="G105" s="12" t="n"/>
      <c r="H105" s="14">
        <f>IFERROR(VLOOKUP($B105,$A$25:$N$54,7,FALSE),"")</f>
        <v/>
      </c>
      <c r="I105" s="15">
        <f>IF($H105="Minor",1,IF($H105="Moderate",2,IF($H105="Major",3,IF($H105="Critical",4,""))))</f>
        <v/>
      </c>
      <c r="J105" s="16" t="n"/>
      <c r="K105" s="16" t="n"/>
      <c r="L105" s="15">
        <f>IF(OR($G105="Exact TP",$G105="Equivalent TP"),1,0)</f>
        <v/>
      </c>
      <c r="M105" s="15">
        <f>IF(OR($G105="FP Extra",$G105="Harmful FP"),1,0)</f>
        <v/>
      </c>
      <c r="N105" s="15">
        <f>IF(OR($G105="FN",$G105="Partial"),1,0)</f>
        <v/>
      </c>
      <c r="O105" s="15">
        <f>IF($L105=1,$I105,0)</f>
        <v/>
      </c>
      <c r="P105" s="15">
        <f>IF($M105=1,$I105,0)</f>
        <v/>
      </c>
      <c r="Q105" s="15">
        <f>IF($N105=1,$I105,0)</f>
        <v/>
      </c>
      <c r="R105" s="20" t="n"/>
      <c r="S105" s="20" t="n"/>
      <c r="T105" s="20" t="n"/>
    </row>
    <row r="106" ht="18.75" customHeight="1">
      <c r="A106" s="12" t="n"/>
      <c r="B106" s="12" t="n"/>
      <c r="C106" s="12" t="n"/>
      <c r="D106" s="12" t="n"/>
      <c r="E106" s="12" t="n"/>
      <c r="F106" s="12" t="n"/>
      <c r="G106" s="12" t="n"/>
      <c r="H106" s="14">
        <f>IFERROR(VLOOKUP($B106,$A$25:$N$54,7,FALSE),"")</f>
        <v/>
      </c>
      <c r="I106" s="15">
        <f>IF($H106="Minor",1,IF($H106="Moderate",2,IF($H106="Major",3,IF($H106="Critical",4,""))))</f>
        <v/>
      </c>
      <c r="J106" s="16" t="n"/>
      <c r="K106" s="16" t="n"/>
      <c r="L106" s="15">
        <f>IF(OR($G106="Exact TP",$G106="Equivalent TP"),1,0)</f>
        <v/>
      </c>
      <c r="M106" s="15">
        <f>IF(OR($G106="FP Extra",$G106="Harmful FP"),1,0)</f>
        <v/>
      </c>
      <c r="N106" s="15">
        <f>IF(OR($G106="FN",$G106="Partial"),1,0)</f>
        <v/>
      </c>
      <c r="O106" s="15">
        <f>IF($L106=1,$I106,0)</f>
        <v/>
      </c>
      <c r="P106" s="15">
        <f>IF($M106=1,$I106,0)</f>
        <v/>
      </c>
      <c r="Q106" s="15">
        <f>IF($N106=1,$I106,0)</f>
        <v/>
      </c>
      <c r="R106" s="20" t="n"/>
      <c r="S106" s="20" t="n"/>
      <c r="T106" s="20" t="n"/>
    </row>
    <row r="107" ht="18.75" customHeight="1">
      <c r="A107" s="12" t="n"/>
      <c r="B107" s="12" t="n"/>
      <c r="C107" s="12" t="n"/>
      <c r="D107" s="12" t="n"/>
      <c r="E107" s="12" t="n"/>
      <c r="F107" s="12" t="n"/>
      <c r="G107" s="12" t="n"/>
      <c r="H107" s="14">
        <f>IFERROR(VLOOKUP($B107,$A$25:$N$54,7,FALSE),"")</f>
        <v/>
      </c>
      <c r="I107" s="15">
        <f>IF($H107="Minor",1,IF($H107="Moderate",2,IF($H107="Major",3,IF($H107="Critical",4,""))))</f>
        <v/>
      </c>
      <c r="J107" s="16" t="n"/>
      <c r="K107" s="16" t="n"/>
      <c r="L107" s="15">
        <f>IF(OR($G107="Exact TP",$G107="Equivalent TP"),1,0)</f>
        <v/>
      </c>
      <c r="M107" s="15">
        <f>IF(OR($G107="FP Extra",$G107="Harmful FP"),1,0)</f>
        <v/>
      </c>
      <c r="N107" s="15">
        <f>IF(OR($G107="FN",$G107="Partial"),1,0)</f>
        <v/>
      </c>
      <c r="O107" s="15">
        <f>IF($L107=1,$I107,0)</f>
        <v/>
      </c>
      <c r="P107" s="15">
        <f>IF($M107=1,$I107,0)</f>
        <v/>
      </c>
      <c r="Q107" s="15">
        <f>IF($N107=1,$I107,0)</f>
        <v/>
      </c>
      <c r="R107" s="20" t="n"/>
      <c r="S107" s="20" t="n"/>
      <c r="T107" s="20" t="n"/>
    </row>
    <row r="108" ht="18.75" customHeight="1">
      <c r="A108" s="12" t="n"/>
      <c r="B108" s="12" t="n"/>
      <c r="C108" s="12" t="n"/>
      <c r="D108" s="12" t="n"/>
      <c r="E108" s="12" t="n"/>
      <c r="F108" s="12" t="n"/>
      <c r="G108" s="12" t="n"/>
      <c r="H108" s="14">
        <f>IFERROR(VLOOKUP($B108,$A$25:$N$54,7,FALSE),"")</f>
        <v/>
      </c>
      <c r="I108" s="15">
        <f>IF($H108="Minor",1,IF($H108="Moderate",2,IF($H108="Major",3,IF($H108="Critical",4,""))))</f>
        <v/>
      </c>
      <c r="J108" s="16" t="n"/>
      <c r="K108" s="16" t="n"/>
      <c r="L108" s="15">
        <f>IF(OR($G108="Exact TP",$G108="Equivalent TP"),1,0)</f>
        <v/>
      </c>
      <c r="M108" s="15">
        <f>IF(OR($G108="FP Extra",$G108="Harmful FP"),1,0)</f>
        <v/>
      </c>
      <c r="N108" s="15">
        <f>IF(OR($G108="FN",$G108="Partial"),1,0)</f>
        <v/>
      </c>
      <c r="O108" s="15">
        <f>IF($L108=1,$I108,0)</f>
        <v/>
      </c>
      <c r="P108" s="15">
        <f>IF($M108=1,$I108,0)</f>
        <v/>
      </c>
      <c r="Q108" s="15">
        <f>IF($N108=1,$I108,0)</f>
        <v/>
      </c>
      <c r="R108" s="20" t="n"/>
      <c r="S108" s="20" t="n"/>
      <c r="T108" s="20" t="n"/>
    </row>
    <row r="109" ht="18.75" customHeight="1">
      <c r="A109" s="12" t="n"/>
      <c r="B109" s="12" t="n"/>
      <c r="C109" s="12" t="n"/>
      <c r="D109" s="12" t="n"/>
      <c r="E109" s="12" t="n"/>
      <c r="F109" s="12" t="n"/>
      <c r="G109" s="12" t="n"/>
      <c r="H109" s="14">
        <f>IFERROR(VLOOKUP($B109,$A$25:$N$54,7,FALSE),"")</f>
        <v/>
      </c>
      <c r="I109" s="15">
        <f>IF($H109="Minor",1,IF($H109="Moderate",2,IF($H109="Major",3,IF($H109="Critical",4,""))))</f>
        <v/>
      </c>
      <c r="J109" s="16" t="n"/>
      <c r="K109" s="16" t="n"/>
      <c r="L109" s="15">
        <f>IF(OR($G109="Exact TP",$G109="Equivalent TP"),1,0)</f>
        <v/>
      </c>
      <c r="M109" s="15">
        <f>IF(OR($G109="FP Extra",$G109="Harmful FP"),1,0)</f>
        <v/>
      </c>
      <c r="N109" s="15">
        <f>IF(OR($G109="FN",$G109="Partial"),1,0)</f>
        <v/>
      </c>
      <c r="O109" s="15">
        <f>IF($L109=1,$I109,0)</f>
        <v/>
      </c>
      <c r="P109" s="15">
        <f>IF($M109=1,$I109,0)</f>
        <v/>
      </c>
      <c r="Q109" s="15">
        <f>IF($N109=1,$I109,0)</f>
        <v/>
      </c>
      <c r="R109" s="20" t="n"/>
      <c r="S109" s="20" t="n"/>
      <c r="T109" s="20" t="n"/>
    </row>
    <row r="110" ht="18.75" customHeight="1">
      <c r="A110" s="12" t="n"/>
      <c r="B110" s="12" t="n"/>
      <c r="C110" s="12" t="n"/>
      <c r="D110" s="12" t="n"/>
      <c r="E110" s="12" t="n"/>
      <c r="F110" s="12" t="n"/>
      <c r="G110" s="12" t="n"/>
      <c r="H110" s="14">
        <f>IFERROR(VLOOKUP($B110,$A$25:$N$54,7,FALSE),"")</f>
        <v/>
      </c>
      <c r="I110" s="15">
        <f>IF($H110="Minor",1,IF($H110="Moderate",2,IF($H110="Major",3,IF($H110="Critical",4,""))))</f>
        <v/>
      </c>
      <c r="J110" s="16" t="n"/>
      <c r="K110" s="16" t="n"/>
      <c r="L110" s="15">
        <f>IF(OR($G110="Exact TP",$G110="Equivalent TP"),1,0)</f>
        <v/>
      </c>
      <c r="M110" s="15">
        <f>IF(OR($G110="FP Extra",$G110="Harmful FP"),1,0)</f>
        <v/>
      </c>
      <c r="N110" s="15">
        <f>IF(OR($G110="FN",$G110="Partial"),1,0)</f>
        <v/>
      </c>
      <c r="O110" s="15">
        <f>IF($L110=1,$I110,0)</f>
        <v/>
      </c>
      <c r="P110" s="15">
        <f>IF($M110=1,$I110,0)</f>
        <v/>
      </c>
      <c r="Q110" s="15">
        <f>IF($N110=1,$I110,0)</f>
        <v/>
      </c>
      <c r="R110" s="20" t="n"/>
      <c r="S110" s="20" t="n"/>
      <c r="T110" s="20" t="n"/>
    </row>
    <row r="111" ht="18.75" customHeight="1">
      <c r="A111" s="12" t="n"/>
      <c r="B111" s="12" t="n"/>
      <c r="C111" s="12" t="n"/>
      <c r="D111" s="12" t="n"/>
      <c r="E111" s="12" t="n"/>
      <c r="F111" s="12" t="n"/>
      <c r="G111" s="12" t="n"/>
      <c r="H111" s="14">
        <f>IFERROR(VLOOKUP($B111,$A$25:$N$54,7,FALSE),"")</f>
        <v/>
      </c>
      <c r="I111" s="15">
        <f>IF($H111="Minor",1,IF($H111="Moderate",2,IF($H111="Major",3,IF($H111="Critical",4,""))))</f>
        <v/>
      </c>
      <c r="J111" s="16" t="n"/>
      <c r="K111" s="16" t="n"/>
      <c r="L111" s="15">
        <f>IF(OR($G111="Exact TP",$G111="Equivalent TP"),1,0)</f>
        <v/>
      </c>
      <c r="M111" s="15">
        <f>IF(OR($G111="FP Extra",$G111="Harmful FP"),1,0)</f>
        <v/>
      </c>
      <c r="N111" s="15">
        <f>IF(OR($G111="FN",$G111="Partial"),1,0)</f>
        <v/>
      </c>
      <c r="O111" s="15">
        <f>IF($L111=1,$I111,0)</f>
        <v/>
      </c>
      <c r="P111" s="15">
        <f>IF($M111=1,$I111,0)</f>
        <v/>
      </c>
      <c r="Q111" s="15">
        <f>IF($N111=1,$I111,0)</f>
        <v/>
      </c>
      <c r="R111" s="20" t="n"/>
      <c r="S111" s="20" t="n"/>
      <c r="T111" s="20" t="n"/>
    </row>
    <row r="112" ht="18.75" customHeight="1">
      <c r="A112" s="12" t="n"/>
      <c r="B112" s="12" t="n"/>
      <c r="C112" s="12" t="n"/>
      <c r="D112" s="12" t="n"/>
      <c r="E112" s="12" t="n"/>
      <c r="F112" s="12" t="n"/>
      <c r="G112" s="12" t="n"/>
      <c r="H112" s="14">
        <f>IFERROR(VLOOKUP($B112,$A$25:$N$54,7,FALSE),"")</f>
        <v/>
      </c>
      <c r="I112" s="15">
        <f>IF($H112="Minor",1,IF($H112="Moderate",2,IF($H112="Major",3,IF($H112="Critical",4,""))))</f>
        <v/>
      </c>
      <c r="J112" s="16" t="n"/>
      <c r="K112" s="16" t="n"/>
      <c r="L112" s="15">
        <f>IF(OR($G112="Exact TP",$G112="Equivalent TP"),1,0)</f>
        <v/>
      </c>
      <c r="M112" s="15">
        <f>IF(OR($G112="FP Extra",$G112="Harmful FP"),1,0)</f>
        <v/>
      </c>
      <c r="N112" s="15">
        <f>IF(OR($G112="FN",$G112="Partial"),1,0)</f>
        <v/>
      </c>
      <c r="O112" s="15">
        <f>IF($L112=1,$I112,0)</f>
        <v/>
      </c>
      <c r="P112" s="15">
        <f>IF($M112=1,$I112,0)</f>
        <v/>
      </c>
      <c r="Q112" s="15">
        <f>IF($N112=1,$I112,0)</f>
        <v/>
      </c>
      <c r="R112" s="20" t="n"/>
      <c r="S112" s="20" t="n"/>
      <c r="T112" s="20" t="n"/>
    </row>
    <row r="113" ht="18.75" customHeight="1">
      <c r="A113" s="12" t="n"/>
      <c r="B113" s="12" t="n"/>
      <c r="C113" s="12" t="n"/>
      <c r="D113" s="12" t="n"/>
      <c r="E113" s="12" t="n"/>
      <c r="F113" s="12" t="n"/>
      <c r="G113" s="12" t="n"/>
      <c r="H113" s="14">
        <f>IFERROR(VLOOKUP($B113,$A$25:$N$54,7,FALSE),"")</f>
        <v/>
      </c>
      <c r="I113" s="15">
        <f>IF($H113="Minor",1,IF($H113="Moderate",2,IF($H113="Major",3,IF($H113="Critical",4,""))))</f>
        <v/>
      </c>
      <c r="J113" s="16" t="n"/>
      <c r="K113" s="16" t="n"/>
      <c r="L113" s="15">
        <f>IF(OR($G113="Exact TP",$G113="Equivalent TP"),1,0)</f>
        <v/>
      </c>
      <c r="M113" s="15">
        <f>IF(OR($G113="FP Extra",$G113="Harmful FP"),1,0)</f>
        <v/>
      </c>
      <c r="N113" s="15">
        <f>IF(OR($G113="FN",$G113="Partial"),1,0)</f>
        <v/>
      </c>
      <c r="O113" s="15">
        <f>IF($L113=1,$I113,0)</f>
        <v/>
      </c>
      <c r="P113" s="15">
        <f>IF($M113=1,$I113,0)</f>
        <v/>
      </c>
      <c r="Q113" s="15">
        <f>IF($N113=1,$I113,0)</f>
        <v/>
      </c>
      <c r="R113" s="20" t="n"/>
      <c r="S113" s="20" t="n"/>
      <c r="T113" s="20" t="n"/>
    </row>
    <row r="114" ht="18.75" customHeight="1">
      <c r="A114" s="12" t="n"/>
      <c r="B114" s="12" t="n"/>
      <c r="C114" s="12" t="n"/>
      <c r="D114" s="12" t="n"/>
      <c r="E114" s="12" t="n"/>
      <c r="F114" s="12" t="n"/>
      <c r="G114" s="12" t="n"/>
      <c r="H114" s="14">
        <f>IFERROR(VLOOKUP($B114,$A$25:$N$54,7,FALSE),"")</f>
        <v/>
      </c>
      <c r="I114" s="15">
        <f>IF($H114="Minor",1,IF($H114="Moderate",2,IF($H114="Major",3,IF($H114="Critical",4,""))))</f>
        <v/>
      </c>
      <c r="J114" s="16" t="n"/>
      <c r="K114" s="16" t="n"/>
      <c r="L114" s="15">
        <f>IF(OR($G114="Exact TP",$G114="Equivalent TP"),1,0)</f>
        <v/>
      </c>
      <c r="M114" s="15">
        <f>IF(OR($G114="FP Extra",$G114="Harmful FP"),1,0)</f>
        <v/>
      </c>
      <c r="N114" s="15">
        <f>IF(OR($G114="FN",$G114="Partial"),1,0)</f>
        <v/>
      </c>
      <c r="O114" s="15">
        <f>IF($L114=1,$I114,0)</f>
        <v/>
      </c>
      <c r="P114" s="15">
        <f>IF($M114=1,$I114,0)</f>
        <v/>
      </c>
      <c r="Q114" s="15">
        <f>IF($N114=1,$I114,0)</f>
        <v/>
      </c>
      <c r="R114" s="20" t="n"/>
      <c r="S114" s="20" t="n"/>
      <c r="T114" s="20" t="n"/>
    </row>
    <row r="115" ht="18.75" customHeight="1">
      <c r="A115" s="12" t="n"/>
      <c r="B115" s="12" t="n"/>
      <c r="C115" s="12" t="n"/>
      <c r="D115" s="12" t="n"/>
      <c r="E115" s="12" t="n"/>
      <c r="F115" s="12" t="n"/>
      <c r="G115" s="12" t="n"/>
      <c r="H115" s="14">
        <f>IFERROR(VLOOKUP($B115,$A$25:$N$54,7,FALSE),"")</f>
        <v/>
      </c>
      <c r="I115" s="15">
        <f>IF($H115="Minor",1,IF($H115="Moderate",2,IF($H115="Major",3,IF($H115="Critical",4,""))))</f>
        <v/>
      </c>
      <c r="J115" s="16" t="n"/>
      <c r="K115" s="16" t="n"/>
      <c r="L115" s="15">
        <f>IF(OR($G115="Exact TP",$G115="Equivalent TP"),1,0)</f>
        <v/>
      </c>
      <c r="M115" s="15">
        <f>IF(OR($G115="FP Extra",$G115="Harmful FP"),1,0)</f>
        <v/>
      </c>
      <c r="N115" s="15">
        <f>IF(OR($G115="FN",$G115="Partial"),1,0)</f>
        <v/>
      </c>
      <c r="O115" s="15">
        <f>IF($L115=1,$I115,0)</f>
        <v/>
      </c>
      <c r="P115" s="15">
        <f>IF($M115=1,$I115,0)</f>
        <v/>
      </c>
      <c r="Q115" s="15">
        <f>IF($N115=1,$I115,0)</f>
        <v/>
      </c>
      <c r="R115" s="20" t="n"/>
      <c r="S115" s="20" t="n"/>
      <c r="T115" s="20" t="n"/>
    </row>
    <row r="116" ht="18.75" customHeight="1">
      <c r="A116" s="12" t="n"/>
      <c r="B116" s="12" t="n"/>
      <c r="C116" s="12" t="n"/>
      <c r="D116" s="12" t="n"/>
      <c r="E116" s="12" t="n"/>
      <c r="F116" s="12" t="n"/>
      <c r="G116" s="12" t="n"/>
      <c r="H116" s="14">
        <f>IFERROR(VLOOKUP($B116,$A$25:$N$54,7,FALSE),"")</f>
        <v/>
      </c>
      <c r="I116" s="15">
        <f>IF($H116="Minor",1,IF($H116="Moderate",2,IF($H116="Major",3,IF($H116="Critical",4,""))))</f>
        <v/>
      </c>
      <c r="J116" s="16" t="n"/>
      <c r="K116" s="16" t="n"/>
      <c r="L116" s="15">
        <f>IF(OR($G116="Exact TP",$G116="Equivalent TP"),1,0)</f>
        <v/>
      </c>
      <c r="M116" s="15">
        <f>IF(OR($G116="FP Extra",$G116="Harmful FP"),1,0)</f>
        <v/>
      </c>
      <c r="N116" s="15">
        <f>IF(OR($G116="FN",$G116="Partial"),1,0)</f>
        <v/>
      </c>
      <c r="O116" s="15">
        <f>IF($L116=1,$I116,0)</f>
        <v/>
      </c>
      <c r="P116" s="15">
        <f>IF($M116=1,$I116,0)</f>
        <v/>
      </c>
      <c r="Q116" s="15">
        <f>IF($N116=1,$I116,0)</f>
        <v/>
      </c>
      <c r="R116" s="20" t="n"/>
      <c r="S116" s="20" t="n"/>
      <c r="T116" s="20" t="n"/>
    </row>
    <row r="117" ht="18.75" customHeight="1">
      <c r="A117" s="12" t="n"/>
      <c r="B117" s="12" t="n"/>
      <c r="C117" s="12" t="n"/>
      <c r="D117" s="12" t="n"/>
      <c r="E117" s="12" t="n"/>
      <c r="F117" s="12" t="n"/>
      <c r="G117" s="12" t="n"/>
      <c r="H117" s="14">
        <f>IFERROR(VLOOKUP($B117,$A$25:$N$54,7,FALSE),"")</f>
        <v/>
      </c>
      <c r="I117" s="15">
        <f>IF($H117="Minor",1,IF($H117="Moderate",2,IF($H117="Major",3,IF($H117="Critical",4,""))))</f>
        <v/>
      </c>
      <c r="J117" s="16" t="n"/>
      <c r="K117" s="16" t="n"/>
      <c r="L117" s="15">
        <f>IF(OR($G117="Exact TP",$G117="Equivalent TP"),1,0)</f>
        <v/>
      </c>
      <c r="M117" s="15">
        <f>IF(OR($G117="FP Extra",$G117="Harmful FP"),1,0)</f>
        <v/>
      </c>
      <c r="N117" s="15">
        <f>IF(OR($G117="FN",$G117="Partial"),1,0)</f>
        <v/>
      </c>
      <c r="O117" s="15">
        <f>IF($L117=1,$I117,0)</f>
        <v/>
      </c>
      <c r="P117" s="15">
        <f>IF($M117=1,$I117,0)</f>
        <v/>
      </c>
      <c r="Q117" s="15">
        <f>IF($N117=1,$I117,0)</f>
        <v/>
      </c>
      <c r="R117" s="20" t="n"/>
      <c r="S117" s="20" t="n"/>
      <c r="T117" s="20" t="n"/>
    </row>
    <row r="118" ht="18.75" customHeight="1">
      <c r="A118" s="12" t="n"/>
      <c r="B118" s="12" t="n"/>
      <c r="C118" s="12" t="n"/>
      <c r="D118" s="12" t="n"/>
      <c r="E118" s="12" t="n"/>
      <c r="F118" s="12" t="n"/>
      <c r="G118" s="12" t="n"/>
      <c r="H118" s="14">
        <f>IFERROR(VLOOKUP($B118,$A$25:$N$54,7,FALSE),"")</f>
        <v/>
      </c>
      <c r="I118" s="15">
        <f>IF($H118="Minor",1,IF($H118="Moderate",2,IF($H118="Major",3,IF($H118="Critical",4,""))))</f>
        <v/>
      </c>
      <c r="J118" s="16" t="n"/>
      <c r="K118" s="16" t="n"/>
      <c r="L118" s="15">
        <f>IF(OR($G118="Exact TP",$G118="Equivalent TP"),1,0)</f>
        <v/>
      </c>
      <c r="M118" s="15">
        <f>IF(OR($G118="FP Extra",$G118="Harmful FP"),1,0)</f>
        <v/>
      </c>
      <c r="N118" s="15">
        <f>IF(OR($G118="FN",$G118="Partial"),1,0)</f>
        <v/>
      </c>
      <c r="O118" s="15">
        <f>IF($L118=1,$I118,0)</f>
        <v/>
      </c>
      <c r="P118" s="15">
        <f>IF($M118=1,$I118,0)</f>
        <v/>
      </c>
      <c r="Q118" s="15">
        <f>IF($N118=1,$I118,0)</f>
        <v/>
      </c>
      <c r="R118" s="20" t="n"/>
      <c r="S118" s="20" t="n"/>
      <c r="T118" s="20" t="n"/>
    </row>
    <row r="119" ht="18.75" customHeight="1">
      <c r="A119" s="12" t="n"/>
      <c r="B119" s="12" t="n"/>
      <c r="C119" s="12" t="n"/>
      <c r="D119" s="12" t="n"/>
      <c r="E119" s="12" t="n"/>
      <c r="F119" s="12" t="n"/>
      <c r="G119" s="12" t="n"/>
      <c r="H119" s="14">
        <f>IFERROR(VLOOKUP($B119,$A$25:$N$54,7,FALSE),"")</f>
        <v/>
      </c>
      <c r="I119" s="15">
        <f>IF($H119="Minor",1,IF($H119="Moderate",2,IF($H119="Major",3,IF($H119="Critical",4,""))))</f>
        <v/>
      </c>
      <c r="J119" s="16" t="n"/>
      <c r="K119" s="16" t="n"/>
      <c r="L119" s="15">
        <f>IF(OR($G119="Exact TP",$G119="Equivalent TP"),1,0)</f>
        <v/>
      </c>
      <c r="M119" s="15">
        <f>IF(OR($G119="FP Extra",$G119="Harmful FP"),1,0)</f>
        <v/>
      </c>
      <c r="N119" s="15">
        <f>IF(OR($G119="FN",$G119="Partial"),1,0)</f>
        <v/>
      </c>
      <c r="O119" s="15">
        <f>IF($L119=1,$I119,0)</f>
        <v/>
      </c>
      <c r="P119" s="15">
        <f>IF($M119=1,$I119,0)</f>
        <v/>
      </c>
      <c r="Q119" s="15">
        <f>IF($N119=1,$I119,0)</f>
        <v/>
      </c>
      <c r="R119" s="20" t="n"/>
      <c r="S119" s="20" t="n"/>
      <c r="T119" s="20" t="n"/>
    </row>
    <row r="120" ht="18.75" customHeight="1">
      <c r="A120" s="12" t="n"/>
      <c r="B120" s="12" t="n"/>
      <c r="C120" s="12" t="n"/>
      <c r="D120" s="12" t="n"/>
      <c r="E120" s="12" t="n"/>
      <c r="F120" s="12" t="n"/>
      <c r="G120" s="12" t="n"/>
      <c r="H120" s="14">
        <f>IFERROR(VLOOKUP($B120,$A$25:$N$54,7,FALSE),"")</f>
        <v/>
      </c>
      <c r="I120" s="15">
        <f>IF($H120="Minor",1,IF($H120="Moderate",2,IF($H120="Major",3,IF($H120="Critical",4,""))))</f>
        <v/>
      </c>
      <c r="J120" s="16" t="n"/>
      <c r="K120" s="16" t="n"/>
      <c r="L120" s="15">
        <f>IF(OR($G120="Exact TP",$G120="Equivalent TP"),1,0)</f>
        <v/>
      </c>
      <c r="M120" s="15">
        <f>IF(OR($G120="FP Extra",$G120="Harmful FP"),1,0)</f>
        <v/>
      </c>
      <c r="N120" s="15">
        <f>IF(OR($G120="FN",$G120="Partial"),1,0)</f>
        <v/>
      </c>
      <c r="O120" s="15">
        <f>IF($L120=1,$I120,0)</f>
        <v/>
      </c>
      <c r="P120" s="15">
        <f>IF($M120=1,$I120,0)</f>
        <v/>
      </c>
      <c r="Q120" s="15">
        <f>IF($N120=1,$I120,0)</f>
        <v/>
      </c>
      <c r="R120" s="20" t="n"/>
      <c r="S120" s="20" t="n"/>
      <c r="T120" s="20" t="n"/>
    </row>
    <row r="121" ht="18.75" customHeight="1">
      <c r="A121" s="12" t="n"/>
      <c r="B121" s="12" t="n"/>
      <c r="C121" s="12" t="n"/>
      <c r="D121" s="12" t="n"/>
      <c r="E121" s="12" t="n"/>
      <c r="F121" s="12" t="n"/>
      <c r="G121" s="12" t="n"/>
      <c r="H121" s="14">
        <f>IFERROR(VLOOKUP($B121,$A$25:$N$54,7,FALSE),"")</f>
        <v/>
      </c>
      <c r="I121" s="15">
        <f>IF($H121="Minor",1,IF($H121="Moderate",2,IF($H121="Major",3,IF($H121="Critical",4,""))))</f>
        <v/>
      </c>
      <c r="J121" s="16" t="n"/>
      <c r="K121" s="16" t="n"/>
      <c r="L121" s="15">
        <f>IF(OR($G121="Exact TP",$G121="Equivalent TP"),1,0)</f>
        <v/>
      </c>
      <c r="M121" s="15">
        <f>IF(OR($G121="FP Extra",$G121="Harmful FP"),1,0)</f>
        <v/>
      </c>
      <c r="N121" s="15">
        <f>IF(OR($G121="FN",$G121="Partial"),1,0)</f>
        <v/>
      </c>
      <c r="O121" s="15">
        <f>IF($L121=1,$I121,0)</f>
        <v/>
      </c>
      <c r="P121" s="15">
        <f>IF($M121=1,$I121,0)</f>
        <v/>
      </c>
      <c r="Q121" s="15">
        <f>IF($N121=1,$I121,0)</f>
        <v/>
      </c>
      <c r="R121" s="20" t="n"/>
      <c r="S121" s="20" t="n"/>
      <c r="T121" s="20" t="n"/>
    </row>
    <row r="122" ht="18.75" customHeight="1">
      <c r="A122" s="12" t="n"/>
      <c r="B122" s="12" t="n"/>
      <c r="C122" s="12" t="n"/>
      <c r="D122" s="12" t="n"/>
      <c r="E122" s="12" t="n"/>
      <c r="F122" s="12" t="n"/>
      <c r="G122" s="12" t="n"/>
      <c r="H122" s="14">
        <f>IFERROR(VLOOKUP($B122,$A$25:$N$54,7,FALSE),"")</f>
        <v/>
      </c>
      <c r="I122" s="15">
        <f>IF($H122="Minor",1,IF($H122="Moderate",2,IF($H122="Major",3,IF($H122="Critical",4,""))))</f>
        <v/>
      </c>
      <c r="J122" s="16" t="n"/>
      <c r="K122" s="16" t="n"/>
      <c r="L122" s="15">
        <f>IF(OR($G122="Exact TP",$G122="Equivalent TP"),1,0)</f>
        <v/>
      </c>
      <c r="M122" s="15">
        <f>IF(OR($G122="FP Extra",$G122="Harmful FP"),1,0)</f>
        <v/>
      </c>
      <c r="N122" s="15">
        <f>IF(OR($G122="FN",$G122="Partial"),1,0)</f>
        <v/>
      </c>
      <c r="O122" s="15">
        <f>IF($L122=1,$I122,0)</f>
        <v/>
      </c>
      <c r="P122" s="15">
        <f>IF($M122=1,$I122,0)</f>
        <v/>
      </c>
      <c r="Q122" s="15">
        <f>IF($N122=1,$I122,0)</f>
        <v/>
      </c>
      <c r="R122" s="20" t="n"/>
      <c r="S122" s="20" t="n"/>
      <c r="T122" s="20" t="n"/>
    </row>
    <row r="123" ht="18.75" customHeight="1">
      <c r="A123" s="12" t="n"/>
      <c r="B123" s="12" t="n"/>
      <c r="C123" s="12" t="n"/>
      <c r="D123" s="12" t="n"/>
      <c r="E123" s="12" t="n"/>
      <c r="F123" s="12" t="n"/>
      <c r="G123" s="12" t="n"/>
      <c r="H123" s="14">
        <f>IFERROR(VLOOKUP($B123,$A$25:$N$54,7,FALSE),"")</f>
        <v/>
      </c>
      <c r="I123" s="15">
        <f>IF($H123="Minor",1,IF($H123="Moderate",2,IF($H123="Major",3,IF($H123="Critical",4,""))))</f>
        <v/>
      </c>
      <c r="J123" s="16" t="n"/>
      <c r="K123" s="16" t="n"/>
      <c r="L123" s="15">
        <f>IF(OR($G123="Exact TP",$G123="Equivalent TP"),1,0)</f>
        <v/>
      </c>
      <c r="M123" s="15">
        <f>IF(OR($G123="FP Extra",$G123="Harmful FP"),1,0)</f>
        <v/>
      </c>
      <c r="N123" s="15">
        <f>IF(OR($G123="FN",$G123="Partial"),1,0)</f>
        <v/>
      </c>
      <c r="O123" s="15">
        <f>IF($L123=1,$I123,0)</f>
        <v/>
      </c>
      <c r="P123" s="15">
        <f>IF($M123=1,$I123,0)</f>
        <v/>
      </c>
      <c r="Q123" s="15">
        <f>IF($N123=1,$I123,0)</f>
        <v/>
      </c>
      <c r="R123" s="20" t="n"/>
      <c r="S123" s="20" t="n"/>
      <c r="T123" s="20" t="n"/>
    </row>
    <row r="124" ht="18.75" customHeight="1">
      <c r="A124" s="12" t="n"/>
      <c r="B124" s="12" t="n"/>
      <c r="C124" s="12" t="n"/>
      <c r="D124" s="12" t="n"/>
      <c r="E124" s="12" t="n"/>
      <c r="F124" s="12" t="n"/>
      <c r="G124" s="12" t="n"/>
      <c r="H124" s="14">
        <f>IFERROR(VLOOKUP($B124,$A$25:$N$54,7,FALSE),"")</f>
        <v/>
      </c>
      <c r="I124" s="15">
        <f>IF($H124="Minor",1,IF($H124="Moderate",2,IF($H124="Major",3,IF($H124="Critical",4,""))))</f>
        <v/>
      </c>
      <c r="J124" s="16" t="n"/>
      <c r="K124" s="16" t="n"/>
      <c r="L124" s="15">
        <f>IF(OR($G124="Exact TP",$G124="Equivalent TP"),1,0)</f>
        <v/>
      </c>
      <c r="M124" s="15">
        <f>IF(OR($G124="FP Extra",$G124="Harmful FP"),1,0)</f>
        <v/>
      </c>
      <c r="N124" s="15">
        <f>IF(OR($G124="FN",$G124="Partial"),1,0)</f>
        <v/>
      </c>
      <c r="O124" s="15">
        <f>IF($L124=1,$I124,0)</f>
        <v/>
      </c>
      <c r="P124" s="15">
        <f>IF($M124=1,$I124,0)</f>
        <v/>
      </c>
      <c r="Q124" s="15">
        <f>IF($N124=1,$I124,0)</f>
        <v/>
      </c>
      <c r="R124" s="20" t="n"/>
      <c r="S124" s="20" t="n"/>
      <c r="T124" s="20" t="n"/>
    </row>
    <row r="125" ht="18.75" customHeight="1">
      <c r="A125" s="12" t="n"/>
      <c r="B125" s="12" t="n"/>
      <c r="C125" s="12" t="n"/>
      <c r="D125" s="12" t="n"/>
      <c r="E125" s="12" t="n"/>
      <c r="F125" s="12" t="n"/>
      <c r="G125" s="12" t="n"/>
      <c r="H125" s="14">
        <f>IFERROR(VLOOKUP($B125,$A$25:$N$54,7,FALSE),"")</f>
        <v/>
      </c>
      <c r="I125" s="15">
        <f>IF($H125="Minor",1,IF($H125="Moderate",2,IF($H125="Major",3,IF($H125="Critical",4,""))))</f>
        <v/>
      </c>
      <c r="J125" s="16" t="n"/>
      <c r="K125" s="16" t="n"/>
      <c r="L125" s="15">
        <f>IF(OR($G125="Exact TP",$G125="Equivalent TP"),1,0)</f>
        <v/>
      </c>
      <c r="M125" s="15">
        <f>IF(OR($G125="FP Extra",$G125="Harmful FP"),1,0)</f>
        <v/>
      </c>
      <c r="N125" s="15">
        <f>IF(OR($G125="FN",$G125="Partial"),1,0)</f>
        <v/>
      </c>
      <c r="O125" s="15">
        <f>IF($L125=1,$I125,0)</f>
        <v/>
      </c>
      <c r="P125" s="15">
        <f>IF($M125=1,$I125,0)</f>
        <v/>
      </c>
      <c r="Q125" s="15">
        <f>IF($N125=1,$I125,0)</f>
        <v/>
      </c>
      <c r="R125" s="20" t="n"/>
      <c r="S125" s="20" t="n"/>
      <c r="T125" s="20" t="n"/>
    </row>
    <row r="126" ht="18.75" customHeight="1">
      <c r="A126" s="12" t="n"/>
      <c r="B126" s="12" t="n"/>
      <c r="C126" s="12" t="n"/>
      <c r="D126" s="12" t="n"/>
      <c r="E126" s="12" t="n"/>
      <c r="F126" s="12" t="n"/>
      <c r="G126" s="12" t="n"/>
      <c r="H126" s="14">
        <f>IFERROR(VLOOKUP($B126,$A$25:$N$54,7,FALSE),"")</f>
        <v/>
      </c>
      <c r="I126" s="15">
        <f>IF($H126="Minor",1,IF($H126="Moderate",2,IF($H126="Major",3,IF($H126="Critical",4,""))))</f>
        <v/>
      </c>
      <c r="J126" s="16" t="n"/>
      <c r="K126" s="16" t="n"/>
      <c r="L126" s="15">
        <f>IF(OR($G126="Exact TP",$G126="Equivalent TP"),1,0)</f>
        <v/>
      </c>
      <c r="M126" s="15">
        <f>IF(OR($G126="FP Extra",$G126="Harmful FP"),1,0)</f>
        <v/>
      </c>
      <c r="N126" s="15">
        <f>IF(OR($G126="FN",$G126="Partial"),1,0)</f>
        <v/>
      </c>
      <c r="O126" s="15">
        <f>IF($L126=1,$I126,0)</f>
        <v/>
      </c>
      <c r="P126" s="15">
        <f>IF($M126=1,$I126,0)</f>
        <v/>
      </c>
      <c r="Q126" s="15">
        <f>IF($N126=1,$I126,0)</f>
        <v/>
      </c>
      <c r="R126" s="20" t="n"/>
      <c r="S126" s="20" t="n"/>
      <c r="T126" s="20" t="n"/>
    </row>
    <row r="127" ht="18.75" customHeight="1">
      <c r="A127" s="12" t="n"/>
      <c r="B127" s="12" t="n"/>
      <c r="C127" s="12" t="n"/>
      <c r="D127" s="12" t="n"/>
      <c r="E127" s="12" t="n"/>
      <c r="F127" s="12" t="n"/>
      <c r="G127" s="12" t="n"/>
      <c r="H127" s="14">
        <f>IFERROR(VLOOKUP($B127,$A$25:$N$54,7,FALSE),"")</f>
        <v/>
      </c>
      <c r="I127" s="15">
        <f>IF($H127="Minor",1,IF($H127="Moderate",2,IF($H127="Major",3,IF($H127="Critical",4,""))))</f>
        <v/>
      </c>
      <c r="J127" s="16" t="n"/>
      <c r="K127" s="16" t="n"/>
      <c r="L127" s="15">
        <f>IF(OR($G127="Exact TP",$G127="Equivalent TP"),1,0)</f>
        <v/>
      </c>
      <c r="M127" s="15">
        <f>IF(OR($G127="FP Extra",$G127="Harmful FP"),1,0)</f>
        <v/>
      </c>
      <c r="N127" s="15">
        <f>IF(OR($G127="FN",$G127="Partial"),1,0)</f>
        <v/>
      </c>
      <c r="O127" s="15">
        <f>IF($L127=1,$I127,0)</f>
        <v/>
      </c>
      <c r="P127" s="15">
        <f>IF($M127=1,$I127,0)</f>
        <v/>
      </c>
      <c r="Q127" s="15">
        <f>IF($N127=1,$I127,0)</f>
        <v/>
      </c>
      <c r="R127" s="20" t="n"/>
      <c r="S127" s="20" t="n"/>
      <c r="T127" s="20" t="n"/>
    </row>
    <row r="128" ht="18.75" customHeight="1">
      <c r="A128" s="12" t="n"/>
      <c r="B128" s="12" t="n"/>
      <c r="C128" s="12" t="n"/>
      <c r="D128" s="12" t="n"/>
      <c r="E128" s="12" t="n"/>
      <c r="F128" s="12" t="n"/>
      <c r="G128" s="12" t="n"/>
      <c r="H128" s="14">
        <f>IFERROR(VLOOKUP($B128,$A$25:$N$54,7,FALSE),"")</f>
        <v/>
      </c>
      <c r="I128" s="15">
        <f>IF($H128="Minor",1,IF($H128="Moderate",2,IF($H128="Major",3,IF($H128="Critical",4,""))))</f>
        <v/>
      </c>
      <c r="J128" s="16" t="n"/>
      <c r="K128" s="16" t="n"/>
      <c r="L128" s="15">
        <f>IF(OR($G128="Exact TP",$G128="Equivalent TP"),1,0)</f>
        <v/>
      </c>
      <c r="M128" s="15">
        <f>IF(OR($G128="FP Extra",$G128="Harmful FP"),1,0)</f>
        <v/>
      </c>
      <c r="N128" s="15">
        <f>IF(OR($G128="FN",$G128="Partial"),1,0)</f>
        <v/>
      </c>
      <c r="O128" s="15">
        <f>IF($L128=1,$I128,0)</f>
        <v/>
      </c>
      <c r="P128" s="15">
        <f>IF($M128=1,$I128,0)</f>
        <v/>
      </c>
      <c r="Q128" s="15">
        <f>IF($N128=1,$I128,0)</f>
        <v/>
      </c>
      <c r="R128" s="20" t="n"/>
      <c r="S128" s="20" t="n"/>
      <c r="T128" s="20" t="n"/>
    </row>
    <row r="129" ht="18.75" customHeight="1">
      <c r="A129" s="12" t="n"/>
      <c r="B129" s="12" t="n"/>
      <c r="C129" s="12" t="n"/>
      <c r="D129" s="12" t="n"/>
      <c r="E129" s="12" t="n"/>
      <c r="F129" s="12" t="n"/>
      <c r="G129" s="12" t="n"/>
      <c r="H129" s="14">
        <f>IFERROR(VLOOKUP($B129,$A$25:$N$54,7,FALSE),"")</f>
        <v/>
      </c>
      <c r="I129" s="15">
        <f>IF($H129="Minor",1,IF($H129="Moderate",2,IF($H129="Major",3,IF($H129="Critical",4,""))))</f>
        <v/>
      </c>
      <c r="J129" s="16" t="n"/>
      <c r="K129" s="16" t="n"/>
      <c r="L129" s="15">
        <f>IF(OR($G129="Exact TP",$G129="Equivalent TP"),1,0)</f>
        <v/>
      </c>
      <c r="M129" s="15">
        <f>IF(OR($G129="FP Extra",$G129="Harmful FP"),1,0)</f>
        <v/>
      </c>
      <c r="N129" s="15">
        <f>IF(OR($G129="FN",$G129="Partial"),1,0)</f>
        <v/>
      </c>
      <c r="O129" s="15">
        <f>IF($L129=1,$I129,0)</f>
        <v/>
      </c>
      <c r="P129" s="15">
        <f>IF($M129=1,$I129,0)</f>
        <v/>
      </c>
      <c r="Q129" s="15">
        <f>IF($N129=1,$I129,0)</f>
        <v/>
      </c>
      <c r="R129" s="20" t="n"/>
      <c r="S129" s="20" t="n"/>
      <c r="T129" s="20" t="n"/>
    </row>
    <row r="130" ht="18.75" customHeight="1">
      <c r="A130" s="12" t="n"/>
      <c r="B130" s="12" t="n"/>
      <c r="C130" s="12" t="n"/>
      <c r="D130" s="12" t="n"/>
      <c r="E130" s="12" t="n"/>
      <c r="F130" s="12" t="n"/>
      <c r="G130" s="12" t="n"/>
      <c r="H130" s="14">
        <f>IFERROR(VLOOKUP($B130,$A$25:$N$54,7,FALSE),"")</f>
        <v/>
      </c>
      <c r="I130" s="15">
        <f>IF($H130="Minor",1,IF($H130="Moderate",2,IF($H130="Major",3,IF($H130="Critical",4,""))))</f>
        <v/>
      </c>
      <c r="J130" s="16" t="n"/>
      <c r="K130" s="16" t="n"/>
      <c r="L130" s="15">
        <f>IF(OR($G130="Exact TP",$G130="Equivalent TP"),1,0)</f>
        <v/>
      </c>
      <c r="M130" s="15">
        <f>IF(OR($G130="FP Extra",$G130="Harmful FP"),1,0)</f>
        <v/>
      </c>
      <c r="N130" s="15">
        <f>IF(OR($G130="FN",$G130="Partial"),1,0)</f>
        <v/>
      </c>
      <c r="O130" s="15">
        <f>IF($L130=1,$I130,0)</f>
        <v/>
      </c>
      <c r="P130" s="15">
        <f>IF($M130=1,$I130,0)</f>
        <v/>
      </c>
      <c r="Q130" s="15">
        <f>IF($N130=1,$I130,0)</f>
        <v/>
      </c>
      <c r="R130" s="20" t="n"/>
      <c r="S130" s="20" t="n"/>
      <c r="T130" s="20" t="n"/>
    </row>
    <row r="131" ht="18.75" customHeight="1">
      <c r="A131" s="12" t="n"/>
      <c r="B131" s="12" t="n"/>
      <c r="C131" s="12" t="n"/>
      <c r="D131" s="12" t="n"/>
      <c r="E131" s="12" t="n"/>
      <c r="F131" s="12" t="n"/>
      <c r="G131" s="12" t="n"/>
      <c r="H131" s="14">
        <f>IFERROR(VLOOKUP($B131,$A$25:$N$54,7,FALSE),"")</f>
        <v/>
      </c>
      <c r="I131" s="15">
        <f>IF($H131="Minor",1,IF($H131="Moderate",2,IF($H131="Major",3,IF($H131="Critical",4,""))))</f>
        <v/>
      </c>
      <c r="J131" s="16" t="n"/>
      <c r="K131" s="16" t="n"/>
      <c r="L131" s="15">
        <f>IF(OR($G131="Exact TP",$G131="Equivalent TP"),1,0)</f>
        <v/>
      </c>
      <c r="M131" s="15">
        <f>IF(OR($G131="FP Extra",$G131="Harmful FP"),1,0)</f>
        <v/>
      </c>
      <c r="N131" s="15">
        <f>IF(OR($G131="FN",$G131="Partial"),1,0)</f>
        <v/>
      </c>
      <c r="O131" s="15">
        <f>IF($L131=1,$I131,0)</f>
        <v/>
      </c>
      <c r="P131" s="15">
        <f>IF($M131=1,$I131,0)</f>
        <v/>
      </c>
      <c r="Q131" s="15">
        <f>IF($N131=1,$I131,0)</f>
        <v/>
      </c>
      <c r="R131" s="20" t="n"/>
      <c r="S131" s="20" t="n"/>
      <c r="T131" s="20" t="n"/>
    </row>
    <row r="132" ht="18.75" customHeight="1">
      <c r="A132" s="12" t="n"/>
      <c r="B132" s="12" t="n"/>
      <c r="C132" s="12" t="n"/>
      <c r="D132" s="12" t="n"/>
      <c r="E132" s="12" t="n"/>
      <c r="F132" s="12" t="n"/>
      <c r="G132" s="12" t="n"/>
      <c r="H132" s="14">
        <f>IFERROR(VLOOKUP($B132,$A$25:$N$54,7,FALSE),"")</f>
        <v/>
      </c>
      <c r="I132" s="15">
        <f>IF($H132="Minor",1,IF($H132="Moderate",2,IF($H132="Major",3,IF($H132="Critical",4,""))))</f>
        <v/>
      </c>
      <c r="J132" s="16" t="n"/>
      <c r="K132" s="16" t="n"/>
      <c r="L132" s="15">
        <f>IF(OR($G132="Exact TP",$G132="Equivalent TP"),1,0)</f>
        <v/>
      </c>
      <c r="M132" s="15">
        <f>IF(OR($G132="FP Extra",$G132="Harmful FP"),1,0)</f>
        <v/>
      </c>
      <c r="N132" s="15">
        <f>IF(OR($G132="FN",$G132="Partial"),1,0)</f>
        <v/>
      </c>
      <c r="O132" s="15">
        <f>IF($L132=1,$I132,0)</f>
        <v/>
      </c>
      <c r="P132" s="15">
        <f>IF($M132=1,$I132,0)</f>
        <v/>
      </c>
      <c r="Q132" s="15">
        <f>IF($N132=1,$I132,0)</f>
        <v/>
      </c>
      <c r="R132" s="20" t="n"/>
      <c r="S132" s="20" t="n"/>
      <c r="T132" s="20" t="n"/>
    </row>
    <row r="133" ht="18.75" customHeight="1">
      <c r="A133" s="12" t="n"/>
      <c r="B133" s="12" t="n"/>
      <c r="C133" s="12" t="n"/>
      <c r="D133" s="12" t="n"/>
      <c r="E133" s="12" t="n"/>
      <c r="F133" s="12" t="n"/>
      <c r="G133" s="12" t="n"/>
      <c r="H133" s="14">
        <f>IFERROR(VLOOKUP($B133,$A$25:$N$54,7,FALSE),"")</f>
        <v/>
      </c>
      <c r="I133" s="15">
        <f>IF($H133="Minor",1,IF($H133="Moderate",2,IF($H133="Major",3,IF($H133="Critical",4,""))))</f>
        <v/>
      </c>
      <c r="J133" s="16" t="n"/>
      <c r="K133" s="16" t="n"/>
      <c r="L133" s="15">
        <f>IF(OR($G133="Exact TP",$G133="Equivalent TP"),1,0)</f>
        <v/>
      </c>
      <c r="M133" s="15">
        <f>IF(OR($G133="FP Extra",$G133="Harmful FP"),1,0)</f>
        <v/>
      </c>
      <c r="N133" s="15">
        <f>IF(OR($G133="FN",$G133="Partial"),1,0)</f>
        <v/>
      </c>
      <c r="O133" s="15">
        <f>IF($L133=1,$I133,0)</f>
        <v/>
      </c>
      <c r="P133" s="15">
        <f>IF($M133=1,$I133,0)</f>
        <v/>
      </c>
      <c r="Q133" s="15">
        <f>IF($N133=1,$I133,0)</f>
        <v/>
      </c>
      <c r="R133" s="20" t="n"/>
      <c r="S133" s="20" t="n"/>
      <c r="T133" s="20" t="n"/>
    </row>
    <row r="134" ht="18.75" customHeight="1">
      <c r="A134" s="12" t="n"/>
      <c r="B134" s="12" t="n"/>
      <c r="C134" s="12" t="n"/>
      <c r="D134" s="12" t="n"/>
      <c r="E134" s="12" t="n"/>
      <c r="F134" s="12" t="n"/>
      <c r="G134" s="12" t="n"/>
      <c r="H134" s="14">
        <f>IFERROR(VLOOKUP($B134,$A$25:$N$54,7,FALSE),"")</f>
        <v/>
      </c>
      <c r="I134" s="15">
        <f>IF($H134="Minor",1,IF($H134="Moderate",2,IF($H134="Major",3,IF($H134="Critical",4,""))))</f>
        <v/>
      </c>
      <c r="J134" s="16" t="n"/>
      <c r="K134" s="16" t="n"/>
      <c r="L134" s="15">
        <f>IF(OR($G134="Exact TP",$G134="Equivalent TP"),1,0)</f>
        <v/>
      </c>
      <c r="M134" s="15">
        <f>IF(OR($G134="FP Extra",$G134="Harmful FP"),1,0)</f>
        <v/>
      </c>
      <c r="N134" s="15">
        <f>IF(OR($G134="FN",$G134="Partial"),1,0)</f>
        <v/>
      </c>
      <c r="O134" s="15">
        <f>IF($L134=1,$I134,0)</f>
        <v/>
      </c>
      <c r="P134" s="15">
        <f>IF($M134=1,$I134,0)</f>
        <v/>
      </c>
      <c r="Q134" s="15">
        <f>IF($N134=1,$I134,0)</f>
        <v/>
      </c>
      <c r="R134" s="20" t="n"/>
      <c r="S134" s="20" t="n"/>
      <c r="T134" s="20" t="n"/>
    </row>
    <row r="135" ht="18.75" customHeight="1">
      <c r="A135" s="12" t="n"/>
      <c r="B135" s="12" t="n"/>
      <c r="C135" s="12" t="n"/>
      <c r="D135" s="12" t="n"/>
      <c r="E135" s="12" t="n"/>
      <c r="F135" s="12" t="n"/>
      <c r="G135" s="12" t="n"/>
      <c r="H135" s="14">
        <f>IFERROR(VLOOKUP($B135,$A$25:$N$54,7,FALSE),"")</f>
        <v/>
      </c>
      <c r="I135" s="15">
        <f>IF($H135="Minor",1,IF($H135="Moderate",2,IF($H135="Major",3,IF($H135="Critical",4,""))))</f>
        <v/>
      </c>
      <c r="J135" s="16" t="n"/>
      <c r="K135" s="16" t="n"/>
      <c r="L135" s="15">
        <f>IF(OR($G135="Exact TP",$G135="Equivalent TP"),1,0)</f>
        <v/>
      </c>
      <c r="M135" s="15">
        <f>IF(OR($G135="FP Extra",$G135="Harmful FP"),1,0)</f>
        <v/>
      </c>
      <c r="N135" s="15">
        <f>IF(OR($G135="FN",$G135="Partial"),1,0)</f>
        <v/>
      </c>
      <c r="O135" s="15">
        <f>IF($L135=1,$I135,0)</f>
        <v/>
      </c>
      <c r="P135" s="15">
        <f>IF($M135=1,$I135,0)</f>
        <v/>
      </c>
      <c r="Q135" s="15">
        <f>IF($N135=1,$I135,0)</f>
        <v/>
      </c>
      <c r="R135" s="20" t="n"/>
      <c r="S135" s="20" t="n"/>
      <c r="T135" s="20" t="n"/>
    </row>
    <row r="136" ht="18.75" customHeight="1">
      <c r="A136" s="12" t="n"/>
      <c r="B136" s="12" t="n"/>
      <c r="C136" s="12" t="n"/>
      <c r="D136" s="12" t="n"/>
      <c r="E136" s="12" t="n"/>
      <c r="F136" s="12" t="n"/>
      <c r="G136" s="12" t="n"/>
      <c r="H136" s="14">
        <f>IFERROR(VLOOKUP($B136,$A$25:$N$54,7,FALSE),"")</f>
        <v/>
      </c>
      <c r="I136" s="15">
        <f>IF($H136="Minor",1,IF($H136="Moderate",2,IF($H136="Major",3,IF($H136="Critical",4,""))))</f>
        <v/>
      </c>
      <c r="J136" s="16" t="n"/>
      <c r="K136" s="16" t="n"/>
      <c r="L136" s="15">
        <f>IF(OR($G136="Exact TP",$G136="Equivalent TP"),1,0)</f>
        <v/>
      </c>
      <c r="M136" s="15">
        <f>IF(OR($G136="FP Extra",$G136="Harmful FP"),1,0)</f>
        <v/>
      </c>
      <c r="N136" s="15">
        <f>IF(OR($G136="FN",$G136="Partial"),1,0)</f>
        <v/>
      </c>
      <c r="O136" s="15">
        <f>IF($L136=1,$I136,0)</f>
        <v/>
      </c>
      <c r="P136" s="15">
        <f>IF($M136=1,$I136,0)</f>
        <v/>
      </c>
      <c r="Q136" s="15">
        <f>IF($N136=1,$I136,0)</f>
        <v/>
      </c>
      <c r="R136" s="20" t="n"/>
      <c r="S136" s="20" t="n"/>
      <c r="T136" s="20" t="n"/>
    </row>
    <row r="137" ht="18.75" customHeight="1">
      <c r="A137" s="12" t="n"/>
      <c r="B137" s="12" t="n"/>
      <c r="C137" s="12" t="n"/>
      <c r="D137" s="12" t="n"/>
      <c r="E137" s="12" t="n"/>
      <c r="F137" s="12" t="n"/>
      <c r="G137" s="12" t="n"/>
      <c r="H137" s="14">
        <f>IFERROR(VLOOKUP($B137,$A$25:$N$54,7,FALSE),"")</f>
        <v/>
      </c>
      <c r="I137" s="15">
        <f>IF($H137="Minor",1,IF($H137="Moderate",2,IF($H137="Major",3,IF($H137="Critical",4,""))))</f>
        <v/>
      </c>
      <c r="J137" s="16" t="n"/>
      <c r="K137" s="16" t="n"/>
      <c r="L137" s="15">
        <f>IF(OR($G137="Exact TP",$G137="Equivalent TP"),1,0)</f>
        <v/>
      </c>
      <c r="M137" s="15">
        <f>IF(OR($G137="FP Extra",$G137="Harmful FP"),1,0)</f>
        <v/>
      </c>
      <c r="N137" s="15">
        <f>IF(OR($G137="FN",$G137="Partial"),1,0)</f>
        <v/>
      </c>
      <c r="O137" s="15">
        <f>IF($L137=1,$I137,0)</f>
        <v/>
      </c>
      <c r="P137" s="15">
        <f>IF($M137=1,$I137,0)</f>
        <v/>
      </c>
      <c r="Q137" s="15">
        <f>IF($N137=1,$I137,0)</f>
        <v/>
      </c>
      <c r="R137" s="20" t="n"/>
      <c r="S137" s="20" t="n"/>
      <c r="T137" s="20" t="n"/>
    </row>
    <row r="138" ht="18.75" customHeight="1">
      <c r="A138" s="12" t="n"/>
      <c r="B138" s="12" t="n"/>
      <c r="C138" s="12" t="n"/>
      <c r="D138" s="12" t="n"/>
      <c r="E138" s="12" t="n"/>
      <c r="F138" s="12" t="n"/>
      <c r="G138" s="12" t="n"/>
      <c r="H138" s="14">
        <f>IFERROR(VLOOKUP($B138,$A$25:$N$54,7,FALSE),"")</f>
        <v/>
      </c>
      <c r="I138" s="15">
        <f>IF($H138="Minor",1,IF($H138="Moderate",2,IF($H138="Major",3,IF($H138="Critical",4,""))))</f>
        <v/>
      </c>
      <c r="J138" s="16" t="n"/>
      <c r="K138" s="16" t="n"/>
      <c r="L138" s="15">
        <f>IF(OR($G138="Exact TP",$G138="Equivalent TP"),1,0)</f>
        <v/>
      </c>
      <c r="M138" s="15">
        <f>IF(OR($G138="FP Extra",$G138="Harmful FP"),1,0)</f>
        <v/>
      </c>
      <c r="N138" s="15">
        <f>IF(OR($G138="FN",$G138="Partial"),1,0)</f>
        <v/>
      </c>
      <c r="O138" s="15">
        <f>IF($L138=1,$I138,0)</f>
        <v/>
      </c>
      <c r="P138" s="15">
        <f>IF($M138=1,$I138,0)</f>
        <v/>
      </c>
      <c r="Q138" s="15">
        <f>IF($N138=1,$I138,0)</f>
        <v/>
      </c>
      <c r="R138" s="20" t="n"/>
      <c r="S138" s="20" t="n"/>
      <c r="T138" s="20" t="n"/>
    </row>
    <row r="139" ht="18.75" customHeight="1">
      <c r="A139" s="12" t="n"/>
      <c r="B139" s="12" t="n"/>
      <c r="C139" s="12" t="n"/>
      <c r="D139" s="12" t="n"/>
      <c r="E139" s="12" t="n"/>
      <c r="F139" s="12" t="n"/>
      <c r="G139" s="12" t="n"/>
      <c r="H139" s="14">
        <f>IFERROR(VLOOKUP($B139,$A$25:$N$54,7,FALSE),"")</f>
        <v/>
      </c>
      <c r="I139" s="15">
        <f>IF($H139="Minor",1,IF($H139="Moderate",2,IF($H139="Major",3,IF($H139="Critical",4,""))))</f>
        <v/>
      </c>
      <c r="J139" s="16" t="n"/>
      <c r="K139" s="16" t="n"/>
      <c r="L139" s="15">
        <f>IF(OR($G139="Exact TP",$G139="Equivalent TP"),1,0)</f>
        <v/>
      </c>
      <c r="M139" s="15">
        <f>IF(OR($G139="FP Extra",$G139="Harmful FP"),1,0)</f>
        <v/>
      </c>
      <c r="N139" s="15">
        <f>IF(OR($G139="FN",$G139="Partial"),1,0)</f>
        <v/>
      </c>
      <c r="O139" s="15">
        <f>IF($L139=1,$I139,0)</f>
        <v/>
      </c>
      <c r="P139" s="15">
        <f>IF($M139=1,$I139,0)</f>
        <v/>
      </c>
      <c r="Q139" s="15">
        <f>IF($N139=1,$I139,0)</f>
        <v/>
      </c>
      <c r="R139" s="20" t="n"/>
      <c r="S139" s="20" t="n"/>
      <c r="T139" s="20" t="n"/>
    </row>
    <row r="140" ht="18.75" customHeight="1">
      <c r="A140" s="12" t="n"/>
      <c r="B140" s="12" t="n"/>
      <c r="C140" s="12" t="n"/>
      <c r="D140" s="12" t="n"/>
      <c r="E140" s="12" t="n"/>
      <c r="F140" s="12" t="n"/>
      <c r="G140" s="12" t="n"/>
      <c r="H140" s="14">
        <f>IFERROR(VLOOKUP($B140,$A$25:$N$54,7,FALSE),"")</f>
        <v/>
      </c>
      <c r="I140" s="15">
        <f>IF($H140="Minor",1,IF($H140="Moderate",2,IF($H140="Major",3,IF($H140="Critical",4,""))))</f>
        <v/>
      </c>
      <c r="J140" s="16" t="n"/>
      <c r="K140" s="16" t="n"/>
      <c r="L140" s="15">
        <f>IF(OR($G140="Exact TP",$G140="Equivalent TP"),1,0)</f>
        <v/>
      </c>
      <c r="M140" s="15">
        <f>IF(OR($G140="FP Extra",$G140="Harmful FP"),1,0)</f>
        <v/>
      </c>
      <c r="N140" s="15">
        <f>IF(OR($G140="FN",$G140="Partial"),1,0)</f>
        <v/>
      </c>
      <c r="O140" s="15">
        <f>IF($L140=1,$I140,0)</f>
        <v/>
      </c>
      <c r="P140" s="15">
        <f>IF($M140=1,$I140,0)</f>
        <v/>
      </c>
      <c r="Q140" s="15">
        <f>IF($N140=1,$I140,0)</f>
        <v/>
      </c>
      <c r="R140" s="20" t="n"/>
      <c r="S140" s="20" t="n"/>
      <c r="T140" s="20" t="n"/>
    </row>
    <row r="141" ht="18.75" customHeight="1">
      <c r="A141" s="12" t="n"/>
      <c r="B141" s="12" t="n"/>
      <c r="C141" s="12" t="n"/>
      <c r="D141" s="12" t="n"/>
      <c r="E141" s="12" t="n"/>
      <c r="F141" s="12" t="n"/>
      <c r="G141" s="12" t="n"/>
      <c r="H141" s="14">
        <f>IFERROR(VLOOKUP($B141,$A$25:$N$54,7,FALSE),"")</f>
        <v/>
      </c>
      <c r="I141" s="15">
        <f>IF($H141="Minor",1,IF($H141="Moderate",2,IF($H141="Major",3,IF($H141="Critical",4,""))))</f>
        <v/>
      </c>
      <c r="J141" s="16" t="n"/>
      <c r="K141" s="16" t="n"/>
      <c r="L141" s="15">
        <f>IF(OR($G141="Exact TP",$G141="Equivalent TP"),1,0)</f>
        <v/>
      </c>
      <c r="M141" s="15">
        <f>IF(OR($G141="FP Extra",$G141="Harmful FP"),1,0)</f>
        <v/>
      </c>
      <c r="N141" s="15">
        <f>IF(OR($G141="FN",$G141="Partial"),1,0)</f>
        <v/>
      </c>
      <c r="O141" s="15">
        <f>IF($L141=1,$I141,0)</f>
        <v/>
      </c>
      <c r="P141" s="15">
        <f>IF($M141=1,$I141,0)</f>
        <v/>
      </c>
      <c r="Q141" s="15">
        <f>IF($N141=1,$I141,0)</f>
        <v/>
      </c>
      <c r="R141" s="20" t="n"/>
      <c r="S141" s="20" t="n"/>
      <c r="T141" s="20" t="n"/>
    </row>
    <row r="142" ht="18.75" customHeight="1">
      <c r="A142" s="12" t="n"/>
      <c r="B142" s="12" t="n"/>
      <c r="C142" s="12" t="n"/>
      <c r="D142" s="12" t="n"/>
      <c r="E142" s="12" t="n"/>
      <c r="F142" s="12" t="n"/>
      <c r="G142" s="12" t="n"/>
      <c r="H142" s="14">
        <f>IFERROR(VLOOKUP($B142,$A$25:$N$54,7,FALSE),"")</f>
        <v/>
      </c>
      <c r="I142" s="15">
        <f>IF($H142="Minor",1,IF($H142="Moderate",2,IF($H142="Major",3,IF($H142="Critical",4,""))))</f>
        <v/>
      </c>
      <c r="J142" s="16" t="n"/>
      <c r="K142" s="16" t="n"/>
      <c r="L142" s="15">
        <f>IF(OR($G142="Exact TP",$G142="Equivalent TP"),1,0)</f>
        <v/>
      </c>
      <c r="M142" s="15">
        <f>IF(OR($G142="FP Extra",$G142="Harmful FP"),1,0)</f>
        <v/>
      </c>
      <c r="N142" s="15">
        <f>IF(OR($G142="FN",$G142="Partial"),1,0)</f>
        <v/>
      </c>
      <c r="O142" s="15">
        <f>IF($L142=1,$I142,0)</f>
        <v/>
      </c>
      <c r="P142" s="15">
        <f>IF($M142=1,$I142,0)</f>
        <v/>
      </c>
      <c r="Q142" s="15">
        <f>IF($N142=1,$I142,0)</f>
        <v/>
      </c>
      <c r="R142" s="20" t="n"/>
      <c r="S142" s="20" t="n"/>
      <c r="T142" s="20" t="n"/>
    </row>
    <row r="143" ht="18.75" customHeight="1">
      <c r="A143" s="12" t="n"/>
      <c r="B143" s="12" t="n"/>
      <c r="C143" s="12" t="n"/>
      <c r="D143" s="12" t="n"/>
      <c r="E143" s="12" t="n"/>
      <c r="F143" s="12" t="n"/>
      <c r="G143" s="12" t="n"/>
      <c r="H143" s="14">
        <f>IFERROR(VLOOKUP($B143,$A$25:$N$54,7,FALSE),"")</f>
        <v/>
      </c>
      <c r="I143" s="15">
        <f>IF($H143="Minor",1,IF($H143="Moderate",2,IF($H143="Major",3,IF($H143="Critical",4,""))))</f>
        <v/>
      </c>
      <c r="J143" s="16" t="n"/>
      <c r="K143" s="16" t="n"/>
      <c r="L143" s="15">
        <f>IF(OR($G143="Exact TP",$G143="Equivalent TP"),1,0)</f>
        <v/>
      </c>
      <c r="M143" s="15">
        <f>IF(OR($G143="FP Extra",$G143="Harmful FP"),1,0)</f>
        <v/>
      </c>
      <c r="N143" s="15">
        <f>IF(OR($G143="FN",$G143="Partial"),1,0)</f>
        <v/>
      </c>
      <c r="O143" s="15">
        <f>IF($L143=1,$I143,0)</f>
        <v/>
      </c>
      <c r="P143" s="15">
        <f>IF($M143=1,$I143,0)</f>
        <v/>
      </c>
      <c r="Q143" s="15">
        <f>IF($N143=1,$I143,0)</f>
        <v/>
      </c>
      <c r="R143" s="20" t="n"/>
      <c r="S143" s="20" t="n"/>
      <c r="T143" s="20" t="n"/>
    </row>
    <row r="144" ht="18.75" customHeight="1">
      <c r="A144" s="12" t="n"/>
      <c r="B144" s="12" t="n"/>
      <c r="C144" s="12" t="n"/>
      <c r="D144" s="12" t="n"/>
      <c r="E144" s="12" t="n"/>
      <c r="F144" s="12" t="n"/>
      <c r="G144" s="12" t="n"/>
      <c r="H144" s="14">
        <f>IFERROR(VLOOKUP($B144,$A$25:$N$54,7,FALSE),"")</f>
        <v/>
      </c>
      <c r="I144" s="15">
        <f>IF($H144="Minor",1,IF($H144="Moderate",2,IF($H144="Major",3,IF($H144="Critical",4,""))))</f>
        <v/>
      </c>
      <c r="J144" s="16" t="n"/>
      <c r="K144" s="16" t="n"/>
      <c r="L144" s="15">
        <f>IF(OR($G144="Exact TP",$G144="Equivalent TP"),1,0)</f>
        <v/>
      </c>
      <c r="M144" s="15">
        <f>IF(OR($G144="FP Extra",$G144="Harmful FP"),1,0)</f>
        <v/>
      </c>
      <c r="N144" s="15">
        <f>IF(OR($G144="FN",$G144="Partial"),1,0)</f>
        <v/>
      </c>
      <c r="O144" s="15">
        <f>IF($L144=1,$I144,0)</f>
        <v/>
      </c>
      <c r="P144" s="15">
        <f>IF($M144=1,$I144,0)</f>
        <v/>
      </c>
      <c r="Q144" s="15">
        <f>IF($N144=1,$I144,0)</f>
        <v/>
      </c>
      <c r="R144" s="20" t="n"/>
      <c r="S144" s="20" t="n"/>
      <c r="T144" s="20" t="n"/>
    </row>
    <row r="145" ht="18.75" customHeight="1">
      <c r="A145" s="12" t="n"/>
      <c r="B145" s="12" t="n"/>
      <c r="C145" s="12" t="n"/>
      <c r="D145" s="12" t="n"/>
      <c r="E145" s="12" t="n"/>
      <c r="F145" s="12" t="n"/>
      <c r="G145" s="12" t="n"/>
      <c r="H145" s="14">
        <f>IFERROR(VLOOKUP($B145,$A$25:$N$54,7,FALSE),"")</f>
        <v/>
      </c>
      <c r="I145" s="15">
        <f>IF($H145="Minor",1,IF($H145="Moderate",2,IF($H145="Major",3,IF($H145="Critical",4,""))))</f>
        <v/>
      </c>
      <c r="J145" s="16" t="n"/>
      <c r="K145" s="16" t="n"/>
      <c r="L145" s="15">
        <f>IF(OR($G145="Exact TP",$G145="Equivalent TP"),1,0)</f>
        <v/>
      </c>
      <c r="M145" s="15">
        <f>IF(OR($G145="FP Extra",$G145="Harmful FP"),1,0)</f>
        <v/>
      </c>
      <c r="N145" s="15">
        <f>IF(OR($G145="FN",$G145="Partial"),1,0)</f>
        <v/>
      </c>
      <c r="O145" s="15">
        <f>IF($L145=1,$I145,0)</f>
        <v/>
      </c>
      <c r="P145" s="15">
        <f>IF($M145=1,$I145,0)</f>
        <v/>
      </c>
      <c r="Q145" s="15">
        <f>IF($N145=1,$I145,0)</f>
        <v/>
      </c>
      <c r="R145" s="20" t="n"/>
      <c r="S145" s="20" t="n"/>
      <c r="T145" s="20" t="n"/>
    </row>
    <row r="146" ht="18.75" customHeight="1">
      <c r="A146" s="12" t="n"/>
      <c r="B146" s="12" t="n"/>
      <c r="C146" s="12" t="n"/>
      <c r="D146" s="12" t="n"/>
      <c r="E146" s="12" t="n"/>
      <c r="F146" s="12" t="n"/>
      <c r="G146" s="12" t="n"/>
      <c r="H146" s="14">
        <f>IFERROR(VLOOKUP($B146,$A$25:$N$54,7,FALSE),"")</f>
        <v/>
      </c>
      <c r="I146" s="15">
        <f>IF($H146="Minor",1,IF($H146="Moderate",2,IF($H146="Major",3,IF($H146="Critical",4,""))))</f>
        <v/>
      </c>
      <c r="J146" s="16" t="n"/>
      <c r="K146" s="16" t="n"/>
      <c r="L146" s="15">
        <f>IF(OR($G146="Exact TP",$G146="Equivalent TP"),1,0)</f>
        <v/>
      </c>
      <c r="M146" s="15">
        <f>IF(OR($G146="FP Extra",$G146="Harmful FP"),1,0)</f>
        <v/>
      </c>
      <c r="N146" s="15">
        <f>IF(OR($G146="FN",$G146="Partial"),1,0)</f>
        <v/>
      </c>
      <c r="O146" s="15">
        <f>IF($L146=1,$I146,0)</f>
        <v/>
      </c>
      <c r="P146" s="15">
        <f>IF($M146=1,$I146,0)</f>
        <v/>
      </c>
      <c r="Q146" s="15">
        <f>IF($N146=1,$I146,0)</f>
        <v/>
      </c>
      <c r="R146" s="20" t="n"/>
      <c r="S146" s="20" t="n"/>
      <c r="T146" s="20" t="n"/>
    </row>
    <row r="147" ht="18.75" customHeight="1">
      <c r="A147" s="12" t="n"/>
      <c r="B147" s="12" t="n"/>
      <c r="C147" s="12" t="n"/>
      <c r="D147" s="12" t="n"/>
      <c r="E147" s="12" t="n"/>
      <c r="F147" s="12" t="n"/>
      <c r="G147" s="12" t="n"/>
      <c r="H147" s="14">
        <f>IFERROR(VLOOKUP($B147,$A$25:$N$54,7,FALSE),"")</f>
        <v/>
      </c>
      <c r="I147" s="15">
        <f>IF($H147="Minor",1,IF($H147="Moderate",2,IF($H147="Major",3,IF($H147="Critical",4,""))))</f>
        <v/>
      </c>
      <c r="J147" s="16" t="n"/>
      <c r="K147" s="16" t="n"/>
      <c r="L147" s="15">
        <f>IF(OR($G147="Exact TP",$G147="Equivalent TP"),1,0)</f>
        <v/>
      </c>
      <c r="M147" s="15">
        <f>IF(OR($G147="FP Extra",$G147="Harmful FP"),1,0)</f>
        <v/>
      </c>
      <c r="N147" s="15">
        <f>IF(OR($G147="FN",$G147="Partial"),1,0)</f>
        <v/>
      </c>
      <c r="O147" s="15">
        <f>IF($L147=1,$I147,0)</f>
        <v/>
      </c>
      <c r="P147" s="15">
        <f>IF($M147=1,$I147,0)</f>
        <v/>
      </c>
      <c r="Q147" s="15">
        <f>IF($N147=1,$I147,0)</f>
        <v/>
      </c>
      <c r="R147" s="20" t="n"/>
      <c r="S147" s="20" t="n"/>
      <c r="T147" s="20" t="n"/>
    </row>
    <row r="148" ht="18.75" customHeight="1">
      <c r="A148" s="12" t="n"/>
      <c r="B148" s="12" t="n"/>
      <c r="C148" s="12" t="n"/>
      <c r="D148" s="12" t="n"/>
      <c r="E148" s="12" t="n"/>
      <c r="F148" s="12" t="n"/>
      <c r="G148" s="12" t="n"/>
      <c r="H148" s="14">
        <f>IFERROR(VLOOKUP($B148,$A$25:$N$54,7,FALSE),"")</f>
        <v/>
      </c>
      <c r="I148" s="15">
        <f>IF($H148="Minor",1,IF($H148="Moderate",2,IF($H148="Major",3,IF($H148="Critical",4,""))))</f>
        <v/>
      </c>
      <c r="J148" s="16" t="n"/>
      <c r="K148" s="16" t="n"/>
      <c r="L148" s="15">
        <f>IF(OR($G148="Exact TP",$G148="Equivalent TP"),1,0)</f>
        <v/>
      </c>
      <c r="M148" s="15">
        <f>IF(OR($G148="FP Extra",$G148="Harmful FP"),1,0)</f>
        <v/>
      </c>
      <c r="N148" s="15">
        <f>IF(OR($G148="FN",$G148="Partial"),1,0)</f>
        <v/>
      </c>
      <c r="O148" s="15">
        <f>IF($L148=1,$I148,0)</f>
        <v/>
      </c>
      <c r="P148" s="15">
        <f>IF($M148=1,$I148,0)</f>
        <v/>
      </c>
      <c r="Q148" s="15">
        <f>IF($N148=1,$I148,0)</f>
        <v/>
      </c>
      <c r="R148" s="20" t="n"/>
      <c r="S148" s="20" t="n"/>
      <c r="T148" s="20" t="n"/>
    </row>
    <row r="149" ht="18.75" customHeight="1">
      <c r="A149" s="12" t="n"/>
      <c r="B149" s="12" t="n"/>
      <c r="C149" s="12" t="n"/>
      <c r="D149" s="12" t="n"/>
      <c r="E149" s="12" t="n"/>
      <c r="F149" s="12" t="n"/>
      <c r="G149" s="12" t="n"/>
      <c r="H149" s="14">
        <f>IFERROR(VLOOKUP($B149,$A$25:$N$54,7,FALSE),"")</f>
        <v/>
      </c>
      <c r="I149" s="15">
        <f>IF($H149="Minor",1,IF($H149="Moderate",2,IF($H149="Major",3,IF($H149="Critical",4,""))))</f>
        <v/>
      </c>
      <c r="J149" s="16" t="n"/>
      <c r="K149" s="16" t="n"/>
      <c r="L149" s="15">
        <f>IF(OR($G149="Exact TP",$G149="Equivalent TP"),1,0)</f>
        <v/>
      </c>
      <c r="M149" s="15">
        <f>IF(OR($G149="FP Extra",$G149="Harmful FP"),1,0)</f>
        <v/>
      </c>
      <c r="N149" s="15">
        <f>IF(OR($G149="FN",$G149="Partial"),1,0)</f>
        <v/>
      </c>
      <c r="O149" s="15">
        <f>IF($L149=1,$I149,0)</f>
        <v/>
      </c>
      <c r="P149" s="15">
        <f>IF($M149=1,$I149,0)</f>
        <v/>
      </c>
      <c r="Q149" s="15">
        <f>IF($N149=1,$I149,0)</f>
        <v/>
      </c>
      <c r="R149" s="20" t="n"/>
      <c r="S149" s="20" t="n"/>
      <c r="T149" s="20" t="n"/>
    </row>
    <row r="150" ht="18.75" customHeight="1">
      <c r="A150" s="12" t="n"/>
      <c r="B150" s="12" t="n"/>
      <c r="C150" s="12" t="n"/>
      <c r="D150" s="12" t="n"/>
      <c r="E150" s="12" t="n"/>
      <c r="F150" s="12" t="n"/>
      <c r="G150" s="12" t="n"/>
      <c r="H150" s="14">
        <f>IFERROR(VLOOKUP($B150,$A$25:$N$54,7,FALSE),"")</f>
        <v/>
      </c>
      <c r="I150" s="15">
        <f>IF($H150="Minor",1,IF($H150="Moderate",2,IF($H150="Major",3,IF($H150="Critical",4,""))))</f>
        <v/>
      </c>
      <c r="J150" s="16" t="n"/>
      <c r="K150" s="16" t="n"/>
      <c r="L150" s="15">
        <f>IF(OR($G150="Exact TP",$G150="Equivalent TP"),1,0)</f>
        <v/>
      </c>
      <c r="M150" s="15">
        <f>IF(OR($G150="FP Extra",$G150="Harmful FP"),1,0)</f>
        <v/>
      </c>
      <c r="N150" s="15">
        <f>IF(OR($G150="FN",$G150="Partial"),1,0)</f>
        <v/>
      </c>
      <c r="O150" s="15">
        <f>IF($L150=1,$I150,0)</f>
        <v/>
      </c>
      <c r="P150" s="15">
        <f>IF($M150=1,$I150,0)</f>
        <v/>
      </c>
      <c r="Q150" s="15">
        <f>IF($N150=1,$I150,0)</f>
        <v/>
      </c>
      <c r="R150" s="20" t="n"/>
      <c r="S150" s="20" t="n"/>
      <c r="T150" s="20" t="n"/>
    </row>
    <row r="151" ht="18.75" customHeight="1">
      <c r="A151" s="12" t="n"/>
      <c r="B151" s="12" t="n"/>
      <c r="C151" s="12" t="n"/>
      <c r="D151" s="12" t="n"/>
      <c r="E151" s="12" t="n"/>
      <c r="F151" s="12" t="n"/>
      <c r="G151" s="12" t="n"/>
      <c r="H151" s="14">
        <f>IFERROR(VLOOKUP($B151,$A$25:$N$54,7,FALSE),"")</f>
        <v/>
      </c>
      <c r="I151" s="15">
        <f>IF($H151="Minor",1,IF($H151="Moderate",2,IF($H151="Major",3,IF($H151="Critical",4,""))))</f>
        <v/>
      </c>
      <c r="J151" s="16" t="n"/>
      <c r="K151" s="16" t="n"/>
      <c r="L151" s="15">
        <f>IF(OR($G151="Exact TP",$G151="Equivalent TP"),1,0)</f>
        <v/>
      </c>
      <c r="M151" s="15">
        <f>IF(OR($G151="FP Extra",$G151="Harmful FP"),1,0)</f>
        <v/>
      </c>
      <c r="N151" s="15">
        <f>IF(OR($G151="FN",$G151="Partial"),1,0)</f>
        <v/>
      </c>
      <c r="O151" s="15">
        <f>IF($L151=1,$I151,0)</f>
        <v/>
      </c>
      <c r="P151" s="15">
        <f>IF($M151=1,$I151,0)</f>
        <v/>
      </c>
      <c r="Q151" s="15">
        <f>IF($N151=1,$I151,0)</f>
        <v/>
      </c>
      <c r="R151" s="20" t="n"/>
      <c r="S151" s="20" t="n"/>
      <c r="T151" s="20" t="n"/>
    </row>
    <row r="152" ht="18.75" customHeight="1">
      <c r="A152" s="12" t="n"/>
      <c r="B152" s="12" t="n"/>
      <c r="C152" s="12" t="n"/>
      <c r="D152" s="12" t="n"/>
      <c r="E152" s="12" t="n"/>
      <c r="F152" s="12" t="n"/>
      <c r="G152" s="12" t="n"/>
      <c r="H152" s="14">
        <f>IFERROR(VLOOKUP($B152,$A$25:$N$54,7,FALSE),"")</f>
        <v/>
      </c>
      <c r="I152" s="15">
        <f>IF($H152="Minor",1,IF($H152="Moderate",2,IF($H152="Major",3,IF($H152="Critical",4,""))))</f>
        <v/>
      </c>
      <c r="J152" s="16" t="n"/>
      <c r="K152" s="16" t="n"/>
      <c r="L152" s="15">
        <f>IF(OR($G152="Exact TP",$G152="Equivalent TP"),1,0)</f>
        <v/>
      </c>
      <c r="M152" s="15">
        <f>IF(OR($G152="FP Extra",$G152="Harmful FP"),1,0)</f>
        <v/>
      </c>
      <c r="N152" s="15">
        <f>IF(OR($G152="FN",$G152="Partial"),1,0)</f>
        <v/>
      </c>
      <c r="O152" s="15">
        <f>IF($L152=1,$I152,0)</f>
        <v/>
      </c>
      <c r="P152" s="15">
        <f>IF($M152=1,$I152,0)</f>
        <v/>
      </c>
      <c r="Q152" s="15">
        <f>IF($N152=1,$I152,0)</f>
        <v/>
      </c>
      <c r="R152" s="20" t="n"/>
      <c r="S152" s="20" t="n"/>
      <c r="T152" s="20" t="n"/>
    </row>
    <row r="153" ht="18.75" customHeight="1">
      <c r="A153" s="12" t="n"/>
      <c r="B153" s="12" t="n"/>
      <c r="C153" s="12" t="n"/>
      <c r="D153" s="12" t="n"/>
      <c r="E153" s="12" t="n"/>
      <c r="F153" s="12" t="n"/>
      <c r="G153" s="12" t="n"/>
      <c r="H153" s="14">
        <f>IFERROR(VLOOKUP($B153,$A$25:$N$54,7,FALSE),"")</f>
        <v/>
      </c>
      <c r="I153" s="15">
        <f>IF($H153="Minor",1,IF($H153="Moderate",2,IF($H153="Major",3,IF($H153="Critical",4,""))))</f>
        <v/>
      </c>
      <c r="J153" s="16" t="n"/>
      <c r="K153" s="16" t="n"/>
      <c r="L153" s="15">
        <f>IF(OR($G153="Exact TP",$G153="Equivalent TP"),1,0)</f>
        <v/>
      </c>
      <c r="M153" s="15">
        <f>IF(OR($G153="FP Extra",$G153="Harmful FP"),1,0)</f>
        <v/>
      </c>
      <c r="N153" s="15">
        <f>IF(OR($G153="FN",$G153="Partial"),1,0)</f>
        <v/>
      </c>
      <c r="O153" s="15">
        <f>IF($L153=1,$I153,0)</f>
        <v/>
      </c>
      <c r="P153" s="15">
        <f>IF($M153=1,$I153,0)</f>
        <v/>
      </c>
      <c r="Q153" s="15">
        <f>IF($N153=1,$I153,0)</f>
        <v/>
      </c>
      <c r="R153" s="20" t="n"/>
      <c r="S153" s="20" t="n"/>
      <c r="T153" s="20" t="n"/>
    </row>
    <row r="154" ht="18.75" customHeight="1">
      <c r="A154" s="12" t="n"/>
      <c r="B154" s="12" t="n"/>
      <c r="C154" s="12" t="n"/>
      <c r="D154" s="12" t="n"/>
      <c r="E154" s="12" t="n"/>
      <c r="F154" s="12" t="n"/>
      <c r="G154" s="12" t="n"/>
      <c r="H154" s="14">
        <f>IFERROR(VLOOKUP($B154,$A$25:$N$54,7,FALSE),"")</f>
        <v/>
      </c>
      <c r="I154" s="15">
        <f>IF($H154="Minor",1,IF($H154="Moderate",2,IF($H154="Major",3,IF($H154="Critical",4,""))))</f>
        <v/>
      </c>
      <c r="J154" s="16" t="n"/>
      <c r="K154" s="16" t="n"/>
      <c r="L154" s="15">
        <f>IF(OR($G154="Exact TP",$G154="Equivalent TP"),1,0)</f>
        <v/>
      </c>
      <c r="M154" s="15">
        <f>IF(OR($G154="FP Extra",$G154="Harmful FP"),1,0)</f>
        <v/>
      </c>
      <c r="N154" s="15">
        <f>IF(OR($G154="FN",$G154="Partial"),1,0)</f>
        <v/>
      </c>
      <c r="O154" s="15">
        <f>IF($L154=1,$I154,0)</f>
        <v/>
      </c>
      <c r="P154" s="15">
        <f>IF($M154=1,$I154,0)</f>
        <v/>
      </c>
      <c r="Q154" s="15">
        <f>IF($N154=1,$I154,0)</f>
        <v/>
      </c>
      <c r="R154" s="20" t="n"/>
      <c r="S154" s="20" t="n"/>
      <c r="T154" s="20" t="n"/>
    </row>
    <row r="155" ht="18.75" customHeight="1">
      <c r="A155" s="12" t="n"/>
      <c r="B155" s="12" t="n"/>
      <c r="C155" s="12" t="n"/>
      <c r="D155" s="12" t="n"/>
      <c r="E155" s="12" t="n"/>
      <c r="F155" s="12" t="n"/>
      <c r="G155" s="12" t="n"/>
      <c r="H155" s="14">
        <f>IFERROR(VLOOKUP($B155,$A$25:$N$54,7,FALSE),"")</f>
        <v/>
      </c>
      <c r="I155" s="15">
        <f>IF($H155="Minor",1,IF($H155="Moderate",2,IF($H155="Major",3,IF($H155="Critical",4,""))))</f>
        <v/>
      </c>
      <c r="J155" s="16" t="n"/>
      <c r="K155" s="16" t="n"/>
      <c r="L155" s="15">
        <f>IF(OR($G155="Exact TP",$G155="Equivalent TP"),1,0)</f>
        <v/>
      </c>
      <c r="M155" s="15">
        <f>IF(OR($G155="FP Extra",$G155="Harmful FP"),1,0)</f>
        <v/>
      </c>
      <c r="N155" s="15">
        <f>IF(OR($G155="FN",$G155="Partial"),1,0)</f>
        <v/>
      </c>
      <c r="O155" s="15">
        <f>IF($L155=1,$I155,0)</f>
        <v/>
      </c>
      <c r="P155" s="15">
        <f>IF($M155=1,$I155,0)</f>
        <v/>
      </c>
      <c r="Q155" s="15">
        <f>IF($N155=1,$I155,0)</f>
        <v/>
      </c>
      <c r="R155" s="20" t="n"/>
      <c r="S155" s="20" t="n"/>
      <c r="T155" s="20" t="n"/>
    </row>
    <row r="156" ht="18.75" customHeight="1">
      <c r="A156" s="12" t="n"/>
      <c r="B156" s="12" t="n"/>
      <c r="C156" s="12" t="n"/>
      <c r="D156" s="12" t="n"/>
      <c r="E156" s="12" t="n"/>
      <c r="F156" s="12" t="n"/>
      <c r="G156" s="12" t="n"/>
      <c r="H156" s="14">
        <f>IFERROR(VLOOKUP($B156,$A$25:$N$54,7,FALSE),"")</f>
        <v/>
      </c>
      <c r="I156" s="15">
        <f>IF($H156="Minor",1,IF($H156="Moderate",2,IF($H156="Major",3,IF($H156="Critical",4,""))))</f>
        <v/>
      </c>
      <c r="J156" s="16" t="n"/>
      <c r="K156" s="16" t="n"/>
      <c r="L156" s="15">
        <f>IF(OR($G156="Exact TP",$G156="Equivalent TP"),1,0)</f>
        <v/>
      </c>
      <c r="M156" s="15">
        <f>IF(OR($G156="FP Extra",$G156="Harmful FP"),1,0)</f>
        <v/>
      </c>
      <c r="N156" s="15">
        <f>IF(OR($G156="FN",$G156="Partial"),1,0)</f>
        <v/>
      </c>
      <c r="O156" s="15">
        <f>IF($L156=1,$I156,0)</f>
        <v/>
      </c>
      <c r="P156" s="15">
        <f>IF($M156=1,$I156,0)</f>
        <v/>
      </c>
      <c r="Q156" s="15">
        <f>IF($N156=1,$I156,0)</f>
        <v/>
      </c>
      <c r="R156" s="20" t="n"/>
      <c r="S156" s="20" t="n"/>
      <c r="T156" s="20" t="n"/>
    </row>
    <row r="157" ht="18.75" customHeight="1">
      <c r="A157" s="12" t="n"/>
      <c r="B157" s="12" t="n"/>
      <c r="C157" s="12" t="n"/>
      <c r="D157" s="12" t="n"/>
      <c r="E157" s="12" t="n"/>
      <c r="F157" s="12" t="n"/>
      <c r="G157" s="12" t="n"/>
      <c r="H157" s="14">
        <f>IFERROR(VLOOKUP($B157,$A$25:$N$54,7,FALSE),"")</f>
        <v/>
      </c>
      <c r="I157" s="15">
        <f>IF($H157="Minor",1,IF($H157="Moderate",2,IF($H157="Major",3,IF($H157="Critical",4,""))))</f>
        <v/>
      </c>
      <c r="J157" s="16" t="n"/>
      <c r="K157" s="16" t="n"/>
      <c r="L157" s="15">
        <f>IF(OR($G157="Exact TP",$G157="Equivalent TP"),1,0)</f>
        <v/>
      </c>
      <c r="M157" s="15">
        <f>IF(OR($G157="FP Extra",$G157="Harmful FP"),1,0)</f>
        <v/>
      </c>
      <c r="N157" s="15">
        <f>IF(OR($G157="FN",$G157="Partial"),1,0)</f>
        <v/>
      </c>
      <c r="O157" s="15">
        <f>IF($L157=1,$I157,0)</f>
        <v/>
      </c>
      <c r="P157" s="15">
        <f>IF($M157=1,$I157,0)</f>
        <v/>
      </c>
      <c r="Q157" s="15">
        <f>IF($N157=1,$I157,0)</f>
        <v/>
      </c>
      <c r="R157" s="20" t="n"/>
      <c r="S157" s="20" t="n"/>
      <c r="T157" s="20" t="n"/>
    </row>
    <row r="158" ht="18.75" customHeight="1">
      <c r="A158" s="12" t="n"/>
      <c r="B158" s="12" t="n"/>
      <c r="C158" s="12" t="n"/>
      <c r="D158" s="12" t="n"/>
      <c r="E158" s="12" t="n"/>
      <c r="F158" s="12" t="n"/>
      <c r="G158" s="12" t="n"/>
      <c r="H158" s="14">
        <f>IFERROR(VLOOKUP($B158,$A$25:$N$54,7,FALSE),"")</f>
        <v/>
      </c>
      <c r="I158" s="15">
        <f>IF($H158="Minor",1,IF($H158="Moderate",2,IF($H158="Major",3,IF($H158="Critical",4,""))))</f>
        <v/>
      </c>
      <c r="J158" s="16" t="n"/>
      <c r="K158" s="16" t="n"/>
      <c r="L158" s="15">
        <f>IF(OR($G158="Exact TP",$G158="Equivalent TP"),1,0)</f>
        <v/>
      </c>
      <c r="M158" s="15">
        <f>IF(OR($G158="FP Extra",$G158="Harmful FP"),1,0)</f>
        <v/>
      </c>
      <c r="N158" s="15">
        <f>IF(OR($G158="FN",$G158="Partial"),1,0)</f>
        <v/>
      </c>
      <c r="O158" s="15">
        <f>IF($L158=1,$I158,0)</f>
        <v/>
      </c>
      <c r="P158" s="15">
        <f>IF($M158=1,$I158,0)</f>
        <v/>
      </c>
      <c r="Q158" s="15">
        <f>IF($N158=1,$I158,0)</f>
        <v/>
      </c>
      <c r="R158" s="20" t="n"/>
      <c r="S158" s="20" t="n"/>
      <c r="T158" s="20" t="n"/>
    </row>
    <row r="159" ht="18.75" customHeight="1">
      <c r="A159" s="12" t="n"/>
      <c r="B159" s="12" t="n"/>
      <c r="C159" s="12" t="n"/>
      <c r="D159" s="12" t="n"/>
      <c r="E159" s="12" t="n"/>
      <c r="F159" s="12" t="n"/>
      <c r="G159" s="12" t="n"/>
      <c r="H159" s="14">
        <f>IFERROR(VLOOKUP($B159,$A$25:$N$54,7,FALSE),"")</f>
        <v/>
      </c>
      <c r="I159" s="15">
        <f>IF($H159="Minor",1,IF($H159="Moderate",2,IF($H159="Major",3,IF($H159="Critical",4,""))))</f>
        <v/>
      </c>
      <c r="J159" s="16" t="n"/>
      <c r="K159" s="16" t="n"/>
      <c r="L159" s="15">
        <f>IF(OR($G159="Exact TP",$G159="Equivalent TP"),1,0)</f>
        <v/>
      </c>
      <c r="M159" s="15">
        <f>IF(OR($G159="FP Extra",$G159="Harmful FP"),1,0)</f>
        <v/>
      </c>
      <c r="N159" s="15">
        <f>IF(OR($G159="FN",$G159="Partial"),1,0)</f>
        <v/>
      </c>
      <c r="O159" s="15">
        <f>IF($L159=1,$I159,0)</f>
        <v/>
      </c>
      <c r="P159" s="15">
        <f>IF($M159=1,$I159,0)</f>
        <v/>
      </c>
      <c r="Q159" s="15">
        <f>IF($N159=1,$I159,0)</f>
        <v/>
      </c>
      <c r="R159" s="20" t="n"/>
      <c r="S159" s="20" t="n"/>
      <c r="T159" s="20" t="n"/>
    </row>
    <row r="160" ht="18.75" customHeight="1">
      <c r="A160" s="12" t="n"/>
      <c r="B160" s="12" t="n"/>
      <c r="C160" s="12" t="n"/>
      <c r="D160" s="12" t="n"/>
      <c r="E160" s="12" t="n"/>
      <c r="F160" s="12" t="n"/>
      <c r="G160" s="12" t="n"/>
      <c r="H160" s="14">
        <f>IFERROR(VLOOKUP($B160,$A$25:$N$54,7,FALSE),"")</f>
        <v/>
      </c>
      <c r="I160" s="15">
        <f>IF($H160="Minor",1,IF($H160="Moderate",2,IF($H160="Major",3,IF($H160="Critical",4,""))))</f>
        <v/>
      </c>
      <c r="J160" s="16" t="n"/>
      <c r="K160" s="16" t="n"/>
      <c r="L160" s="15">
        <f>IF(OR($G160="Exact TP",$G160="Equivalent TP"),1,0)</f>
        <v/>
      </c>
      <c r="M160" s="15">
        <f>IF(OR($G160="FP Extra",$G160="Harmful FP"),1,0)</f>
        <v/>
      </c>
      <c r="N160" s="15">
        <f>IF(OR($G160="FN",$G160="Partial"),1,0)</f>
        <v/>
      </c>
      <c r="O160" s="15">
        <f>IF($L160=1,$I160,0)</f>
        <v/>
      </c>
      <c r="P160" s="15">
        <f>IF($M160=1,$I160,0)</f>
        <v/>
      </c>
      <c r="Q160" s="15">
        <f>IF($N160=1,$I160,0)</f>
        <v/>
      </c>
      <c r="R160" s="20" t="n"/>
      <c r="S160" s="20" t="n"/>
      <c r="T160" s="20" t="n"/>
    </row>
    <row r="161" ht="18.75" customHeight="1">
      <c r="A161" s="12" t="n"/>
      <c r="B161" s="12" t="n"/>
      <c r="C161" s="12" t="n"/>
      <c r="D161" s="12" t="n"/>
      <c r="E161" s="12" t="n"/>
      <c r="F161" s="12" t="n"/>
      <c r="G161" s="12" t="n"/>
      <c r="H161" s="14">
        <f>IFERROR(VLOOKUP($B161,$A$25:$N$54,7,FALSE),"")</f>
        <v/>
      </c>
      <c r="I161" s="15">
        <f>IF($H161="Minor",1,IF($H161="Moderate",2,IF($H161="Major",3,IF($H161="Critical",4,""))))</f>
        <v/>
      </c>
      <c r="J161" s="16" t="n"/>
      <c r="K161" s="16" t="n"/>
      <c r="L161" s="15">
        <f>IF(OR($G161="Exact TP",$G161="Equivalent TP"),1,0)</f>
        <v/>
      </c>
      <c r="M161" s="15">
        <f>IF(OR($G161="FP Extra",$G161="Harmful FP"),1,0)</f>
        <v/>
      </c>
      <c r="N161" s="15">
        <f>IF(OR($G161="FN",$G161="Partial"),1,0)</f>
        <v/>
      </c>
      <c r="O161" s="15">
        <f>IF($L161=1,$I161,0)</f>
        <v/>
      </c>
      <c r="P161" s="15">
        <f>IF($M161=1,$I161,0)</f>
        <v/>
      </c>
      <c r="Q161" s="15">
        <f>IF($N161=1,$I161,0)</f>
        <v/>
      </c>
      <c r="R161" s="20" t="n"/>
      <c r="S161" s="20" t="n"/>
      <c r="T161" s="20" t="n"/>
    </row>
    <row r="162" ht="18.75" customHeight="1">
      <c r="A162" s="12" t="n"/>
      <c r="B162" s="12" t="n"/>
      <c r="C162" s="12" t="n"/>
      <c r="D162" s="12" t="n"/>
      <c r="E162" s="12" t="n"/>
      <c r="F162" s="12" t="n"/>
      <c r="G162" s="12" t="n"/>
      <c r="H162" s="14">
        <f>IFERROR(VLOOKUP($B162,$A$25:$N$54,7,FALSE),"")</f>
        <v/>
      </c>
      <c r="I162" s="15">
        <f>IF($H162="Minor",1,IF($H162="Moderate",2,IF($H162="Major",3,IF($H162="Critical",4,""))))</f>
        <v/>
      </c>
      <c r="J162" s="16" t="n"/>
      <c r="K162" s="16" t="n"/>
      <c r="L162" s="15">
        <f>IF(OR($G162="Exact TP",$G162="Equivalent TP"),1,0)</f>
        <v/>
      </c>
      <c r="M162" s="15">
        <f>IF(OR($G162="FP Extra",$G162="Harmful FP"),1,0)</f>
        <v/>
      </c>
      <c r="N162" s="15">
        <f>IF(OR($G162="FN",$G162="Partial"),1,0)</f>
        <v/>
      </c>
      <c r="O162" s="15">
        <f>IF($L162=1,$I162,0)</f>
        <v/>
      </c>
      <c r="P162" s="15">
        <f>IF($M162=1,$I162,0)</f>
        <v/>
      </c>
      <c r="Q162" s="15">
        <f>IF($N162=1,$I162,0)</f>
        <v/>
      </c>
      <c r="R162" s="20" t="n"/>
      <c r="S162" s="20" t="n"/>
      <c r="T162" s="20" t="n"/>
    </row>
    <row r="163" ht="18.75" customHeight="1">
      <c r="A163" s="12" t="n"/>
      <c r="B163" s="12" t="n"/>
      <c r="C163" s="12" t="n"/>
      <c r="D163" s="12" t="n"/>
      <c r="E163" s="12" t="n"/>
      <c r="F163" s="12" t="n"/>
      <c r="G163" s="12" t="n"/>
      <c r="H163" s="14">
        <f>IFERROR(VLOOKUP($B163,$A$25:$N$54,7,FALSE),"")</f>
        <v/>
      </c>
      <c r="I163" s="15">
        <f>IF($H163="Minor",1,IF($H163="Moderate",2,IF($H163="Major",3,IF($H163="Critical",4,""))))</f>
        <v/>
      </c>
      <c r="J163" s="16" t="n"/>
      <c r="K163" s="16" t="n"/>
      <c r="L163" s="15">
        <f>IF(OR($G163="Exact TP",$G163="Equivalent TP"),1,0)</f>
        <v/>
      </c>
      <c r="M163" s="15">
        <f>IF(OR($G163="FP Extra",$G163="Harmful FP"),1,0)</f>
        <v/>
      </c>
      <c r="N163" s="15">
        <f>IF(OR($G163="FN",$G163="Partial"),1,0)</f>
        <v/>
      </c>
      <c r="O163" s="15">
        <f>IF($L163=1,$I163,0)</f>
        <v/>
      </c>
      <c r="P163" s="15">
        <f>IF($M163=1,$I163,0)</f>
        <v/>
      </c>
      <c r="Q163" s="15">
        <f>IF($N163=1,$I163,0)</f>
        <v/>
      </c>
      <c r="R163" s="20" t="n"/>
      <c r="S163" s="20" t="n"/>
      <c r="T163" s="20" t="n"/>
    </row>
    <row r="164" ht="18.75" customHeight="1">
      <c r="A164" s="12" t="n"/>
      <c r="B164" s="12" t="n"/>
      <c r="C164" s="12" t="n"/>
      <c r="D164" s="12" t="n"/>
      <c r="E164" s="12" t="n"/>
      <c r="F164" s="12" t="n"/>
      <c r="G164" s="12" t="n"/>
      <c r="H164" s="14">
        <f>IFERROR(VLOOKUP($B164,$A$25:$N$54,7,FALSE),"")</f>
        <v/>
      </c>
      <c r="I164" s="15">
        <f>IF($H164="Minor",1,IF($H164="Moderate",2,IF($H164="Major",3,IF($H164="Critical",4,""))))</f>
        <v/>
      </c>
      <c r="J164" s="16" t="n"/>
      <c r="K164" s="16" t="n"/>
      <c r="L164" s="15">
        <f>IF(OR($G164="Exact TP",$G164="Equivalent TP"),1,0)</f>
        <v/>
      </c>
      <c r="M164" s="15">
        <f>IF(OR($G164="FP Extra",$G164="Harmful FP"),1,0)</f>
        <v/>
      </c>
      <c r="N164" s="15">
        <f>IF(OR($G164="FN",$G164="Partial"),1,0)</f>
        <v/>
      </c>
      <c r="O164" s="15">
        <f>IF($L164=1,$I164,0)</f>
        <v/>
      </c>
      <c r="P164" s="15">
        <f>IF($M164=1,$I164,0)</f>
        <v/>
      </c>
      <c r="Q164" s="15">
        <f>IF($N164=1,$I164,0)</f>
        <v/>
      </c>
      <c r="R164" s="20" t="n"/>
      <c r="S164" s="20" t="n"/>
      <c r="T164" s="20" t="n"/>
    </row>
    <row r="165" ht="18.75" customHeight="1">
      <c r="A165" s="12" t="n"/>
      <c r="B165" s="12" t="n"/>
      <c r="C165" s="12" t="n"/>
      <c r="D165" s="12" t="n"/>
      <c r="E165" s="12" t="n"/>
      <c r="F165" s="12" t="n"/>
      <c r="G165" s="12" t="n"/>
      <c r="H165" s="14">
        <f>IFERROR(VLOOKUP($B165,$A$25:$N$54,7,FALSE),"")</f>
        <v/>
      </c>
      <c r="I165" s="15">
        <f>IF($H165="Minor",1,IF($H165="Moderate",2,IF($H165="Major",3,IF($H165="Critical",4,""))))</f>
        <v/>
      </c>
      <c r="J165" s="16" t="n"/>
      <c r="K165" s="16" t="n"/>
      <c r="L165" s="15">
        <f>IF(OR($G165="Exact TP",$G165="Equivalent TP"),1,0)</f>
        <v/>
      </c>
      <c r="M165" s="15">
        <f>IF(OR($G165="FP Extra",$G165="Harmful FP"),1,0)</f>
        <v/>
      </c>
      <c r="N165" s="15">
        <f>IF(OR($G165="FN",$G165="Partial"),1,0)</f>
        <v/>
      </c>
      <c r="O165" s="15">
        <f>IF($L165=1,$I165,0)</f>
        <v/>
      </c>
      <c r="P165" s="15">
        <f>IF($M165=1,$I165,0)</f>
        <v/>
      </c>
      <c r="Q165" s="15">
        <f>IF($N165=1,$I165,0)</f>
        <v/>
      </c>
      <c r="R165" s="20" t="n"/>
      <c r="S165" s="20" t="n"/>
      <c r="T165" s="20" t="n"/>
    </row>
    <row r="166" ht="18.75" customHeight="1">
      <c r="A166" s="12" t="n"/>
      <c r="B166" s="12" t="n"/>
      <c r="C166" s="12" t="n"/>
      <c r="D166" s="12" t="n"/>
      <c r="E166" s="12" t="n"/>
      <c r="F166" s="12" t="n"/>
      <c r="G166" s="12" t="n"/>
      <c r="H166" s="14">
        <f>IFERROR(VLOOKUP($B166,$A$25:$N$54,7,FALSE),"")</f>
        <v/>
      </c>
      <c r="I166" s="15">
        <f>IF($H166="Minor",1,IF($H166="Moderate",2,IF($H166="Major",3,IF($H166="Critical",4,""))))</f>
        <v/>
      </c>
      <c r="J166" s="16" t="n"/>
      <c r="K166" s="16" t="n"/>
      <c r="L166" s="15">
        <f>IF(OR($G166="Exact TP",$G166="Equivalent TP"),1,0)</f>
        <v/>
      </c>
      <c r="M166" s="15">
        <f>IF(OR($G166="FP Extra",$G166="Harmful FP"),1,0)</f>
        <v/>
      </c>
      <c r="N166" s="15">
        <f>IF(OR($G166="FN",$G166="Partial"),1,0)</f>
        <v/>
      </c>
      <c r="O166" s="15">
        <f>IF($L166=1,$I166,0)</f>
        <v/>
      </c>
      <c r="P166" s="15">
        <f>IF($M166=1,$I166,0)</f>
        <v/>
      </c>
      <c r="Q166" s="15">
        <f>IF($N166=1,$I166,0)</f>
        <v/>
      </c>
      <c r="R166" s="20" t="n"/>
      <c r="S166" s="20" t="n"/>
      <c r="T166" s="20" t="n"/>
    </row>
    <row r="167" ht="18.75" customHeight="1">
      <c r="A167" s="12" t="n"/>
      <c r="B167" s="12" t="n"/>
      <c r="C167" s="12" t="n"/>
      <c r="D167" s="12" t="n"/>
      <c r="E167" s="12" t="n"/>
      <c r="F167" s="12" t="n"/>
      <c r="G167" s="12" t="n"/>
      <c r="H167" s="14">
        <f>IFERROR(VLOOKUP($B167,$A$25:$N$54,7,FALSE),"")</f>
        <v/>
      </c>
      <c r="I167" s="15">
        <f>IF($H167="Minor",1,IF($H167="Moderate",2,IF($H167="Major",3,IF($H167="Critical",4,""))))</f>
        <v/>
      </c>
      <c r="J167" s="16" t="n"/>
      <c r="K167" s="16" t="n"/>
      <c r="L167" s="15">
        <f>IF(OR($G167="Exact TP",$G167="Equivalent TP"),1,0)</f>
        <v/>
      </c>
      <c r="M167" s="15">
        <f>IF(OR($G167="FP Extra",$G167="Harmful FP"),1,0)</f>
        <v/>
      </c>
      <c r="N167" s="15">
        <f>IF(OR($G167="FN",$G167="Partial"),1,0)</f>
        <v/>
      </c>
      <c r="O167" s="15">
        <f>IF($L167=1,$I167,0)</f>
        <v/>
      </c>
      <c r="P167" s="15">
        <f>IF($M167=1,$I167,0)</f>
        <v/>
      </c>
      <c r="Q167" s="15">
        <f>IF($N167=1,$I167,0)</f>
        <v/>
      </c>
      <c r="R167" s="20" t="n"/>
      <c r="S167" s="20" t="n"/>
      <c r="T167" s="20" t="n"/>
    </row>
    <row r="168" ht="18.75" customHeight="1">
      <c r="A168" s="12" t="n"/>
      <c r="B168" s="12" t="n"/>
      <c r="C168" s="12" t="n"/>
      <c r="D168" s="12" t="n"/>
      <c r="E168" s="12" t="n"/>
      <c r="F168" s="12" t="n"/>
      <c r="G168" s="12" t="n"/>
      <c r="H168" s="14">
        <f>IFERROR(VLOOKUP($B168,$A$25:$N$54,7,FALSE),"")</f>
        <v/>
      </c>
      <c r="I168" s="15">
        <f>IF($H168="Minor",1,IF($H168="Moderate",2,IF($H168="Major",3,IF($H168="Critical",4,""))))</f>
        <v/>
      </c>
      <c r="J168" s="16" t="n"/>
      <c r="K168" s="16" t="n"/>
      <c r="L168" s="15">
        <f>IF(OR($G168="Exact TP",$G168="Equivalent TP"),1,0)</f>
        <v/>
      </c>
      <c r="M168" s="15">
        <f>IF(OR($G168="FP Extra",$G168="Harmful FP"),1,0)</f>
        <v/>
      </c>
      <c r="N168" s="15">
        <f>IF(OR($G168="FN",$G168="Partial"),1,0)</f>
        <v/>
      </c>
      <c r="O168" s="15">
        <f>IF($L168=1,$I168,0)</f>
        <v/>
      </c>
      <c r="P168" s="15">
        <f>IF($M168=1,$I168,0)</f>
        <v/>
      </c>
      <c r="Q168" s="15">
        <f>IF($N168=1,$I168,0)</f>
        <v/>
      </c>
      <c r="R168" s="20" t="n"/>
      <c r="S168" s="20" t="n"/>
      <c r="T168" s="20" t="n"/>
    </row>
    <row r="169" ht="18.75" customHeight="1">
      <c r="A169" s="12" t="n"/>
      <c r="B169" s="12" t="n"/>
      <c r="C169" s="12" t="n"/>
      <c r="D169" s="12" t="n"/>
      <c r="E169" s="12" t="n"/>
      <c r="F169" s="12" t="n"/>
      <c r="G169" s="12" t="n"/>
      <c r="H169" s="14">
        <f>IFERROR(VLOOKUP($B169,$A$25:$N$54,7,FALSE),"")</f>
        <v/>
      </c>
      <c r="I169" s="15">
        <f>IF($H169="Minor",1,IF($H169="Moderate",2,IF($H169="Major",3,IF($H169="Critical",4,""))))</f>
        <v/>
      </c>
      <c r="J169" s="16" t="n"/>
      <c r="K169" s="16" t="n"/>
      <c r="L169" s="15">
        <f>IF(OR($G169="Exact TP",$G169="Equivalent TP"),1,0)</f>
        <v/>
      </c>
      <c r="M169" s="15">
        <f>IF(OR($G169="FP Extra",$G169="Harmful FP"),1,0)</f>
        <v/>
      </c>
      <c r="N169" s="15">
        <f>IF(OR($G169="FN",$G169="Partial"),1,0)</f>
        <v/>
      </c>
      <c r="O169" s="15">
        <f>IF($L169=1,$I169,0)</f>
        <v/>
      </c>
      <c r="P169" s="15">
        <f>IF($M169=1,$I169,0)</f>
        <v/>
      </c>
      <c r="Q169" s="15">
        <f>IF($N169=1,$I169,0)</f>
        <v/>
      </c>
      <c r="R169" s="20" t="n"/>
      <c r="S169" s="20" t="n"/>
      <c r="T169" s="20" t="n"/>
    </row>
    <row r="170" ht="18.75" customHeight="1">
      <c r="A170" s="12" t="n"/>
      <c r="B170" s="12" t="n"/>
      <c r="C170" s="12" t="n"/>
      <c r="D170" s="12" t="n"/>
      <c r="E170" s="12" t="n"/>
      <c r="F170" s="12" t="n"/>
      <c r="G170" s="12" t="n"/>
      <c r="H170" s="14">
        <f>IFERROR(VLOOKUP($B170,$A$25:$N$54,7,FALSE),"")</f>
        <v/>
      </c>
      <c r="I170" s="15">
        <f>IF($H170="Minor",1,IF($H170="Moderate",2,IF($H170="Major",3,IF($H170="Critical",4,""))))</f>
        <v/>
      </c>
      <c r="J170" s="16" t="n"/>
      <c r="K170" s="16" t="n"/>
      <c r="L170" s="15">
        <f>IF(OR($G170="Exact TP",$G170="Equivalent TP"),1,0)</f>
        <v/>
      </c>
      <c r="M170" s="15">
        <f>IF(OR($G170="FP Extra",$G170="Harmful FP"),1,0)</f>
        <v/>
      </c>
      <c r="N170" s="15">
        <f>IF(OR($G170="FN",$G170="Partial"),1,0)</f>
        <v/>
      </c>
      <c r="O170" s="15">
        <f>IF($L170=1,$I170,0)</f>
        <v/>
      </c>
      <c r="P170" s="15">
        <f>IF($M170=1,$I170,0)</f>
        <v/>
      </c>
      <c r="Q170" s="15">
        <f>IF($N170=1,$I170,0)</f>
        <v/>
      </c>
      <c r="R170" s="20" t="n"/>
      <c r="S170" s="20" t="n"/>
      <c r="T170" s="20" t="n"/>
    </row>
    <row r="171" ht="18.75" customHeight="1">
      <c r="A171" s="12" t="n"/>
      <c r="B171" s="12" t="n"/>
      <c r="C171" s="12" t="n"/>
      <c r="D171" s="12" t="n"/>
      <c r="E171" s="12" t="n"/>
      <c r="F171" s="12" t="n"/>
      <c r="G171" s="12" t="n"/>
      <c r="H171" s="14">
        <f>IFERROR(VLOOKUP($B171,$A$25:$N$54,7,FALSE),"")</f>
        <v/>
      </c>
      <c r="I171" s="15">
        <f>IF($H171="Minor",1,IF($H171="Moderate",2,IF($H171="Major",3,IF($H171="Critical",4,""))))</f>
        <v/>
      </c>
      <c r="J171" s="16" t="n"/>
      <c r="K171" s="16" t="n"/>
      <c r="L171" s="15">
        <f>IF(OR($G171="Exact TP",$G171="Equivalent TP"),1,0)</f>
        <v/>
      </c>
      <c r="M171" s="15">
        <f>IF(OR($G171="FP Extra",$G171="Harmful FP"),1,0)</f>
        <v/>
      </c>
      <c r="N171" s="15">
        <f>IF(OR($G171="FN",$G171="Partial"),1,0)</f>
        <v/>
      </c>
      <c r="O171" s="15">
        <f>IF($L171=1,$I171,0)</f>
        <v/>
      </c>
      <c r="P171" s="15">
        <f>IF($M171=1,$I171,0)</f>
        <v/>
      </c>
      <c r="Q171" s="15">
        <f>IF($N171=1,$I171,0)</f>
        <v/>
      </c>
      <c r="R171" s="20" t="n"/>
      <c r="S171" s="20" t="n"/>
      <c r="T171" s="20" t="n"/>
    </row>
    <row r="172" ht="18.75" customHeight="1">
      <c r="A172" s="12" t="n"/>
      <c r="B172" s="12" t="n"/>
      <c r="C172" s="12" t="n"/>
      <c r="D172" s="12" t="n"/>
      <c r="E172" s="12" t="n"/>
      <c r="F172" s="12" t="n"/>
      <c r="G172" s="12" t="n"/>
      <c r="H172" s="14">
        <f>IFERROR(VLOOKUP($B172,$A$25:$N$54,7,FALSE),"")</f>
        <v/>
      </c>
      <c r="I172" s="15">
        <f>IF($H172="Minor",1,IF($H172="Moderate",2,IF($H172="Major",3,IF($H172="Critical",4,""))))</f>
        <v/>
      </c>
      <c r="J172" s="16" t="n"/>
      <c r="K172" s="16" t="n"/>
      <c r="L172" s="15">
        <f>IF(OR($G172="Exact TP",$G172="Equivalent TP"),1,0)</f>
        <v/>
      </c>
      <c r="M172" s="15">
        <f>IF(OR($G172="FP Extra",$G172="Harmful FP"),1,0)</f>
        <v/>
      </c>
      <c r="N172" s="15">
        <f>IF(OR($G172="FN",$G172="Partial"),1,0)</f>
        <v/>
      </c>
      <c r="O172" s="15">
        <f>IF($L172=1,$I172,0)</f>
        <v/>
      </c>
      <c r="P172" s="15">
        <f>IF($M172=1,$I172,0)</f>
        <v/>
      </c>
      <c r="Q172" s="15">
        <f>IF($N172=1,$I172,0)</f>
        <v/>
      </c>
      <c r="R172" s="20" t="n"/>
      <c r="S172" s="20" t="n"/>
      <c r="T172" s="20" t="n"/>
    </row>
    <row r="173" ht="18.75" customHeight="1">
      <c r="A173" s="12" t="n"/>
      <c r="B173" s="12" t="n"/>
      <c r="C173" s="12" t="n"/>
      <c r="D173" s="12" t="n"/>
      <c r="E173" s="12" t="n"/>
      <c r="F173" s="12" t="n"/>
      <c r="G173" s="12" t="n"/>
      <c r="H173" s="14">
        <f>IFERROR(VLOOKUP($B173,$A$25:$N$54,7,FALSE),"")</f>
        <v/>
      </c>
      <c r="I173" s="15">
        <f>IF($H173="Minor",1,IF($H173="Moderate",2,IF($H173="Major",3,IF($H173="Critical",4,""))))</f>
        <v/>
      </c>
      <c r="J173" s="16" t="n"/>
      <c r="K173" s="16" t="n"/>
      <c r="L173" s="15">
        <f>IF(OR($G173="Exact TP",$G173="Equivalent TP"),1,0)</f>
        <v/>
      </c>
      <c r="M173" s="15">
        <f>IF(OR($G173="FP Extra",$G173="Harmful FP"),1,0)</f>
        <v/>
      </c>
      <c r="N173" s="15">
        <f>IF(OR($G173="FN",$G173="Partial"),1,0)</f>
        <v/>
      </c>
      <c r="O173" s="15">
        <f>IF($L173=1,$I173,0)</f>
        <v/>
      </c>
      <c r="P173" s="15">
        <f>IF($M173=1,$I173,0)</f>
        <v/>
      </c>
      <c r="Q173" s="15">
        <f>IF($N173=1,$I173,0)</f>
        <v/>
      </c>
      <c r="R173" s="20" t="n"/>
      <c r="S173" s="20" t="n"/>
      <c r="T173" s="20" t="n"/>
    </row>
    <row r="174" ht="18.75" customHeight="1">
      <c r="A174" s="12" t="n"/>
      <c r="B174" s="12" t="n"/>
      <c r="C174" s="12" t="n"/>
      <c r="D174" s="12" t="n"/>
      <c r="E174" s="12" t="n"/>
      <c r="F174" s="12" t="n"/>
      <c r="G174" s="12" t="n"/>
      <c r="H174" s="14">
        <f>IFERROR(VLOOKUP($B174,$A$25:$N$54,7,FALSE),"")</f>
        <v/>
      </c>
      <c r="I174" s="15">
        <f>IF($H174="Minor",1,IF($H174="Moderate",2,IF($H174="Major",3,IF($H174="Critical",4,""))))</f>
        <v/>
      </c>
      <c r="J174" s="16" t="n"/>
      <c r="K174" s="16" t="n"/>
      <c r="L174" s="15">
        <f>IF(OR($G174="Exact TP",$G174="Equivalent TP"),1,0)</f>
        <v/>
      </c>
      <c r="M174" s="15">
        <f>IF(OR($G174="FP Extra",$G174="Harmful FP"),1,0)</f>
        <v/>
      </c>
      <c r="N174" s="15">
        <f>IF(OR($G174="FN",$G174="Partial"),1,0)</f>
        <v/>
      </c>
      <c r="O174" s="15">
        <f>IF($L174=1,$I174,0)</f>
        <v/>
      </c>
      <c r="P174" s="15">
        <f>IF($M174=1,$I174,0)</f>
        <v/>
      </c>
      <c r="Q174" s="15">
        <f>IF($N174=1,$I174,0)</f>
        <v/>
      </c>
      <c r="R174" s="20" t="n"/>
      <c r="S174" s="20" t="n"/>
      <c r="T174" s="20" t="n"/>
    </row>
    <row r="175" ht="18.75" customHeight="1">
      <c r="A175" s="12" t="n"/>
      <c r="B175" s="12" t="n"/>
      <c r="C175" s="12" t="n"/>
      <c r="D175" s="12" t="n"/>
      <c r="E175" s="12" t="n"/>
      <c r="F175" s="12" t="n"/>
      <c r="G175" s="12" t="n"/>
      <c r="H175" s="14">
        <f>IFERROR(VLOOKUP($B175,$A$25:$N$54,7,FALSE),"")</f>
        <v/>
      </c>
      <c r="I175" s="15">
        <f>IF($H175="Minor",1,IF($H175="Moderate",2,IF($H175="Major",3,IF($H175="Critical",4,""))))</f>
        <v/>
      </c>
      <c r="J175" s="16" t="n"/>
      <c r="K175" s="16" t="n"/>
      <c r="L175" s="15">
        <f>IF(OR($G175="Exact TP",$G175="Equivalent TP"),1,0)</f>
        <v/>
      </c>
      <c r="M175" s="15">
        <f>IF(OR($G175="FP Extra",$G175="Harmful FP"),1,0)</f>
        <v/>
      </c>
      <c r="N175" s="15">
        <f>IF(OR($G175="FN",$G175="Partial"),1,0)</f>
        <v/>
      </c>
      <c r="O175" s="15">
        <f>IF($L175=1,$I175,0)</f>
        <v/>
      </c>
      <c r="P175" s="15">
        <f>IF($M175=1,$I175,0)</f>
        <v/>
      </c>
      <c r="Q175" s="15">
        <f>IF($N175=1,$I175,0)</f>
        <v/>
      </c>
      <c r="R175" s="20" t="n"/>
      <c r="S175" s="20" t="n"/>
      <c r="T175" s="20" t="n"/>
    </row>
    <row r="176" ht="18.75" customHeight="1">
      <c r="A176" s="12" t="n"/>
      <c r="B176" s="12" t="n"/>
      <c r="C176" s="12" t="n"/>
      <c r="D176" s="12" t="n"/>
      <c r="E176" s="12" t="n"/>
      <c r="F176" s="12" t="n"/>
      <c r="G176" s="12" t="n"/>
      <c r="H176" s="14">
        <f>IFERROR(VLOOKUP($B176,$A$25:$N$54,7,FALSE),"")</f>
        <v/>
      </c>
      <c r="I176" s="15">
        <f>IF($H176="Minor",1,IF($H176="Moderate",2,IF($H176="Major",3,IF($H176="Critical",4,""))))</f>
        <v/>
      </c>
      <c r="J176" s="16" t="n"/>
      <c r="K176" s="16" t="n"/>
      <c r="L176" s="15">
        <f>IF(OR($G176="Exact TP",$G176="Equivalent TP"),1,0)</f>
        <v/>
      </c>
      <c r="M176" s="15">
        <f>IF(OR($G176="FP Extra",$G176="Harmful FP"),1,0)</f>
        <v/>
      </c>
      <c r="N176" s="15">
        <f>IF(OR($G176="FN",$G176="Partial"),1,0)</f>
        <v/>
      </c>
      <c r="O176" s="15">
        <f>IF($L176=1,$I176,0)</f>
        <v/>
      </c>
      <c r="P176" s="15">
        <f>IF($M176=1,$I176,0)</f>
        <v/>
      </c>
      <c r="Q176" s="15">
        <f>IF($N176=1,$I176,0)</f>
        <v/>
      </c>
      <c r="R176" s="20" t="n"/>
      <c r="S176" s="20" t="n"/>
      <c r="T176" s="20" t="n"/>
    </row>
    <row r="177" ht="18.75" customHeight="1">
      <c r="A177" s="12" t="n"/>
      <c r="B177" s="12" t="n"/>
      <c r="C177" s="12" t="n"/>
      <c r="D177" s="12" t="n"/>
      <c r="E177" s="12" t="n"/>
      <c r="F177" s="12" t="n"/>
      <c r="G177" s="12" t="n"/>
      <c r="H177" s="14">
        <f>IFERROR(VLOOKUP($B177,$A$25:$N$54,7,FALSE),"")</f>
        <v/>
      </c>
      <c r="I177" s="15">
        <f>IF($H177="Minor",1,IF($H177="Moderate",2,IF($H177="Major",3,IF($H177="Critical",4,""))))</f>
        <v/>
      </c>
      <c r="J177" s="16" t="n"/>
      <c r="K177" s="16" t="n"/>
      <c r="L177" s="15">
        <f>IF(OR($G177="Exact TP",$G177="Equivalent TP"),1,0)</f>
        <v/>
      </c>
      <c r="M177" s="15">
        <f>IF(OR($G177="FP Extra",$G177="Harmful FP"),1,0)</f>
        <v/>
      </c>
      <c r="N177" s="15">
        <f>IF(OR($G177="FN",$G177="Partial"),1,0)</f>
        <v/>
      </c>
      <c r="O177" s="15">
        <f>IF($L177=1,$I177,0)</f>
        <v/>
      </c>
      <c r="P177" s="15">
        <f>IF($M177=1,$I177,0)</f>
        <v/>
      </c>
      <c r="Q177" s="15">
        <f>IF($N177=1,$I177,0)</f>
        <v/>
      </c>
      <c r="R177" s="20" t="n"/>
      <c r="S177" s="20" t="n"/>
      <c r="T177" s="20" t="n"/>
    </row>
    <row r="178" ht="18.75" customHeight="1">
      <c r="A178" s="12" t="n"/>
      <c r="B178" s="12" t="n"/>
      <c r="C178" s="12" t="n"/>
      <c r="D178" s="12" t="n"/>
      <c r="E178" s="12" t="n"/>
      <c r="F178" s="12" t="n"/>
      <c r="G178" s="12" t="n"/>
      <c r="H178" s="14">
        <f>IFERROR(VLOOKUP($B178,$A$25:$N$54,7,FALSE),"")</f>
        <v/>
      </c>
      <c r="I178" s="15">
        <f>IF($H178="Minor",1,IF($H178="Moderate",2,IF($H178="Major",3,IF($H178="Critical",4,""))))</f>
        <v/>
      </c>
      <c r="J178" s="16" t="n"/>
      <c r="K178" s="16" t="n"/>
      <c r="L178" s="15">
        <f>IF(OR($G178="Exact TP",$G178="Equivalent TP"),1,0)</f>
        <v/>
      </c>
      <c r="M178" s="15">
        <f>IF(OR($G178="FP Extra",$G178="Harmful FP"),1,0)</f>
        <v/>
      </c>
      <c r="N178" s="15">
        <f>IF(OR($G178="FN",$G178="Partial"),1,0)</f>
        <v/>
      </c>
      <c r="O178" s="15">
        <f>IF($L178=1,$I178,0)</f>
        <v/>
      </c>
      <c r="P178" s="15">
        <f>IF($M178=1,$I178,0)</f>
        <v/>
      </c>
      <c r="Q178" s="15">
        <f>IF($N178=1,$I178,0)</f>
        <v/>
      </c>
      <c r="R178" s="20" t="n"/>
      <c r="S178" s="20" t="n"/>
      <c r="T178" s="20" t="n"/>
    </row>
    <row r="179" ht="18.75" customHeight="1">
      <c r="A179" s="12" t="n"/>
      <c r="B179" s="12" t="n"/>
      <c r="C179" s="12" t="n"/>
      <c r="D179" s="12" t="n"/>
      <c r="E179" s="12" t="n"/>
      <c r="F179" s="12" t="n"/>
      <c r="G179" s="12" t="n"/>
      <c r="H179" s="14">
        <f>IFERROR(VLOOKUP($B179,$A$25:$N$54,7,FALSE),"")</f>
        <v/>
      </c>
      <c r="I179" s="15">
        <f>IF($H179="Minor",1,IF($H179="Moderate",2,IF($H179="Major",3,IF($H179="Critical",4,""))))</f>
        <v/>
      </c>
      <c r="J179" s="16" t="n"/>
      <c r="K179" s="16" t="n"/>
      <c r="L179" s="15">
        <f>IF(OR($G179="Exact TP",$G179="Equivalent TP"),1,0)</f>
        <v/>
      </c>
      <c r="M179" s="15">
        <f>IF(OR($G179="FP Extra",$G179="Harmful FP"),1,0)</f>
        <v/>
      </c>
      <c r="N179" s="15">
        <f>IF(OR($G179="FN",$G179="Partial"),1,0)</f>
        <v/>
      </c>
      <c r="O179" s="15">
        <f>IF($L179=1,$I179,0)</f>
        <v/>
      </c>
      <c r="P179" s="15">
        <f>IF($M179=1,$I179,0)</f>
        <v/>
      </c>
      <c r="Q179" s="15">
        <f>IF($N179=1,$I179,0)</f>
        <v/>
      </c>
      <c r="R179" s="20" t="n"/>
      <c r="S179" s="20" t="n"/>
      <c r="T179" s="20" t="n"/>
    </row>
    <row r="180" ht="18.75" customHeight="1">
      <c r="A180" s="12" t="n"/>
      <c r="B180" s="12" t="n"/>
      <c r="C180" s="12" t="n"/>
      <c r="D180" s="12" t="n"/>
      <c r="E180" s="12" t="n"/>
      <c r="F180" s="12" t="n"/>
      <c r="G180" s="12" t="n"/>
      <c r="H180" s="14">
        <f>IFERROR(VLOOKUP($B180,$A$25:$N$54,7,FALSE),"")</f>
        <v/>
      </c>
      <c r="I180" s="15">
        <f>IF($H180="Minor",1,IF($H180="Moderate",2,IF($H180="Major",3,IF($H180="Critical",4,""))))</f>
        <v/>
      </c>
      <c r="J180" s="16" t="n"/>
      <c r="K180" s="16" t="n"/>
      <c r="L180" s="15">
        <f>IF(OR($G180="Exact TP",$G180="Equivalent TP"),1,0)</f>
        <v/>
      </c>
      <c r="M180" s="15">
        <f>IF(OR($G180="FP Extra",$G180="Harmful FP"),1,0)</f>
        <v/>
      </c>
      <c r="N180" s="15">
        <f>IF(OR($G180="FN",$G180="Partial"),1,0)</f>
        <v/>
      </c>
      <c r="O180" s="15">
        <f>IF($L180=1,$I180,0)</f>
        <v/>
      </c>
      <c r="P180" s="15">
        <f>IF($M180=1,$I180,0)</f>
        <v/>
      </c>
      <c r="Q180" s="15">
        <f>IF($N180=1,$I180,0)</f>
        <v/>
      </c>
      <c r="R180" s="20" t="n"/>
      <c r="S180" s="20" t="n"/>
      <c r="T180" s="20" t="n"/>
    </row>
    <row r="181" ht="18.75" customHeight="1">
      <c r="A181" s="12" t="n"/>
      <c r="B181" s="12" t="n"/>
      <c r="C181" s="12" t="n"/>
      <c r="D181" s="12" t="n"/>
      <c r="E181" s="12" t="n"/>
      <c r="F181" s="12" t="n"/>
      <c r="G181" s="12" t="n"/>
      <c r="H181" s="14">
        <f>IFERROR(VLOOKUP($B181,$A$25:$N$54,7,FALSE),"")</f>
        <v/>
      </c>
      <c r="I181" s="15">
        <f>IF($H181="Minor",1,IF($H181="Moderate",2,IF($H181="Major",3,IF($H181="Critical",4,""))))</f>
        <v/>
      </c>
      <c r="J181" s="16" t="n"/>
      <c r="K181" s="16" t="n"/>
      <c r="L181" s="15">
        <f>IF(OR($G181="Exact TP",$G181="Equivalent TP"),1,0)</f>
        <v/>
      </c>
      <c r="M181" s="15">
        <f>IF(OR($G181="FP Extra",$G181="Harmful FP"),1,0)</f>
        <v/>
      </c>
      <c r="N181" s="15">
        <f>IF(OR($G181="FN",$G181="Partial"),1,0)</f>
        <v/>
      </c>
      <c r="O181" s="15">
        <f>IF($L181=1,$I181,0)</f>
        <v/>
      </c>
      <c r="P181" s="15">
        <f>IF($M181=1,$I181,0)</f>
        <v/>
      </c>
      <c r="Q181" s="15">
        <f>IF($N181=1,$I181,0)</f>
        <v/>
      </c>
      <c r="R181" s="20" t="n"/>
      <c r="S181" s="20" t="n"/>
      <c r="T181" s="20" t="n"/>
    </row>
    <row r="182" ht="18.75" customHeight="1">
      <c r="A182" s="12" t="n"/>
      <c r="B182" s="12" t="n"/>
      <c r="C182" s="12" t="n"/>
      <c r="D182" s="12" t="n"/>
      <c r="E182" s="12" t="n"/>
      <c r="F182" s="12" t="n"/>
      <c r="G182" s="12" t="n"/>
      <c r="H182" s="14">
        <f>IFERROR(VLOOKUP($B182,$A$25:$N$54,7,FALSE),"")</f>
        <v/>
      </c>
      <c r="I182" s="15">
        <f>IF($H182="Minor",1,IF($H182="Moderate",2,IF($H182="Major",3,IF($H182="Critical",4,""))))</f>
        <v/>
      </c>
      <c r="J182" s="16" t="n"/>
      <c r="K182" s="16" t="n"/>
      <c r="L182" s="15">
        <f>IF(OR($G182="Exact TP",$G182="Equivalent TP"),1,0)</f>
        <v/>
      </c>
      <c r="M182" s="15">
        <f>IF(OR($G182="FP Extra",$G182="Harmful FP"),1,0)</f>
        <v/>
      </c>
      <c r="N182" s="15">
        <f>IF(OR($G182="FN",$G182="Partial"),1,0)</f>
        <v/>
      </c>
      <c r="O182" s="15">
        <f>IF($L182=1,$I182,0)</f>
        <v/>
      </c>
      <c r="P182" s="15">
        <f>IF($M182=1,$I182,0)</f>
        <v/>
      </c>
      <c r="Q182" s="15">
        <f>IF($N182=1,$I182,0)</f>
        <v/>
      </c>
      <c r="R182" s="20" t="n"/>
      <c r="S182" s="20" t="n"/>
      <c r="T182" s="20" t="n"/>
    </row>
    <row r="183" ht="18.75" customHeight="1">
      <c r="A183" s="12" t="n"/>
      <c r="B183" s="12" t="n"/>
      <c r="C183" s="12" t="n"/>
      <c r="D183" s="12" t="n"/>
      <c r="E183" s="12" t="n"/>
      <c r="F183" s="12" t="n"/>
      <c r="G183" s="12" t="n"/>
      <c r="H183" s="14">
        <f>IFERROR(VLOOKUP($B183,$A$25:$N$54,7,FALSE),"")</f>
        <v/>
      </c>
      <c r="I183" s="15">
        <f>IF($H183="Minor",1,IF($H183="Moderate",2,IF($H183="Major",3,IF($H183="Critical",4,""))))</f>
        <v/>
      </c>
      <c r="J183" s="16" t="n"/>
      <c r="K183" s="16" t="n"/>
      <c r="L183" s="15">
        <f>IF(OR($G183="Exact TP",$G183="Equivalent TP"),1,0)</f>
        <v/>
      </c>
      <c r="M183" s="15">
        <f>IF(OR($G183="FP Extra",$G183="Harmful FP"),1,0)</f>
        <v/>
      </c>
      <c r="N183" s="15">
        <f>IF(OR($G183="FN",$G183="Partial"),1,0)</f>
        <v/>
      </c>
      <c r="O183" s="15">
        <f>IF($L183=1,$I183,0)</f>
        <v/>
      </c>
      <c r="P183" s="15">
        <f>IF($M183=1,$I183,0)</f>
        <v/>
      </c>
      <c r="Q183" s="15">
        <f>IF($N183=1,$I183,0)</f>
        <v/>
      </c>
      <c r="R183" s="20" t="n"/>
      <c r="S183" s="20" t="n"/>
      <c r="T183" s="20" t="n"/>
    </row>
    <row r="184" ht="18.75" customHeight="1">
      <c r="A184" s="12" t="n"/>
      <c r="B184" s="12" t="n"/>
      <c r="C184" s="12" t="n"/>
      <c r="D184" s="12" t="n"/>
      <c r="E184" s="12" t="n"/>
      <c r="F184" s="12" t="n"/>
      <c r="G184" s="12" t="n"/>
      <c r="H184" s="14">
        <f>IFERROR(VLOOKUP($B184,$A$25:$N$54,7,FALSE),"")</f>
        <v/>
      </c>
      <c r="I184" s="15">
        <f>IF($H184="Minor",1,IF($H184="Moderate",2,IF($H184="Major",3,IF($H184="Critical",4,""))))</f>
        <v/>
      </c>
      <c r="J184" s="16" t="n"/>
      <c r="K184" s="16" t="n"/>
      <c r="L184" s="15">
        <f>IF(OR($G184="Exact TP",$G184="Equivalent TP"),1,0)</f>
        <v/>
      </c>
      <c r="M184" s="15">
        <f>IF(OR($G184="FP Extra",$G184="Harmful FP"),1,0)</f>
        <v/>
      </c>
      <c r="N184" s="15">
        <f>IF(OR($G184="FN",$G184="Partial"),1,0)</f>
        <v/>
      </c>
      <c r="O184" s="15">
        <f>IF($L184=1,$I184,0)</f>
        <v/>
      </c>
      <c r="P184" s="15">
        <f>IF($M184=1,$I184,0)</f>
        <v/>
      </c>
      <c r="Q184" s="15">
        <f>IF($N184=1,$I184,0)</f>
        <v/>
      </c>
      <c r="R184" s="20" t="n"/>
      <c r="S184" s="20" t="n"/>
      <c r="T184" s="20" t="n"/>
    </row>
    <row r="185" ht="18.75" customHeight="1">
      <c r="A185" s="12" t="n"/>
      <c r="B185" s="12" t="n"/>
      <c r="C185" s="12" t="n"/>
      <c r="D185" s="12" t="n"/>
      <c r="E185" s="12" t="n"/>
      <c r="F185" s="12" t="n"/>
      <c r="G185" s="12" t="n"/>
      <c r="H185" s="14">
        <f>IFERROR(VLOOKUP($B185,$A$25:$N$54,7,FALSE),"")</f>
        <v/>
      </c>
      <c r="I185" s="15">
        <f>IF($H185="Minor",1,IF($H185="Moderate",2,IF($H185="Major",3,IF($H185="Critical",4,""))))</f>
        <v/>
      </c>
      <c r="J185" s="16" t="n"/>
      <c r="K185" s="16" t="n"/>
      <c r="L185" s="15">
        <f>IF(OR($G185="Exact TP",$G185="Equivalent TP"),1,0)</f>
        <v/>
      </c>
      <c r="M185" s="15">
        <f>IF(OR($G185="FP Extra",$G185="Harmful FP"),1,0)</f>
        <v/>
      </c>
      <c r="N185" s="15">
        <f>IF(OR($G185="FN",$G185="Partial"),1,0)</f>
        <v/>
      </c>
      <c r="O185" s="15">
        <f>IF($L185=1,$I185,0)</f>
        <v/>
      </c>
      <c r="P185" s="15">
        <f>IF($M185=1,$I185,0)</f>
        <v/>
      </c>
      <c r="Q185" s="15">
        <f>IF($N185=1,$I185,0)</f>
        <v/>
      </c>
      <c r="R185" s="20" t="n"/>
      <c r="S185" s="20" t="n"/>
      <c r="T185" s="20" t="n"/>
    </row>
    <row r="186" ht="18.75" customHeight="1">
      <c r="A186" s="12" t="n"/>
      <c r="B186" s="12" t="n"/>
      <c r="C186" s="12" t="n"/>
      <c r="D186" s="12" t="n"/>
      <c r="E186" s="12" t="n"/>
      <c r="F186" s="12" t="n"/>
      <c r="G186" s="12" t="n"/>
      <c r="H186" s="14">
        <f>IFERROR(VLOOKUP($B186,$A$25:$N$54,7,FALSE),"")</f>
        <v/>
      </c>
      <c r="I186" s="15">
        <f>IF($H186="Minor",1,IF($H186="Moderate",2,IF($H186="Major",3,IF($H186="Critical",4,""))))</f>
        <v/>
      </c>
      <c r="J186" s="16" t="n"/>
      <c r="K186" s="16" t="n"/>
      <c r="L186" s="15">
        <f>IF(OR($G186="Exact TP",$G186="Equivalent TP"),1,0)</f>
        <v/>
      </c>
      <c r="M186" s="15">
        <f>IF(OR($G186="FP Extra",$G186="Harmful FP"),1,0)</f>
        <v/>
      </c>
      <c r="N186" s="15">
        <f>IF(OR($G186="FN",$G186="Partial"),1,0)</f>
        <v/>
      </c>
      <c r="O186" s="15">
        <f>IF($L186=1,$I186,0)</f>
        <v/>
      </c>
      <c r="P186" s="15">
        <f>IF($M186=1,$I186,0)</f>
        <v/>
      </c>
      <c r="Q186" s="15">
        <f>IF($N186=1,$I186,0)</f>
        <v/>
      </c>
      <c r="R186" s="20" t="n"/>
      <c r="S186" s="20" t="n"/>
      <c r="T186" s="20" t="n"/>
    </row>
    <row r="187" ht="18.75" customHeight="1">
      <c r="A187" s="12" t="n"/>
      <c r="B187" s="12" t="n"/>
      <c r="C187" s="12" t="n"/>
      <c r="D187" s="12" t="n"/>
      <c r="E187" s="12" t="n"/>
      <c r="F187" s="12" t="n"/>
      <c r="G187" s="12" t="n"/>
      <c r="H187" s="14">
        <f>IFERROR(VLOOKUP($B187,$A$25:$N$54,7,FALSE),"")</f>
        <v/>
      </c>
      <c r="I187" s="15">
        <f>IF($H187="Minor",1,IF($H187="Moderate",2,IF($H187="Major",3,IF($H187="Critical",4,""))))</f>
        <v/>
      </c>
      <c r="J187" s="16" t="n"/>
      <c r="K187" s="16" t="n"/>
      <c r="L187" s="15">
        <f>IF(OR($G187="Exact TP",$G187="Equivalent TP"),1,0)</f>
        <v/>
      </c>
      <c r="M187" s="15">
        <f>IF(OR($G187="FP Extra",$G187="Harmful FP"),1,0)</f>
        <v/>
      </c>
      <c r="N187" s="15">
        <f>IF(OR($G187="FN",$G187="Partial"),1,0)</f>
        <v/>
      </c>
      <c r="O187" s="15">
        <f>IF($L187=1,$I187,0)</f>
        <v/>
      </c>
      <c r="P187" s="15">
        <f>IF($M187=1,$I187,0)</f>
        <v/>
      </c>
      <c r="Q187" s="15">
        <f>IF($N187=1,$I187,0)</f>
        <v/>
      </c>
      <c r="R187" s="20" t="n"/>
      <c r="S187" s="20" t="n"/>
      <c r="T187" s="20" t="n"/>
    </row>
    <row r="188" ht="18.75" customHeight="1">
      <c r="A188" s="12" t="n"/>
      <c r="B188" s="12" t="n"/>
      <c r="C188" s="12" t="n"/>
      <c r="D188" s="12" t="n"/>
      <c r="E188" s="12" t="n"/>
      <c r="F188" s="12" t="n"/>
      <c r="G188" s="12" t="n"/>
      <c r="H188" s="14">
        <f>IFERROR(VLOOKUP($B188,$A$25:$N$54,7,FALSE),"")</f>
        <v/>
      </c>
      <c r="I188" s="15">
        <f>IF($H188="Minor",1,IF($H188="Moderate",2,IF($H188="Major",3,IF($H188="Critical",4,""))))</f>
        <v/>
      </c>
      <c r="J188" s="16" t="n"/>
      <c r="K188" s="16" t="n"/>
      <c r="L188" s="15">
        <f>IF(OR($G188="Exact TP",$G188="Equivalent TP"),1,0)</f>
        <v/>
      </c>
      <c r="M188" s="15">
        <f>IF(OR($G188="FP Extra",$G188="Harmful FP"),1,0)</f>
        <v/>
      </c>
      <c r="N188" s="15">
        <f>IF(OR($G188="FN",$G188="Partial"),1,0)</f>
        <v/>
      </c>
      <c r="O188" s="15">
        <f>IF($L188=1,$I188,0)</f>
        <v/>
      </c>
      <c r="P188" s="15">
        <f>IF($M188=1,$I188,0)</f>
        <v/>
      </c>
      <c r="Q188" s="15">
        <f>IF($N188=1,$I188,0)</f>
        <v/>
      </c>
      <c r="R188" s="20" t="n"/>
      <c r="S188" s="20" t="n"/>
      <c r="T188" s="20" t="n"/>
    </row>
    <row r="189" ht="18.75" customHeight="1">
      <c r="A189" s="12" t="n"/>
      <c r="B189" s="12" t="n"/>
      <c r="C189" s="12" t="n"/>
      <c r="D189" s="12" t="n"/>
      <c r="E189" s="12" t="n"/>
      <c r="F189" s="12" t="n"/>
      <c r="G189" s="12" t="n"/>
      <c r="H189" s="14">
        <f>IFERROR(VLOOKUP($B189,$A$25:$N$54,7,FALSE),"")</f>
        <v/>
      </c>
      <c r="I189" s="15">
        <f>IF($H189="Minor",1,IF($H189="Moderate",2,IF($H189="Major",3,IF($H189="Critical",4,""))))</f>
        <v/>
      </c>
      <c r="J189" s="16" t="n"/>
      <c r="K189" s="16" t="n"/>
      <c r="L189" s="15">
        <f>IF(OR($G189="Exact TP",$G189="Equivalent TP"),1,0)</f>
        <v/>
      </c>
      <c r="M189" s="15">
        <f>IF(OR($G189="FP Extra",$G189="Harmful FP"),1,0)</f>
        <v/>
      </c>
      <c r="N189" s="15">
        <f>IF(OR($G189="FN",$G189="Partial"),1,0)</f>
        <v/>
      </c>
      <c r="O189" s="15">
        <f>IF($L189=1,$I189,0)</f>
        <v/>
      </c>
      <c r="P189" s="15">
        <f>IF($M189=1,$I189,0)</f>
        <v/>
      </c>
      <c r="Q189" s="15">
        <f>IF($N189=1,$I189,0)</f>
        <v/>
      </c>
      <c r="R189" s="20" t="n"/>
      <c r="S189" s="20" t="n"/>
      <c r="T189" s="20" t="n"/>
    </row>
    <row r="190" ht="18.75" customHeight="1">
      <c r="A190" s="12" t="n"/>
      <c r="B190" s="12" t="n"/>
      <c r="C190" s="12" t="n"/>
      <c r="D190" s="12" t="n"/>
      <c r="E190" s="12" t="n"/>
      <c r="F190" s="12" t="n"/>
      <c r="G190" s="12" t="n"/>
      <c r="H190" s="14">
        <f>IFERROR(VLOOKUP($B190,$A$25:$N$54,7,FALSE),"")</f>
        <v/>
      </c>
      <c r="I190" s="15">
        <f>IF($H190="Minor",1,IF($H190="Moderate",2,IF($H190="Major",3,IF($H190="Critical",4,""))))</f>
        <v/>
      </c>
      <c r="J190" s="16" t="n"/>
      <c r="K190" s="16" t="n"/>
      <c r="L190" s="15">
        <f>IF(OR($G190="Exact TP",$G190="Equivalent TP"),1,0)</f>
        <v/>
      </c>
      <c r="M190" s="15">
        <f>IF(OR($G190="FP Extra",$G190="Harmful FP"),1,0)</f>
        <v/>
      </c>
      <c r="N190" s="15">
        <f>IF(OR($G190="FN",$G190="Partial"),1,0)</f>
        <v/>
      </c>
      <c r="O190" s="15">
        <f>IF($L190=1,$I190,0)</f>
        <v/>
      </c>
      <c r="P190" s="15">
        <f>IF($M190=1,$I190,0)</f>
        <v/>
      </c>
      <c r="Q190" s="15">
        <f>IF($N190=1,$I190,0)</f>
        <v/>
      </c>
      <c r="R190" s="20" t="n"/>
      <c r="S190" s="20" t="n"/>
      <c r="T190" s="20" t="n"/>
    </row>
    <row r="191" ht="18.75" customHeight="1">
      <c r="A191" s="12" t="n"/>
      <c r="B191" s="12" t="n"/>
      <c r="C191" s="12" t="n"/>
      <c r="D191" s="12" t="n"/>
      <c r="E191" s="12" t="n"/>
      <c r="F191" s="12" t="n"/>
      <c r="G191" s="12" t="n"/>
      <c r="H191" s="14">
        <f>IFERROR(VLOOKUP($B191,$A$25:$N$54,7,FALSE),"")</f>
        <v/>
      </c>
      <c r="I191" s="15">
        <f>IF($H191="Minor",1,IF($H191="Moderate",2,IF($H191="Major",3,IF($H191="Critical",4,""))))</f>
        <v/>
      </c>
      <c r="J191" s="16" t="n"/>
      <c r="K191" s="16" t="n"/>
      <c r="L191" s="15">
        <f>IF(OR($G191="Exact TP",$G191="Equivalent TP"),1,0)</f>
        <v/>
      </c>
      <c r="M191" s="15">
        <f>IF(OR($G191="FP Extra",$G191="Harmful FP"),1,0)</f>
        <v/>
      </c>
      <c r="N191" s="15">
        <f>IF(OR($G191="FN",$G191="Partial"),1,0)</f>
        <v/>
      </c>
      <c r="O191" s="15">
        <f>IF($L191=1,$I191,0)</f>
        <v/>
      </c>
      <c r="P191" s="15">
        <f>IF($M191=1,$I191,0)</f>
        <v/>
      </c>
      <c r="Q191" s="15">
        <f>IF($N191=1,$I191,0)</f>
        <v/>
      </c>
      <c r="R191" s="20" t="n"/>
      <c r="S191" s="20" t="n"/>
      <c r="T191" s="20" t="n"/>
    </row>
    <row r="192" ht="18.75" customHeight="1">
      <c r="A192" s="12" t="n"/>
      <c r="B192" s="12" t="n"/>
      <c r="C192" s="12" t="n"/>
      <c r="D192" s="12" t="n"/>
      <c r="E192" s="12" t="n"/>
      <c r="F192" s="12" t="n"/>
      <c r="G192" s="12" t="n"/>
      <c r="H192" s="14">
        <f>IFERROR(VLOOKUP($B192,$A$25:$N$54,7,FALSE),"")</f>
        <v/>
      </c>
      <c r="I192" s="15">
        <f>IF($H192="Minor",1,IF($H192="Moderate",2,IF($H192="Major",3,IF($H192="Critical",4,""))))</f>
        <v/>
      </c>
      <c r="J192" s="16" t="n"/>
      <c r="K192" s="16" t="n"/>
      <c r="L192" s="15">
        <f>IF(OR($G192="Exact TP",$G192="Equivalent TP"),1,0)</f>
        <v/>
      </c>
      <c r="M192" s="15">
        <f>IF(OR($G192="FP Extra",$G192="Harmful FP"),1,0)</f>
        <v/>
      </c>
      <c r="N192" s="15">
        <f>IF(OR($G192="FN",$G192="Partial"),1,0)</f>
        <v/>
      </c>
      <c r="O192" s="15">
        <f>IF($L192=1,$I192,0)</f>
        <v/>
      </c>
      <c r="P192" s="15">
        <f>IF($M192=1,$I192,0)</f>
        <v/>
      </c>
      <c r="Q192" s="15">
        <f>IF($N192=1,$I192,0)</f>
        <v/>
      </c>
      <c r="R192" s="20" t="n"/>
      <c r="S192" s="20" t="n"/>
      <c r="T192" s="20" t="n"/>
    </row>
    <row r="193" ht="18.75" customHeight="1">
      <c r="A193" s="12" t="n"/>
      <c r="B193" s="12" t="n"/>
      <c r="C193" s="12" t="n"/>
      <c r="D193" s="12" t="n"/>
      <c r="E193" s="12" t="n"/>
      <c r="F193" s="12" t="n"/>
      <c r="G193" s="12" t="n"/>
      <c r="H193" s="14">
        <f>IFERROR(VLOOKUP($B193,$A$25:$N$54,7,FALSE),"")</f>
        <v/>
      </c>
      <c r="I193" s="15">
        <f>IF($H193="Minor",1,IF($H193="Moderate",2,IF($H193="Major",3,IF($H193="Critical",4,""))))</f>
        <v/>
      </c>
      <c r="J193" s="16" t="n"/>
      <c r="K193" s="16" t="n"/>
      <c r="L193" s="15">
        <f>IF(OR($G193="Exact TP",$G193="Equivalent TP"),1,0)</f>
        <v/>
      </c>
      <c r="M193" s="15">
        <f>IF(OR($G193="FP Extra",$G193="Harmful FP"),1,0)</f>
        <v/>
      </c>
      <c r="N193" s="15">
        <f>IF(OR($G193="FN",$G193="Partial"),1,0)</f>
        <v/>
      </c>
      <c r="O193" s="15">
        <f>IF($L193=1,$I193,0)</f>
        <v/>
      </c>
      <c r="P193" s="15">
        <f>IF($M193=1,$I193,0)</f>
        <v/>
      </c>
      <c r="Q193" s="15">
        <f>IF($N193=1,$I193,0)</f>
        <v/>
      </c>
      <c r="R193" s="20" t="n"/>
      <c r="S193" s="20" t="n"/>
      <c r="T193" s="20" t="n"/>
    </row>
    <row r="194" ht="18.75" customHeight="1">
      <c r="A194" s="12" t="n"/>
      <c r="B194" s="12" t="n"/>
      <c r="C194" s="12" t="n"/>
      <c r="D194" s="12" t="n"/>
      <c r="E194" s="12" t="n"/>
      <c r="F194" s="12" t="n"/>
      <c r="G194" s="12" t="n"/>
      <c r="H194" s="14">
        <f>IFERROR(VLOOKUP($B194,$A$25:$N$54,7,FALSE),"")</f>
        <v/>
      </c>
      <c r="I194" s="15">
        <f>IF($H194="Minor",1,IF($H194="Moderate",2,IF($H194="Major",3,IF($H194="Critical",4,""))))</f>
        <v/>
      </c>
      <c r="J194" s="16" t="n"/>
      <c r="K194" s="16" t="n"/>
      <c r="L194" s="15">
        <f>IF(OR($G194="Exact TP",$G194="Equivalent TP"),1,0)</f>
        <v/>
      </c>
      <c r="M194" s="15">
        <f>IF(OR($G194="FP Extra",$G194="Harmful FP"),1,0)</f>
        <v/>
      </c>
      <c r="N194" s="15">
        <f>IF(OR($G194="FN",$G194="Partial"),1,0)</f>
        <v/>
      </c>
      <c r="O194" s="15">
        <f>IF($L194=1,$I194,0)</f>
        <v/>
      </c>
      <c r="P194" s="15">
        <f>IF($M194=1,$I194,0)</f>
        <v/>
      </c>
      <c r="Q194" s="15">
        <f>IF($N194=1,$I194,0)</f>
        <v/>
      </c>
      <c r="R194" s="20" t="n"/>
      <c r="S194" s="20" t="n"/>
      <c r="T194" s="20" t="n"/>
    </row>
    <row r="195" ht="18.75" customHeight="1">
      <c r="A195" s="12" t="n"/>
      <c r="B195" s="12" t="n"/>
      <c r="C195" s="12" t="n"/>
      <c r="D195" s="12" t="n"/>
      <c r="E195" s="12" t="n"/>
      <c r="F195" s="12" t="n"/>
      <c r="G195" s="12" t="n"/>
      <c r="H195" s="14">
        <f>IFERROR(VLOOKUP($B195,$A$25:$N$54,7,FALSE),"")</f>
        <v/>
      </c>
      <c r="I195" s="15">
        <f>IF($H195="Minor",1,IF($H195="Moderate",2,IF($H195="Major",3,IF($H195="Critical",4,""))))</f>
        <v/>
      </c>
      <c r="J195" s="16" t="n"/>
      <c r="K195" s="16" t="n"/>
      <c r="L195" s="15">
        <f>IF(OR($G195="Exact TP",$G195="Equivalent TP"),1,0)</f>
        <v/>
      </c>
      <c r="M195" s="15">
        <f>IF(OR($G195="FP Extra",$G195="Harmful FP"),1,0)</f>
        <v/>
      </c>
      <c r="N195" s="15">
        <f>IF(OR($G195="FN",$G195="Partial"),1,0)</f>
        <v/>
      </c>
      <c r="O195" s="15">
        <f>IF($L195=1,$I195,0)</f>
        <v/>
      </c>
      <c r="P195" s="15">
        <f>IF($M195=1,$I195,0)</f>
        <v/>
      </c>
      <c r="Q195" s="15">
        <f>IF($N195=1,$I195,0)</f>
        <v/>
      </c>
      <c r="R195" s="20" t="n"/>
      <c r="S195" s="20" t="n"/>
      <c r="T195" s="20" t="n"/>
    </row>
    <row r="196" ht="18.75" customHeight="1">
      <c r="A196" s="12" t="n"/>
      <c r="B196" s="12" t="n"/>
      <c r="C196" s="12" t="n"/>
      <c r="D196" s="12" t="n"/>
      <c r="E196" s="12" t="n"/>
      <c r="F196" s="12" t="n"/>
      <c r="G196" s="12" t="n"/>
      <c r="H196" s="14">
        <f>IFERROR(VLOOKUP($B196,$A$25:$N$54,7,FALSE),"")</f>
        <v/>
      </c>
      <c r="I196" s="15">
        <f>IF($H196="Minor",1,IF($H196="Moderate",2,IF($H196="Major",3,IF($H196="Critical",4,""))))</f>
        <v/>
      </c>
      <c r="J196" s="16" t="n"/>
      <c r="K196" s="16" t="n"/>
      <c r="L196" s="15">
        <f>IF(OR($G196="Exact TP",$G196="Equivalent TP"),1,0)</f>
        <v/>
      </c>
      <c r="M196" s="15">
        <f>IF(OR($G196="FP Extra",$G196="Harmful FP"),1,0)</f>
        <v/>
      </c>
      <c r="N196" s="15">
        <f>IF(OR($G196="FN",$G196="Partial"),1,0)</f>
        <v/>
      </c>
      <c r="O196" s="15">
        <f>IF($L196=1,$I196,0)</f>
        <v/>
      </c>
      <c r="P196" s="15">
        <f>IF($M196=1,$I196,0)</f>
        <v/>
      </c>
      <c r="Q196" s="15">
        <f>IF($N196=1,$I196,0)</f>
        <v/>
      </c>
      <c r="R196" s="20" t="n"/>
      <c r="S196" s="20" t="n"/>
      <c r="T196" s="20" t="n"/>
    </row>
    <row r="197" ht="18.75" customHeight="1">
      <c r="A197" s="12" t="n"/>
      <c r="B197" s="12" t="n"/>
      <c r="C197" s="12" t="n"/>
      <c r="D197" s="12" t="n"/>
      <c r="E197" s="12" t="n"/>
      <c r="F197" s="12" t="n"/>
      <c r="G197" s="12" t="n"/>
      <c r="H197" s="14">
        <f>IFERROR(VLOOKUP($B197,$A$25:$N$54,7,FALSE),"")</f>
        <v/>
      </c>
      <c r="I197" s="15">
        <f>IF($H197="Minor",1,IF($H197="Moderate",2,IF($H197="Major",3,IF($H197="Critical",4,""))))</f>
        <v/>
      </c>
      <c r="J197" s="16" t="n"/>
      <c r="K197" s="16" t="n"/>
      <c r="L197" s="15">
        <f>IF(OR($G197="Exact TP",$G197="Equivalent TP"),1,0)</f>
        <v/>
      </c>
      <c r="M197" s="15">
        <f>IF(OR($G197="FP Extra",$G197="Harmful FP"),1,0)</f>
        <v/>
      </c>
      <c r="N197" s="15">
        <f>IF(OR($G197="FN",$G197="Partial"),1,0)</f>
        <v/>
      </c>
      <c r="O197" s="15">
        <f>IF($L197=1,$I197,0)</f>
        <v/>
      </c>
      <c r="P197" s="15">
        <f>IF($M197=1,$I197,0)</f>
        <v/>
      </c>
      <c r="Q197" s="15">
        <f>IF($N197=1,$I197,0)</f>
        <v/>
      </c>
      <c r="R197" s="20" t="n"/>
      <c r="S197" s="20" t="n"/>
      <c r="T197" s="20" t="n"/>
    </row>
    <row r="198" ht="18.75" customHeight="1">
      <c r="A198" s="12" t="n"/>
      <c r="B198" s="12" t="n"/>
      <c r="C198" s="12" t="n"/>
      <c r="D198" s="12" t="n"/>
      <c r="E198" s="12" t="n"/>
      <c r="F198" s="12" t="n"/>
      <c r="G198" s="12" t="n"/>
      <c r="H198" s="14">
        <f>IFERROR(VLOOKUP($B198,$A$25:$N$54,7,FALSE),"")</f>
        <v/>
      </c>
      <c r="I198" s="15">
        <f>IF($H198="Minor",1,IF($H198="Moderate",2,IF($H198="Major",3,IF($H198="Critical",4,""))))</f>
        <v/>
      </c>
      <c r="J198" s="16" t="n"/>
      <c r="K198" s="16" t="n"/>
      <c r="L198" s="15">
        <f>IF(OR($G198="Exact TP",$G198="Equivalent TP"),1,0)</f>
        <v/>
      </c>
      <c r="M198" s="15">
        <f>IF(OR($G198="FP Extra",$G198="Harmful FP"),1,0)</f>
        <v/>
      </c>
      <c r="N198" s="15">
        <f>IF(OR($G198="FN",$G198="Partial"),1,0)</f>
        <v/>
      </c>
      <c r="O198" s="15">
        <f>IF($L198=1,$I198,0)</f>
        <v/>
      </c>
      <c r="P198" s="15">
        <f>IF($M198=1,$I198,0)</f>
        <v/>
      </c>
      <c r="Q198" s="15">
        <f>IF($N198=1,$I198,0)</f>
        <v/>
      </c>
      <c r="R198" s="20" t="n"/>
      <c r="S198" s="20" t="n"/>
      <c r="T198" s="20" t="n"/>
    </row>
    <row r="199" ht="18.75" customHeight="1">
      <c r="A199" s="12" t="n"/>
      <c r="B199" s="12" t="n"/>
      <c r="C199" s="12" t="n"/>
      <c r="D199" s="12" t="n"/>
      <c r="E199" s="12" t="n"/>
      <c r="F199" s="12" t="n"/>
      <c r="G199" s="12" t="n"/>
      <c r="H199" s="14">
        <f>IFERROR(VLOOKUP($B199,$A$25:$N$54,7,FALSE),"")</f>
        <v/>
      </c>
      <c r="I199" s="15">
        <f>IF($H199="Minor",1,IF($H199="Moderate",2,IF($H199="Major",3,IF($H199="Critical",4,""))))</f>
        <v/>
      </c>
      <c r="J199" s="16" t="n"/>
      <c r="K199" s="16" t="n"/>
      <c r="L199" s="15">
        <f>IF(OR($G199="Exact TP",$G199="Equivalent TP"),1,0)</f>
        <v/>
      </c>
      <c r="M199" s="15">
        <f>IF(OR($G199="FP Extra",$G199="Harmful FP"),1,0)</f>
        <v/>
      </c>
      <c r="N199" s="15">
        <f>IF(OR($G199="FN",$G199="Partial"),1,0)</f>
        <v/>
      </c>
      <c r="O199" s="15">
        <f>IF($L199=1,$I199,0)</f>
        <v/>
      </c>
      <c r="P199" s="15">
        <f>IF($M199=1,$I199,0)</f>
        <v/>
      </c>
      <c r="Q199" s="15">
        <f>IF($N199=1,$I199,0)</f>
        <v/>
      </c>
      <c r="R199" s="20" t="n"/>
      <c r="S199" s="20" t="n"/>
      <c r="T199" s="20" t="n"/>
    </row>
    <row r="200" ht="18.75" customHeight="1">
      <c r="A200" s="12" t="n"/>
      <c r="B200" s="12" t="n"/>
      <c r="C200" s="12" t="n"/>
      <c r="D200" s="12" t="n"/>
      <c r="E200" s="12" t="n"/>
      <c r="F200" s="12" t="n"/>
      <c r="G200" s="12" t="n"/>
      <c r="H200" s="14">
        <f>IFERROR(VLOOKUP($B200,$A$25:$N$54,7,FALSE),"")</f>
        <v/>
      </c>
      <c r="I200" s="15">
        <f>IF($H200="Minor",1,IF($H200="Moderate",2,IF($H200="Major",3,IF($H200="Critical",4,""))))</f>
        <v/>
      </c>
      <c r="J200" s="16" t="n"/>
      <c r="K200" s="16" t="n"/>
      <c r="L200" s="15">
        <f>IF(OR($G200="Exact TP",$G200="Equivalent TP"),1,0)</f>
        <v/>
      </c>
      <c r="M200" s="15">
        <f>IF(OR($G200="FP Extra",$G200="Harmful FP"),1,0)</f>
        <v/>
      </c>
      <c r="N200" s="15">
        <f>IF(OR($G200="FN",$G200="Partial"),1,0)</f>
        <v/>
      </c>
      <c r="O200" s="15">
        <f>IF($L200=1,$I200,0)</f>
        <v/>
      </c>
      <c r="P200" s="15">
        <f>IF($M200=1,$I200,0)</f>
        <v/>
      </c>
      <c r="Q200" s="15">
        <f>IF($N200=1,$I200,0)</f>
        <v/>
      </c>
      <c r="R200" s="20" t="n"/>
      <c r="S200" s="20" t="n"/>
      <c r="T200" s="20" t="n"/>
    </row>
    <row r="201" ht="18.75" customHeight="1">
      <c r="A201" s="12" t="n"/>
      <c r="B201" s="12" t="n"/>
      <c r="C201" s="12" t="n"/>
      <c r="D201" s="12" t="n"/>
      <c r="E201" s="12" t="n"/>
      <c r="F201" s="12" t="n"/>
      <c r="G201" s="12" t="n"/>
      <c r="H201" s="14">
        <f>IFERROR(VLOOKUP($B201,$A$25:$N$54,7,FALSE),"")</f>
        <v/>
      </c>
      <c r="I201" s="15">
        <f>IF($H201="Minor",1,IF($H201="Moderate",2,IF($H201="Major",3,IF($H201="Critical",4,""))))</f>
        <v/>
      </c>
      <c r="J201" s="16" t="n"/>
      <c r="K201" s="16" t="n"/>
      <c r="L201" s="15">
        <f>IF(OR($G201="Exact TP",$G201="Equivalent TP"),1,0)</f>
        <v/>
      </c>
      <c r="M201" s="15">
        <f>IF(OR($G201="FP Extra",$G201="Harmful FP"),1,0)</f>
        <v/>
      </c>
      <c r="N201" s="15">
        <f>IF(OR($G201="FN",$G201="Partial"),1,0)</f>
        <v/>
      </c>
      <c r="O201" s="15">
        <f>IF($L201=1,$I201,0)</f>
        <v/>
      </c>
      <c r="P201" s="15">
        <f>IF($M201=1,$I201,0)</f>
        <v/>
      </c>
      <c r="Q201" s="15">
        <f>IF($N201=1,$I201,0)</f>
        <v/>
      </c>
      <c r="R201" s="20" t="n"/>
      <c r="S201" s="20" t="n"/>
      <c r="T201" s="20" t="n"/>
    </row>
    <row r="202" ht="18.75" customHeight="1">
      <c r="A202" s="12" t="n"/>
      <c r="B202" s="12" t="n"/>
      <c r="C202" s="12" t="n"/>
      <c r="D202" s="12" t="n"/>
      <c r="E202" s="12" t="n"/>
      <c r="F202" s="12" t="n"/>
      <c r="G202" s="12" t="n"/>
      <c r="H202" s="14">
        <f>IFERROR(VLOOKUP($B202,$A$25:$N$54,7,FALSE),"")</f>
        <v/>
      </c>
      <c r="I202" s="15">
        <f>IF($H202="Minor",1,IF($H202="Moderate",2,IF($H202="Major",3,IF($H202="Critical",4,""))))</f>
        <v/>
      </c>
      <c r="J202" s="16" t="n"/>
      <c r="K202" s="16" t="n"/>
      <c r="L202" s="15">
        <f>IF(OR($G202="Exact TP",$G202="Equivalent TP"),1,0)</f>
        <v/>
      </c>
      <c r="M202" s="15">
        <f>IF(OR($G202="FP Extra",$G202="Harmful FP"),1,0)</f>
        <v/>
      </c>
      <c r="N202" s="15">
        <f>IF(OR($G202="FN",$G202="Partial"),1,0)</f>
        <v/>
      </c>
      <c r="O202" s="15">
        <f>IF($L202=1,$I202,0)</f>
        <v/>
      </c>
      <c r="P202" s="15">
        <f>IF($M202=1,$I202,0)</f>
        <v/>
      </c>
      <c r="Q202" s="15">
        <f>IF($N202=1,$I202,0)</f>
        <v/>
      </c>
      <c r="R202" s="20" t="n"/>
      <c r="S202" s="20" t="n"/>
      <c r="T202" s="20" t="n"/>
    </row>
    <row r="203" ht="18.75" customHeight="1">
      <c r="A203" s="12" t="n"/>
      <c r="B203" s="12" t="n"/>
      <c r="C203" s="12" t="n"/>
      <c r="D203" s="12" t="n"/>
      <c r="E203" s="12" t="n"/>
      <c r="F203" s="12" t="n"/>
      <c r="G203" s="12" t="n"/>
      <c r="H203" s="14">
        <f>IFERROR(VLOOKUP($B203,$A$25:$N$54,7,FALSE),"")</f>
        <v/>
      </c>
      <c r="I203" s="15">
        <f>IF($H203="Minor",1,IF($H203="Moderate",2,IF($H203="Major",3,IF($H203="Critical",4,""))))</f>
        <v/>
      </c>
      <c r="J203" s="16" t="n"/>
      <c r="K203" s="16" t="n"/>
      <c r="L203" s="15">
        <f>IF(OR($G203="Exact TP",$G203="Equivalent TP"),1,0)</f>
        <v/>
      </c>
      <c r="M203" s="15">
        <f>IF(OR($G203="FP Extra",$G203="Harmful FP"),1,0)</f>
        <v/>
      </c>
      <c r="N203" s="15">
        <f>IF(OR($G203="FN",$G203="Partial"),1,0)</f>
        <v/>
      </c>
      <c r="O203" s="15">
        <f>IF($L203=1,$I203,0)</f>
        <v/>
      </c>
      <c r="P203" s="15">
        <f>IF($M203=1,$I203,0)</f>
        <v/>
      </c>
      <c r="Q203" s="15">
        <f>IF($N203=1,$I203,0)</f>
        <v/>
      </c>
      <c r="R203" s="20" t="n"/>
      <c r="S203" s="20" t="n"/>
      <c r="T203" s="20" t="n"/>
    </row>
    <row r="204" ht="18.75" customHeight="1">
      <c r="A204" s="12" t="n"/>
      <c r="B204" s="12" t="n"/>
      <c r="C204" s="12" t="n"/>
      <c r="D204" s="12" t="n"/>
      <c r="E204" s="12" t="n"/>
      <c r="F204" s="12" t="n"/>
      <c r="G204" s="12" t="n"/>
      <c r="H204" s="14">
        <f>IFERROR(VLOOKUP($B204,$A$25:$N$54,7,FALSE),"")</f>
        <v/>
      </c>
      <c r="I204" s="15">
        <f>IF($H204="Minor",1,IF($H204="Moderate",2,IF($H204="Major",3,IF($H204="Critical",4,""))))</f>
        <v/>
      </c>
      <c r="J204" s="16" t="n"/>
      <c r="K204" s="16" t="n"/>
      <c r="L204" s="15">
        <f>IF(OR($G204="Exact TP",$G204="Equivalent TP"),1,0)</f>
        <v/>
      </c>
      <c r="M204" s="15">
        <f>IF(OR($G204="FP Extra",$G204="Harmful FP"),1,0)</f>
        <v/>
      </c>
      <c r="N204" s="15">
        <f>IF(OR($G204="FN",$G204="Partial"),1,0)</f>
        <v/>
      </c>
      <c r="O204" s="15">
        <f>IF($L204=1,$I204,0)</f>
        <v/>
      </c>
      <c r="P204" s="15">
        <f>IF($M204=1,$I204,0)</f>
        <v/>
      </c>
      <c r="Q204" s="15">
        <f>IF($N204=1,$I204,0)</f>
        <v/>
      </c>
      <c r="R204" s="20" t="n"/>
      <c r="S204" s="20" t="n"/>
      <c r="T204" s="20" t="n"/>
    </row>
    <row r="205" ht="18.75" customHeight="1">
      <c r="A205" s="12" t="n"/>
      <c r="B205" s="12" t="n"/>
      <c r="C205" s="12" t="n"/>
      <c r="D205" s="12" t="n"/>
      <c r="E205" s="12" t="n"/>
      <c r="F205" s="12" t="n"/>
      <c r="G205" s="12" t="n"/>
      <c r="H205" s="14">
        <f>IFERROR(VLOOKUP($B205,$A$25:$N$54,7,FALSE),"")</f>
        <v/>
      </c>
      <c r="I205" s="15">
        <f>IF($H205="Minor",1,IF($H205="Moderate",2,IF($H205="Major",3,IF($H205="Critical",4,""))))</f>
        <v/>
      </c>
      <c r="J205" s="16" t="n"/>
      <c r="K205" s="16" t="n"/>
      <c r="L205" s="15">
        <f>IF(OR($G205="Exact TP",$G205="Equivalent TP"),1,0)</f>
        <v/>
      </c>
      <c r="M205" s="15">
        <f>IF(OR($G205="FP Extra",$G205="Harmful FP"),1,0)</f>
        <v/>
      </c>
      <c r="N205" s="15">
        <f>IF(OR($G205="FN",$G205="Partial"),1,0)</f>
        <v/>
      </c>
      <c r="O205" s="15">
        <f>IF($L205=1,$I205,0)</f>
        <v/>
      </c>
      <c r="P205" s="15">
        <f>IF($M205=1,$I205,0)</f>
        <v/>
      </c>
      <c r="Q205" s="15">
        <f>IF($N205=1,$I205,0)</f>
        <v/>
      </c>
      <c r="R205" s="20" t="n"/>
      <c r="S205" s="20" t="n"/>
      <c r="T205" s="20" t="n"/>
    </row>
    <row r="206" ht="18.75" customHeight="1">
      <c r="A206" s="12" t="n"/>
      <c r="B206" s="12" t="n"/>
      <c r="C206" s="12" t="n"/>
      <c r="D206" s="12" t="n"/>
      <c r="E206" s="12" t="n"/>
      <c r="F206" s="12" t="n"/>
      <c r="G206" s="12" t="n"/>
      <c r="H206" s="14">
        <f>IFERROR(VLOOKUP($B206,$A$25:$N$54,7,FALSE),"")</f>
        <v/>
      </c>
      <c r="I206" s="15">
        <f>IF($H206="Minor",1,IF($H206="Moderate",2,IF($H206="Major",3,IF($H206="Critical",4,""))))</f>
        <v/>
      </c>
      <c r="J206" s="16" t="n"/>
      <c r="K206" s="16" t="n"/>
      <c r="L206" s="15">
        <f>IF(OR($G206="Exact TP",$G206="Equivalent TP"),1,0)</f>
        <v/>
      </c>
      <c r="M206" s="15">
        <f>IF(OR($G206="FP Extra",$G206="Harmful FP"),1,0)</f>
        <v/>
      </c>
      <c r="N206" s="15">
        <f>IF(OR($G206="FN",$G206="Partial"),1,0)</f>
        <v/>
      </c>
      <c r="O206" s="15">
        <f>IF($L206=1,$I206,0)</f>
        <v/>
      </c>
      <c r="P206" s="15">
        <f>IF($M206=1,$I206,0)</f>
        <v/>
      </c>
      <c r="Q206" s="15">
        <f>IF($N206=1,$I206,0)</f>
        <v/>
      </c>
      <c r="R206" s="20" t="n"/>
      <c r="S206" s="20" t="n"/>
      <c r="T206" s="20" t="n"/>
    </row>
    <row r="207" ht="18.75" customHeight="1">
      <c r="A207" s="12" t="n"/>
      <c r="B207" s="12" t="n"/>
      <c r="C207" s="12" t="n"/>
      <c r="D207" s="12" t="n"/>
      <c r="E207" s="12" t="n"/>
      <c r="F207" s="12" t="n"/>
      <c r="G207" s="12" t="n"/>
      <c r="H207" s="14">
        <f>IFERROR(VLOOKUP($B207,$A$25:$N$54,7,FALSE),"")</f>
        <v/>
      </c>
      <c r="I207" s="15">
        <f>IF($H207="Minor",1,IF($H207="Moderate",2,IF($H207="Major",3,IF($H207="Critical",4,""))))</f>
        <v/>
      </c>
      <c r="J207" s="16" t="n"/>
      <c r="K207" s="16" t="n"/>
      <c r="L207" s="15">
        <f>IF(OR($G207="Exact TP",$G207="Equivalent TP"),1,0)</f>
        <v/>
      </c>
      <c r="M207" s="15">
        <f>IF(OR($G207="FP Extra",$G207="Harmful FP"),1,0)</f>
        <v/>
      </c>
      <c r="N207" s="15">
        <f>IF(OR($G207="FN",$G207="Partial"),1,0)</f>
        <v/>
      </c>
      <c r="O207" s="15">
        <f>IF($L207=1,$I207,0)</f>
        <v/>
      </c>
      <c r="P207" s="15">
        <f>IF($M207=1,$I207,0)</f>
        <v/>
      </c>
      <c r="Q207" s="15">
        <f>IF($N207=1,$I207,0)</f>
        <v/>
      </c>
      <c r="R207" s="20" t="n"/>
      <c r="S207" s="20" t="n"/>
      <c r="T207" s="20" t="n"/>
    </row>
    <row r="208" ht="18.75" customHeight="1">
      <c r="A208" s="12" t="n"/>
      <c r="B208" s="12" t="n"/>
      <c r="C208" s="12" t="n"/>
      <c r="D208" s="12" t="n"/>
      <c r="E208" s="12" t="n"/>
      <c r="F208" s="12" t="n"/>
      <c r="G208" s="12" t="n"/>
      <c r="H208" s="14">
        <f>IFERROR(VLOOKUP($B208,$A$25:$N$54,7,FALSE),"")</f>
        <v/>
      </c>
      <c r="I208" s="15">
        <f>IF($H208="Minor",1,IF($H208="Moderate",2,IF($H208="Major",3,IF($H208="Critical",4,""))))</f>
        <v/>
      </c>
      <c r="J208" s="16" t="n"/>
      <c r="K208" s="16" t="n"/>
      <c r="L208" s="15">
        <f>IF(OR($G208="Exact TP",$G208="Equivalent TP"),1,0)</f>
        <v/>
      </c>
      <c r="M208" s="15">
        <f>IF(OR($G208="FP Extra",$G208="Harmful FP"),1,0)</f>
        <v/>
      </c>
      <c r="N208" s="15">
        <f>IF(OR($G208="FN",$G208="Partial"),1,0)</f>
        <v/>
      </c>
      <c r="O208" s="15">
        <f>IF($L208=1,$I208,0)</f>
        <v/>
      </c>
      <c r="P208" s="15">
        <f>IF($M208=1,$I208,0)</f>
        <v/>
      </c>
      <c r="Q208" s="15">
        <f>IF($N208=1,$I208,0)</f>
        <v/>
      </c>
      <c r="R208" s="20" t="n"/>
      <c r="S208" s="20" t="n"/>
      <c r="T208" s="20" t="n"/>
    </row>
    <row r="209" ht="18.75" customHeight="1">
      <c r="A209" s="12" t="n"/>
      <c r="B209" s="12" t="n"/>
      <c r="C209" s="12" t="n"/>
      <c r="D209" s="12" t="n"/>
      <c r="E209" s="12" t="n"/>
      <c r="F209" s="12" t="n"/>
      <c r="G209" s="12" t="n"/>
      <c r="H209" s="14">
        <f>IFERROR(VLOOKUP($B209,$A$25:$N$54,7,FALSE),"")</f>
        <v/>
      </c>
      <c r="I209" s="15">
        <f>IF($H209="Minor",1,IF($H209="Moderate",2,IF($H209="Major",3,IF($H209="Critical",4,""))))</f>
        <v/>
      </c>
      <c r="J209" s="16" t="n"/>
      <c r="K209" s="16" t="n"/>
      <c r="L209" s="15">
        <f>IF(OR($G209="Exact TP",$G209="Equivalent TP"),1,0)</f>
        <v/>
      </c>
      <c r="M209" s="15">
        <f>IF(OR($G209="FP Extra",$G209="Harmful FP"),1,0)</f>
        <v/>
      </c>
      <c r="N209" s="15">
        <f>IF(OR($G209="FN",$G209="Partial"),1,0)</f>
        <v/>
      </c>
      <c r="O209" s="15">
        <f>IF($L209=1,$I209,0)</f>
        <v/>
      </c>
      <c r="P209" s="15">
        <f>IF($M209=1,$I209,0)</f>
        <v/>
      </c>
      <c r="Q209" s="15">
        <f>IF($N209=1,$I209,0)</f>
        <v/>
      </c>
      <c r="R209" s="20" t="n"/>
      <c r="S209" s="20" t="n"/>
      <c r="T209" s="20" t="n"/>
    </row>
    <row r="210" ht="18.75" customHeight="1">
      <c r="A210" s="12" t="n"/>
      <c r="B210" s="12" t="n"/>
      <c r="C210" s="12" t="n"/>
      <c r="D210" s="12" t="n"/>
      <c r="E210" s="12" t="n"/>
      <c r="F210" s="12" t="n"/>
      <c r="G210" s="12" t="n"/>
      <c r="H210" s="14">
        <f>IFERROR(VLOOKUP($B210,$A$25:$N$54,7,FALSE),"")</f>
        <v/>
      </c>
      <c r="I210" s="15">
        <f>IF($H210="Minor",1,IF($H210="Moderate",2,IF($H210="Major",3,IF($H210="Critical",4,""))))</f>
        <v/>
      </c>
      <c r="J210" s="16" t="n"/>
      <c r="K210" s="16" t="n"/>
      <c r="L210" s="15">
        <f>IF(OR($G210="Exact TP",$G210="Equivalent TP"),1,0)</f>
        <v/>
      </c>
      <c r="M210" s="15">
        <f>IF(OR($G210="FP Extra",$G210="Harmful FP"),1,0)</f>
        <v/>
      </c>
      <c r="N210" s="15">
        <f>IF(OR($G210="FN",$G210="Partial"),1,0)</f>
        <v/>
      </c>
      <c r="O210" s="15">
        <f>IF($L210=1,$I210,0)</f>
        <v/>
      </c>
      <c r="P210" s="15">
        <f>IF($M210=1,$I210,0)</f>
        <v/>
      </c>
      <c r="Q210" s="15">
        <f>IF($N210=1,$I210,0)</f>
        <v/>
      </c>
      <c r="R210" s="20" t="n"/>
      <c r="S210" s="20" t="n"/>
      <c r="T210" s="20" t="n"/>
    </row>
    <row r="211" ht="18.75" customHeight="1">
      <c r="A211" s="20" t="n"/>
      <c r="B211" s="20" t="n"/>
      <c r="C211" s="21" t="n"/>
      <c r="D211" s="21" t="n"/>
      <c r="E211" s="20" t="n"/>
      <c r="F211" s="21" t="n"/>
      <c r="G211" s="21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</row>
    <row r="212" ht="18.75" customHeight="1">
      <c r="A212" s="20" t="n"/>
      <c r="B212" s="20" t="n"/>
      <c r="C212" s="21" t="n"/>
      <c r="D212" s="21" t="n"/>
      <c r="E212" s="20" t="n"/>
      <c r="F212" s="21" t="n"/>
      <c r="G212" s="21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</row>
    <row r="213" ht="18.75" customHeight="1">
      <c r="A213" s="1" t="inlineStr">
        <is>
          <t>7. Behavioral and Quality Evaluation by Treatment</t>
        </is>
      </c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2" t="n"/>
      <c r="Q213" s="20" t="n"/>
      <c r="R213" s="20" t="n"/>
      <c r="S213" s="20" t="n"/>
      <c r="T213" s="20" t="n"/>
    </row>
    <row r="214" ht="18.75" customFormat="1" customHeight="1" s="4">
      <c r="A214" s="8" t="inlineStr">
        <is>
          <t>Treatment</t>
        </is>
      </c>
      <c r="B214" s="8" t="inlineStr">
        <is>
          <t>Build Status</t>
        </is>
      </c>
      <c r="C214" s="8" t="inlineStr">
        <is>
          <t>Tests Total</t>
        </is>
      </c>
      <c r="D214" s="8" t="inlineStr">
        <is>
          <t>Tests Passed</t>
        </is>
      </c>
      <c r="E214" s="8" t="inlineStr">
        <is>
          <t>Test Pass Rate</t>
        </is>
      </c>
      <c r="F214" s="8" t="inlineStr">
        <is>
          <t>Behavior Score</t>
        </is>
      </c>
      <c r="G214" s="8" t="inlineStr">
        <is>
          <t>Runtime Issues</t>
        </is>
      </c>
      <c r="H214" s="8" t="inlineStr">
        <is>
          <t>Smells Before</t>
        </is>
      </c>
      <c r="I214" s="8" t="inlineStr">
        <is>
          <t>Smells After</t>
        </is>
      </c>
      <c r="J214" s="8" t="inlineStr">
        <is>
          <t>Smell Red.%</t>
        </is>
      </c>
      <c r="K214" s="8" t="inlineStr">
        <is>
          <t>Complexity Before</t>
        </is>
      </c>
      <c r="L214" s="8" t="inlineStr">
        <is>
          <t>Complexity After</t>
        </is>
      </c>
      <c r="M214" s="8" t="inlineStr">
        <is>
          <t>Complexity Red.%</t>
        </is>
      </c>
      <c r="N214" s="8" t="inlineStr">
        <is>
          <t>MI Before</t>
        </is>
      </c>
      <c r="O214" s="8" t="inlineStr">
        <is>
          <t>MI After</t>
        </is>
      </c>
      <c r="P214" s="8" t="inlineStr">
        <is>
          <t>MI Change</t>
        </is>
      </c>
      <c r="Q214" s="8" t="inlineStr">
        <is>
          <t>Repair Effort (hrs)</t>
        </is>
      </c>
      <c r="R214" s="8" t="inlineStr">
        <is>
          <t>Integration Readiness</t>
        </is>
      </c>
      <c r="S214" s="8" t="inlineStr">
        <is>
          <t>Notes</t>
        </is>
      </c>
      <c r="T214" s="21" t="n"/>
    </row>
    <row r="215" ht="18.75" customHeight="1">
      <c r="A215" s="6" t="inlineStr">
        <is>
          <t>AI-Assisted</t>
        </is>
      </c>
      <c r="B215" s="12" t="n"/>
      <c r="C215" s="12" t="n"/>
      <c r="D215" s="12" t="n"/>
      <c r="E215" s="17">
        <f>IFERROR(D215/C215,"")</f>
        <v/>
      </c>
      <c r="F215" s="18" t="n"/>
      <c r="G215" s="12" t="n"/>
      <c r="H215" s="12" t="n"/>
      <c r="I215" s="12" t="n"/>
      <c r="J215" s="17">
        <f>IFERROR((H215-I215)/H215,"")</f>
        <v/>
      </c>
      <c r="K215" s="12" t="n"/>
      <c r="L215" s="12" t="n"/>
      <c r="M215" s="17">
        <f>IFERROR((K215-L215)/K215,"")</f>
        <v/>
      </c>
      <c r="N215" s="12" t="n"/>
      <c r="O215" s="12" t="n"/>
      <c r="P215" s="19">
        <f>IFERROR(O215-N215,"")</f>
        <v/>
      </c>
      <c r="Q215" s="18" t="n"/>
      <c r="R215" s="12" t="n"/>
      <c r="S215" s="12" t="n"/>
      <c r="T215" s="20" t="n"/>
    </row>
    <row r="216" ht="18.75" customHeight="1">
      <c r="A216" s="6" t="inlineStr">
        <is>
          <t>Auto Tool A</t>
        </is>
      </c>
      <c r="B216" s="12" t="n"/>
      <c r="C216" s="12" t="n"/>
      <c r="D216" s="12" t="n"/>
      <c r="E216" s="17">
        <f>IFERROR(D216/C216,"")</f>
        <v/>
      </c>
      <c r="F216" s="18" t="n"/>
      <c r="G216" s="12" t="n"/>
      <c r="H216" s="12" t="n"/>
      <c r="I216" s="12" t="n"/>
      <c r="J216" s="17">
        <f>IFERROR((H216-I216)/H216,"")</f>
        <v/>
      </c>
      <c r="K216" s="12" t="n"/>
      <c r="L216" s="12" t="n"/>
      <c r="M216" s="17">
        <f>IFERROR((K216-L216)/K216,"")</f>
        <v/>
      </c>
      <c r="N216" s="12" t="n"/>
      <c r="O216" s="12" t="n"/>
      <c r="P216" s="19">
        <f>IFERROR(O216-N216,"")</f>
        <v/>
      </c>
      <c r="Q216" s="18" t="n"/>
      <c r="R216" s="12" t="n"/>
      <c r="S216" s="12" t="n"/>
      <c r="T216" s="20" t="n"/>
    </row>
    <row r="217" ht="18.75" customHeight="1">
      <c r="A217" s="6" t="inlineStr">
        <is>
          <t>Auto Tool B</t>
        </is>
      </c>
      <c r="B217" s="12" t="n"/>
      <c r="C217" s="12" t="n"/>
      <c r="D217" s="12" t="n"/>
      <c r="E217" s="17">
        <f>IFERROR(D217/C217,"")</f>
        <v/>
      </c>
      <c r="F217" s="18" t="n"/>
      <c r="G217" s="12" t="n"/>
      <c r="H217" s="12" t="n"/>
      <c r="I217" s="12" t="n"/>
      <c r="J217" s="17">
        <f>IFERROR((H217-I217)/H217,"")</f>
        <v/>
      </c>
      <c r="K217" s="12" t="n"/>
      <c r="L217" s="12" t="n"/>
      <c r="M217" s="17">
        <f>IFERROR((K217-L217)/K217,"")</f>
        <v/>
      </c>
      <c r="N217" s="12" t="n"/>
      <c r="O217" s="12" t="n"/>
      <c r="P217" s="19">
        <f>IFERROR(O217-N217,"")</f>
        <v/>
      </c>
      <c r="Q217" s="18" t="n"/>
      <c r="R217" s="12" t="n"/>
      <c r="S217" s="12" t="n"/>
      <c r="T217" s="20" t="n"/>
    </row>
    <row r="218" ht="18.75" customHeight="1">
      <c r="A218" s="6" t="inlineStr">
        <is>
          <t>Auto Tool C</t>
        </is>
      </c>
      <c r="B218" s="12" t="n"/>
      <c r="C218" s="12" t="n"/>
      <c r="D218" s="12" t="n"/>
      <c r="E218" s="17">
        <f>IFERROR(D218/C218,"")</f>
        <v/>
      </c>
      <c r="F218" s="18" t="n"/>
      <c r="G218" s="12" t="n"/>
      <c r="H218" s="12" t="n"/>
      <c r="I218" s="12" t="n"/>
      <c r="J218" s="17">
        <f>IFERROR((H218-I218)/H218,"")</f>
        <v/>
      </c>
      <c r="K218" s="12" t="n"/>
      <c r="L218" s="12" t="n"/>
      <c r="M218" s="17">
        <f>IFERROR((K218-L218)/K218,"")</f>
        <v/>
      </c>
      <c r="N218" s="12" t="n"/>
      <c r="O218" s="12" t="n"/>
      <c r="P218" s="19">
        <f>IFERROR(O218-N218,"")</f>
        <v/>
      </c>
      <c r="Q218" s="18" t="n"/>
      <c r="R218" s="12" t="n"/>
      <c r="S218" s="12" t="n"/>
      <c r="T218" s="20" t="n"/>
    </row>
    <row r="219" ht="18.75" customHeight="1">
      <c r="A219" s="20" t="n"/>
      <c r="B219" s="20" t="n"/>
      <c r="C219" s="21" t="n"/>
      <c r="D219" s="21" t="n"/>
      <c r="E219" s="20" t="n"/>
      <c r="F219" s="21" t="n"/>
      <c r="G219" s="21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</row>
    <row r="220" ht="18.75" customHeight="1">
      <c r="A220" s="20" t="n"/>
      <c r="B220" s="20" t="n"/>
      <c r="C220" s="21" t="n"/>
      <c r="D220" s="21" t="n"/>
      <c r="E220" s="20" t="n"/>
      <c r="F220" s="21" t="n"/>
      <c r="G220" s="21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</row>
    <row r="221" ht="18.75" customHeight="1">
      <c r="A221" s="20" t="n"/>
      <c r="B221" s="20" t="n"/>
      <c r="C221" s="21" t="n"/>
      <c r="D221" s="21" t="n"/>
      <c r="E221" s="20" t="n"/>
      <c r="F221" s="21" t="n"/>
      <c r="G221" s="21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</row>
    <row r="222" ht="18.75" customHeight="1">
      <c r="A222" s="1" t="inlineStr">
        <is>
          <t>8. Representative Examples / Notes</t>
        </is>
      </c>
      <c r="B222" s="41" t="n"/>
      <c r="C222" s="41" t="n"/>
      <c r="D222" s="41" t="n"/>
      <c r="E222" s="41" t="n"/>
      <c r="F222" s="41" t="n"/>
      <c r="G222" s="41" t="n"/>
      <c r="H222" s="42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</row>
    <row r="223" ht="18.75" customFormat="1" customHeight="1" s="4">
      <c r="A223" s="8" t="inlineStr">
        <is>
          <t>Treatment</t>
        </is>
      </c>
      <c r="B223" s="8" t="inlineStr">
        <is>
          <t>RR_ID</t>
        </is>
      </c>
      <c r="C223" s="8" t="inlineStr">
        <is>
          <t>GA_ID</t>
        </is>
      </c>
      <c r="D223" s="8" t="inlineStr">
        <is>
          <t>Short Label</t>
        </is>
      </c>
      <c r="E223" s="8" t="inlineStr">
        <is>
          <t>Why Representative</t>
        </is>
      </c>
      <c r="F223" s="8" t="inlineStr">
        <is>
          <t>Outcome Summary</t>
        </is>
      </c>
      <c r="G223" s="8" t="inlineStr">
        <is>
          <t>Code Pointer / Diff Ref</t>
        </is>
      </c>
      <c r="H223" s="8" t="inlineStr">
        <is>
          <t>Notes</t>
        </is>
      </c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</row>
    <row r="224" ht="18.75" customFormat="1" customHeight="1" s="4">
      <c r="A224" s="12" t="n"/>
      <c r="B224" s="13" t="n"/>
      <c r="C224" s="12" t="n"/>
      <c r="D224" s="13" t="n"/>
      <c r="E224" s="12" t="n"/>
      <c r="F224" s="13" t="n"/>
      <c r="G224" s="12" t="n"/>
      <c r="H224" s="13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</row>
    <row r="225" ht="18.75" customFormat="1" customHeight="1" s="4">
      <c r="A225" s="12" t="n"/>
      <c r="B225" s="13" t="n"/>
      <c r="C225" s="12" t="n"/>
      <c r="D225" s="13" t="n"/>
      <c r="E225" s="12" t="n"/>
      <c r="F225" s="13" t="n"/>
      <c r="G225" s="12" t="n"/>
      <c r="H225" s="13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</row>
    <row r="226" ht="18.75" customFormat="1" customHeight="1" s="4">
      <c r="A226" s="12" t="n"/>
      <c r="B226" s="13" t="n"/>
      <c r="C226" s="12" t="n"/>
      <c r="D226" s="13" t="n"/>
      <c r="E226" s="12" t="n"/>
      <c r="F226" s="13" t="n"/>
      <c r="G226" s="12" t="n"/>
      <c r="H226" s="13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</row>
    <row r="227" ht="18.75" customFormat="1" customHeight="1" s="4">
      <c r="A227" s="12" t="n"/>
      <c r="B227" s="13" t="n"/>
      <c r="C227" s="12" t="n"/>
      <c r="D227" s="13" t="n"/>
      <c r="E227" s="12" t="n"/>
      <c r="F227" s="13" t="n"/>
      <c r="G227" s="12" t="n"/>
      <c r="H227" s="13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</row>
    <row r="228" ht="18.75" customFormat="1" customHeight="1" s="4">
      <c r="A228" s="12" t="n"/>
      <c r="B228" s="13" t="n"/>
      <c r="C228" s="12" t="n"/>
      <c r="D228" s="13" t="n"/>
      <c r="E228" s="12" t="n"/>
      <c r="F228" s="13" t="n"/>
      <c r="G228" s="12" t="n"/>
      <c r="H228" s="13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</row>
    <row r="229" ht="18.75" customFormat="1" customHeight="1" s="4">
      <c r="A229" s="12" t="n"/>
      <c r="B229" s="13" t="n"/>
      <c r="C229" s="12" t="n"/>
      <c r="D229" s="13" t="n"/>
      <c r="E229" s="12" t="n"/>
      <c r="F229" s="13" t="n"/>
      <c r="G229" s="12" t="n"/>
      <c r="H229" s="13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</row>
    <row r="230" ht="18.75" customFormat="1" customHeight="1" s="4">
      <c r="A230" s="12" t="n"/>
      <c r="B230" s="13" t="n"/>
      <c r="C230" s="12" t="n"/>
      <c r="D230" s="13" t="n"/>
      <c r="E230" s="12" t="n"/>
      <c r="F230" s="13" t="n"/>
      <c r="G230" s="12" t="n"/>
      <c r="H230" s="13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</row>
  </sheetData>
  <mergeCells count="9">
    <mergeCell ref="A1:T1"/>
    <mergeCell ref="A89:Q89"/>
    <mergeCell ref="H4:T4"/>
    <mergeCell ref="A14:J14"/>
    <mergeCell ref="A57:K57"/>
    <mergeCell ref="A222:H222"/>
    <mergeCell ref="A4:F4"/>
    <mergeCell ref="A23:N23"/>
    <mergeCell ref="A213:P2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8.xml><?xml version="1.0" encoding="utf-8"?>
<worksheet xmlns="http://schemas.openxmlformats.org/spreadsheetml/2006/main">
  <sheetPr>
    <outlinePr summaryBelow="0"/>
    <pageSetUpPr/>
  </sheetPr>
  <dimension ref="A1:T230"/>
  <sheetViews>
    <sheetView workbookViewId="0">
      <selection activeCell="A1" sqref="A1"/>
    </sheetView>
  </sheetViews>
  <sheetFormatPr baseColWidth="8" defaultRowHeight="15"/>
  <cols>
    <col width="18.005" bestFit="1" customWidth="1" style="20" min="1" max="1"/>
    <col width="18.005" bestFit="1" customWidth="1" style="20" min="2" max="2"/>
    <col width="24.005" bestFit="1" customWidth="1" style="21" min="3" max="3"/>
    <col width="24.005" bestFit="1" customWidth="1" style="21" min="4" max="4"/>
    <col width="18.005" bestFit="1" customWidth="1" style="20" min="5" max="5"/>
    <col width="18.005" bestFit="1" customWidth="1" style="21" min="6" max="6"/>
    <col width="14.005" bestFit="1" customWidth="1" style="21" min="7" max="7"/>
    <col width="14.005" bestFit="1" customWidth="1" style="20" min="8" max="8"/>
    <col width="14.005" bestFit="1" customWidth="1" style="20" min="9" max="9"/>
    <col width="18.005" bestFit="1" customWidth="1" style="20" min="10" max="10"/>
    <col width="18.005" bestFit="1" customWidth="1" style="20" min="11" max="11"/>
    <col width="14.005" bestFit="1" customWidth="1" style="20" min="12" max="12"/>
    <col width="14.005" bestFit="1" customWidth="1" style="20" min="13" max="13"/>
    <col width="18.005" bestFit="1" customWidth="1" style="20" min="14" max="14"/>
    <col width="14.005" bestFit="1" customWidth="1" style="20" min="15" max="15"/>
    <col width="14.005" bestFit="1" customWidth="1" style="20" min="16" max="16"/>
    <col width="14.005" bestFit="1" customWidth="1" style="20" min="17" max="17"/>
    <col width="14.005" bestFit="1" customWidth="1" style="20" min="18" max="18"/>
    <col width="14.005" bestFit="1" customWidth="1" style="20" min="19" max="19"/>
    <col width="14.005" bestFit="1" customWidth="1" style="20" min="20" max="20"/>
  </cols>
  <sheetData>
    <row r="1" ht="18.75" customHeight="1">
      <c r="A1" s="1" t="inlineStr">
        <is>
          <t>Module_M5 — Data Collection Sheet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18.75" customFormat="1" customHeight="1" s="4">
      <c r="A2" s="5" t="inlineStr">
        <is>
          <t>Blue-font cells are for input. Black-font cells contain formulas. Replace placeholders only where appropriate.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ht="18.75" customHeight="1">
      <c r="A3" s="20" t="n"/>
      <c r="B3" s="20" t="n"/>
      <c r="C3" s="21" t="n"/>
      <c r="D3" s="21" t="n"/>
      <c r="E3" s="20" t="n"/>
      <c r="F3" s="21" t="n"/>
      <c r="G3" s="21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8.75" customHeight="1">
      <c r="A4" s="1" t="inlineStr">
        <is>
          <t>1. Module Metadata</t>
        </is>
      </c>
      <c r="B4" s="41" t="n"/>
      <c r="C4" s="41" t="n"/>
      <c r="D4" s="41" t="n"/>
      <c r="E4" s="41" t="n"/>
      <c r="F4" s="42" t="n"/>
      <c r="G4" s="21" t="n"/>
      <c r="H4" s="1" t="inlineStr">
        <is>
          <t>2. Auto-Calculated Summary by Treatment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2" t="n"/>
    </row>
    <row r="5" ht="18.75" customHeight="1">
      <c r="A5" s="6" t="inlineStr">
        <is>
          <t>Module ID</t>
        </is>
      </c>
      <c r="B5" s="7" t="inlineStr">
        <is>
          <t>M5</t>
        </is>
      </c>
      <c r="C5" s="21" t="n"/>
      <c r="D5" s="21" t="n"/>
      <c r="E5" s="20" t="n"/>
      <c r="F5" s="21" t="n"/>
      <c r="G5" s="21" t="n"/>
      <c r="H5" s="8" t="inlineStr">
        <is>
          <t>Treatment</t>
        </is>
      </c>
      <c r="I5" s="8" t="inlineStr">
        <is>
          <t>TP</t>
        </is>
      </c>
      <c r="J5" s="8" t="inlineStr">
        <is>
          <t>Partial</t>
        </is>
      </c>
      <c r="K5" s="8" t="inlineStr">
        <is>
          <t>FP</t>
        </is>
      </c>
      <c r="L5" s="8" t="inlineStr">
        <is>
          <t>FN</t>
        </is>
      </c>
      <c r="M5" s="8" t="inlineStr">
        <is>
          <t>Precision</t>
        </is>
      </c>
      <c r="N5" s="8" t="inlineStr">
        <is>
          <t>Recall</t>
        </is>
      </c>
      <c r="O5" s="8" t="inlineStr">
        <is>
          <t>F1</t>
        </is>
      </c>
      <c r="P5" s="8" t="inlineStr">
        <is>
          <t>Weighted F1</t>
        </is>
      </c>
      <c r="Q5" s="8" t="inlineStr">
        <is>
          <t>Behavior Score</t>
        </is>
      </c>
      <c r="R5" s="8" t="inlineStr">
        <is>
          <t>Smell Red.%</t>
        </is>
      </c>
      <c r="S5" s="8" t="inlineStr">
        <is>
          <t>Integration</t>
        </is>
      </c>
      <c r="T5" s="20" t="n"/>
    </row>
    <row r="6" ht="18.75" customHeight="1">
      <c r="A6" s="6" t="inlineStr">
        <is>
          <t>Module Name</t>
        </is>
      </c>
      <c r="B6" s="7" t="n"/>
      <c r="C6" s="21" t="n"/>
      <c r="D6" s="21" t="n"/>
      <c r="E6" s="20" t="n"/>
      <c r="F6" s="21" t="n"/>
      <c r="G6" s="21" t="n"/>
      <c r="H6" s="6" t="inlineStr">
        <is>
          <t>AI-Assisted</t>
        </is>
      </c>
      <c r="I6" s="9">
        <f>SUMIFS($L$89:$L$210,$A$89:$A$210,$H6)</f>
        <v/>
      </c>
      <c r="J6" s="9">
        <f>COUNTIFS($A$89:$A$210,$H6,$G$89:$G$210,"Partial")</f>
        <v/>
      </c>
      <c r="K6" s="9">
        <f>SUMIFS($M$89:$M$210,$A$89:$A$210,$H6)</f>
        <v/>
      </c>
      <c r="L6" s="9">
        <f>SUMIFS($N$89:$N$210,$A$89:$A$210,$H6)</f>
        <v/>
      </c>
      <c r="M6" s="10">
        <f>IFERROR(I6/(I6+K6),"")</f>
        <v/>
      </c>
      <c r="N6" s="10">
        <f>IFERROR(I6/(I6+L6),"")</f>
        <v/>
      </c>
      <c r="O6" s="10">
        <f>IFERROR(2*M6*N6/(M6+N6),"")</f>
        <v/>
      </c>
      <c r="P6" s="10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9">
        <f>IFERROR(INDEX($F$215:$F$218,MATCH($H6,$A$215:$A$218,0)),"")</f>
        <v/>
      </c>
      <c r="R6" s="10">
        <f>IFERROR(INDEX($J$215:$J$218,MATCH($H6,$A$215:$A$218,0)),"")</f>
        <v/>
      </c>
      <c r="S6" s="11">
        <f>IFERROR(INDEX($R$215:$R$218,MATCH($H6,$A$215:$A$218,0)),"")</f>
        <v/>
      </c>
      <c r="T6" s="20" t="n"/>
    </row>
    <row r="7" ht="18.75" customHeight="1">
      <c r="A7" s="6" t="inlineStr">
        <is>
          <t>Functional Area</t>
        </is>
      </c>
      <c r="B7" s="7" t="n"/>
      <c r="C7" s="21" t="n"/>
      <c r="D7" s="21" t="n"/>
      <c r="E7" s="20" t="n"/>
      <c r="F7" s="21" t="n"/>
      <c r="G7" s="21" t="n"/>
      <c r="H7" s="6" t="inlineStr">
        <is>
          <t>Auto Tool A</t>
        </is>
      </c>
      <c r="I7" s="9">
        <f>SUMIFS($L$89:$L$210,$A$89:$A$210,$H7)</f>
        <v/>
      </c>
      <c r="J7" s="9">
        <f>COUNTIFS($A$89:$A$210,$H7,$G$89:$G$210,"Partial")</f>
        <v/>
      </c>
      <c r="K7" s="9">
        <f>SUMIFS($M$89:$M$210,$A$89:$A$210,$H7)</f>
        <v/>
      </c>
      <c r="L7" s="9">
        <f>SUMIFS($N$89:$N$210,$A$89:$A$210,$H7)</f>
        <v/>
      </c>
      <c r="M7" s="10">
        <f>IFERROR(I7/(I7+K7),"")</f>
        <v/>
      </c>
      <c r="N7" s="10">
        <f>IFERROR(I7/(I7+L7),"")</f>
        <v/>
      </c>
      <c r="O7" s="10">
        <f>IFERROR(2*M7*N7/(M7+N7),"")</f>
        <v/>
      </c>
      <c r="P7" s="10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9">
        <f>IFERROR(INDEX($F$215:$F$218,MATCH($H7,$A$215:$A$218,0)),"")</f>
        <v/>
      </c>
      <c r="R7" s="10">
        <f>IFERROR(INDEX($J$215:$J$218,MATCH($H7,$A$215:$A$218,0)),"")</f>
        <v/>
      </c>
      <c r="S7" s="11">
        <f>IFERROR(INDEX($R$215:$R$218,MATCH($H7,$A$215:$A$218,0)),"")</f>
        <v/>
      </c>
      <c r="T7" s="20" t="n"/>
    </row>
    <row r="8" ht="18.75" customHeight="1">
      <c r="A8" s="6" t="inlineStr">
        <is>
          <t>Complexity Level</t>
        </is>
      </c>
      <c r="B8" s="7" t="n"/>
      <c r="C8" s="21" t="n"/>
      <c r="D8" s="21" t="n"/>
      <c r="E8" s="20" t="n"/>
      <c r="F8" s="21" t="n"/>
      <c r="G8" s="21" t="n"/>
      <c r="H8" s="6" t="inlineStr">
        <is>
          <t>Auto Tool B</t>
        </is>
      </c>
      <c r="I8" s="9">
        <f>SUMIFS($L$89:$L$210,$A$89:$A$210,$H8)</f>
        <v/>
      </c>
      <c r="J8" s="9">
        <f>COUNTIFS($A$89:$A$210,$H8,$G$89:$G$210,"Partial")</f>
        <v/>
      </c>
      <c r="K8" s="9">
        <f>SUMIFS($M$89:$M$210,$A$89:$A$210,$H8)</f>
        <v/>
      </c>
      <c r="L8" s="9">
        <f>SUMIFS($N$89:$N$210,$A$89:$A$210,$H8)</f>
        <v/>
      </c>
      <c r="M8" s="10">
        <f>IFERROR(I8/(I8+K8),"")</f>
        <v/>
      </c>
      <c r="N8" s="10">
        <f>IFERROR(I8/(I8+L8),"")</f>
        <v/>
      </c>
      <c r="O8" s="10">
        <f>IFERROR(2*M8*N8/(M8+N8),"")</f>
        <v/>
      </c>
      <c r="P8" s="10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9">
        <f>IFERROR(INDEX($F$215:$F$218,MATCH($H8,$A$215:$A$218,0)),"")</f>
        <v/>
      </c>
      <c r="R8" s="10">
        <f>IFERROR(INDEX($J$215:$J$218,MATCH($H8,$A$215:$A$218,0)),"")</f>
        <v/>
      </c>
      <c r="S8" s="11">
        <f>IFERROR(INDEX($R$215:$R$218,MATCH($H8,$A$215:$A$218,0)),"")</f>
        <v/>
      </c>
      <c r="T8" s="20" t="n"/>
    </row>
    <row r="9" ht="18.75" customHeight="1">
      <c r="A9" s="6" t="inlineStr">
        <is>
          <t>Approx. LOC</t>
        </is>
      </c>
      <c r="B9" s="7" t="n"/>
      <c r="C9" s="21" t="n"/>
      <c r="D9" s="21" t="n"/>
      <c r="E9" s="20" t="n"/>
      <c r="F9" s="21" t="n"/>
      <c r="G9" s="21" t="n"/>
      <c r="H9" s="6" t="inlineStr">
        <is>
          <t>Auto Tool C</t>
        </is>
      </c>
      <c r="I9" s="9">
        <f>SUMIFS($L$89:$L$210,$A$89:$A$210,$H9)</f>
        <v/>
      </c>
      <c r="J9" s="9">
        <f>COUNTIFS($A$89:$A$210,$H9,$G$89:$G$210,"Partial")</f>
        <v/>
      </c>
      <c r="K9" s="9">
        <f>SUMIFS($M$89:$M$210,$A$89:$A$210,$H9)</f>
        <v/>
      </c>
      <c r="L9" s="9">
        <f>SUMIFS($N$89:$N$210,$A$89:$A$210,$H9)</f>
        <v/>
      </c>
      <c r="M9" s="10">
        <f>IFERROR(I9/(I9+K9),"")</f>
        <v/>
      </c>
      <c r="N9" s="10">
        <f>IFERROR(I9/(I9+L9),"")</f>
        <v/>
      </c>
      <c r="O9" s="10">
        <f>IFERROR(2*M9*N9/(M9+N9),"")</f>
        <v/>
      </c>
      <c r="P9" s="10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9">
        <f>IFERROR(INDEX($F$215:$F$218,MATCH($H9,$A$215:$A$218,0)),"")</f>
        <v/>
      </c>
      <c r="R9" s="10">
        <f>IFERROR(INDEX($J$215:$J$218,MATCH($H9,$A$215:$A$218,0)),"")</f>
        <v/>
      </c>
      <c r="S9" s="11">
        <f>IFERROR(INDEX($R$215:$R$218,MATCH($H9,$A$215:$A$218,0)),"")</f>
        <v/>
      </c>
      <c r="T9" s="20" t="n"/>
    </row>
    <row r="10" ht="18.75" customHeight="1">
      <c r="A10" s="6" t="inlineStr">
        <is>
          <t>Python Files</t>
        </is>
      </c>
      <c r="B10" s="7" t="n"/>
      <c r="C10" s="21" t="n"/>
      <c r="D10" s="21" t="n"/>
      <c r="E10" s="20" t="n"/>
      <c r="F10" s="21" t="n"/>
      <c r="G10" s="21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8.75" customHeight="1">
      <c r="A11" s="6" t="inlineStr">
        <is>
          <t>Initial Smell Count</t>
        </is>
      </c>
      <c r="B11" s="7" t="n"/>
      <c r="C11" s="21" t="n"/>
      <c r="D11" s="21" t="n"/>
      <c r="E11" s="20" t="n"/>
      <c r="F11" s="21" t="n"/>
      <c r="G11" s="21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18.75" customHeight="1">
      <c r="A12" s="6" t="inlineStr">
        <is>
          <t>Evaluator(s)</t>
        </is>
      </c>
      <c r="B12" s="7" t="n"/>
      <c r="C12" s="21" t="n"/>
      <c r="D12" s="21" t="n"/>
      <c r="E12" s="20" t="n"/>
      <c r="F12" s="21" t="n"/>
      <c r="G12" s="21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8.75" customHeight="1">
      <c r="A13" s="20" t="n"/>
      <c r="B13" s="20" t="n"/>
      <c r="C13" s="21" t="n"/>
      <c r="D13" s="21" t="n"/>
      <c r="E13" s="20" t="n"/>
      <c r="F13" s="21" t="n"/>
      <c r="G13" s="21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18.75" customHeight="1">
      <c r="A14" s="1" t="inlineStr">
        <is>
          <t>3. Treatment Run Log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8.75" customFormat="1" customHeight="1" s="4">
      <c r="A15" s="8" t="inlineStr">
        <is>
          <t>Treatment</t>
        </is>
      </c>
      <c r="B15" s="8" t="inlineStr">
        <is>
          <t>Tool / Workflow</t>
        </is>
      </c>
      <c r="C15" s="8" t="inlineStr">
        <is>
          <t>Model Version</t>
        </is>
      </c>
      <c r="D15" s="8" t="inlineStr">
        <is>
          <t>Prompt Template</t>
        </is>
      </c>
      <c r="E15" s="8" t="inlineStr">
        <is>
          <t>Run Date</t>
        </is>
      </c>
      <c r="F15" s="8" t="inlineStr">
        <is>
          <t>Human Iterations</t>
        </is>
      </c>
      <c r="G15" s="8" t="inlineStr">
        <is>
          <t>Output ID</t>
        </is>
      </c>
      <c r="H15" s="8" t="inlineStr">
        <is>
          <t>Files Changed</t>
        </is>
      </c>
      <c r="I15" s="8" t="inlineStr">
        <is>
          <t>LOC Changed</t>
        </is>
      </c>
      <c r="J15" s="8" t="inlineStr">
        <is>
          <t>Build Status</t>
        </is>
      </c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8.75" customHeight="1">
      <c r="A16" s="6" t="inlineStr">
        <is>
          <t>AI-Assisted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8.75" customHeight="1">
      <c r="A17" s="6" t="inlineStr">
        <is>
          <t>Auto Tool 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8.75" customHeight="1">
      <c r="A18" s="6" t="inlineStr">
        <is>
          <t>Auto Tool B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8.75" customHeight="1">
      <c r="A19" s="6" t="inlineStr">
        <is>
          <t>Auto Tool C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.75" customHeight="1">
      <c r="A20" s="20" t="n"/>
      <c r="B20" s="20" t="n"/>
      <c r="C20" s="21" t="n"/>
      <c r="D20" s="21" t="n"/>
      <c r="E20" s="20" t="n"/>
      <c r="F20" s="21" t="n"/>
      <c r="G20" s="21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8.75" customHeight="1">
      <c r="A21" s="20" t="n"/>
      <c r="B21" s="20" t="n"/>
      <c r="C21" s="21" t="n"/>
      <c r="D21" s="21" t="n"/>
      <c r="E21" s="20" t="n"/>
      <c r="F21" s="21" t="n"/>
      <c r="G21" s="2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.75" customHeight="1">
      <c r="A22" s="20" t="n"/>
      <c r="B22" s="20" t="n"/>
      <c r="C22" s="21" t="n"/>
      <c r="D22" s="21" t="n"/>
      <c r="E22" s="20" t="n"/>
      <c r="F22" s="21" t="n"/>
      <c r="G22" s="21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18.75" customHeight="1">
      <c r="A23" s="1" t="inlineStr">
        <is>
          <t>4. Reference Refactoring Registry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  <c r="O23" s="20" t="n"/>
      <c r="P23" s="20" t="n"/>
      <c r="Q23" s="20" t="n"/>
      <c r="R23" s="20" t="n"/>
      <c r="S23" s="20" t="n"/>
      <c r="T23" s="20" t="n"/>
    </row>
    <row r="24" ht="18.75" customFormat="1" customHeight="1" s="4">
      <c r="A24" s="8" t="inlineStr">
        <is>
          <t>RR_ID</t>
        </is>
      </c>
      <c r="B24" s="8" t="inlineStr">
        <is>
          <t>Location</t>
        </is>
      </c>
      <c r="C24" s="8" t="inlineStr">
        <is>
          <t>Issue Description</t>
        </is>
      </c>
      <c r="D24" s="8" t="inlineStr">
        <is>
          <t>Issue Type</t>
        </is>
      </c>
      <c r="E24" s="8" t="inlineStr">
        <is>
          <t>Refactoring Type</t>
        </is>
      </c>
      <c r="F24" s="8" t="inlineStr">
        <is>
          <t>Intent</t>
        </is>
      </c>
      <c r="G24" s="8" t="inlineStr">
        <is>
          <t>Severity</t>
        </is>
      </c>
      <c r="H24" s="8" t="inlineStr">
        <is>
          <t>Granularity</t>
        </is>
      </c>
      <c r="I24" s="8" t="inlineStr">
        <is>
          <t>Dependency Scope</t>
        </is>
      </c>
      <c r="J24" s="8" t="inlineStr">
        <is>
          <t>Behavioral Risk</t>
        </is>
      </c>
      <c r="K24" s="8" t="inlineStr">
        <is>
          <t>Context Dependence</t>
        </is>
      </c>
      <c r="L24" s="8" t="inlineStr">
        <is>
          <t>Mandatory?</t>
        </is>
      </c>
      <c r="M24" s="8" t="inlineStr">
        <is>
          <t>Acceptable Alternatives</t>
        </is>
      </c>
      <c r="N24" s="8" t="inlineStr">
        <is>
          <t>Notes</t>
        </is>
      </c>
      <c r="O24" s="21" t="n"/>
      <c r="P24" s="21" t="n"/>
      <c r="Q24" s="21" t="n"/>
      <c r="R24" s="21" t="n"/>
      <c r="S24" s="21" t="n"/>
      <c r="T24" s="21" t="n"/>
    </row>
    <row r="25" ht="18.75" customFormat="1" customHeight="1" s="4">
      <c r="A25" s="12" t="n"/>
      <c r="B25" s="13" t="n"/>
      <c r="C25" s="12" t="n"/>
      <c r="D25" s="13" t="n"/>
      <c r="E25" s="12" t="n"/>
      <c r="F25" s="13" t="n"/>
      <c r="G25" s="12" t="n"/>
      <c r="H25" s="13" t="n"/>
      <c r="I25" s="12" t="n"/>
      <c r="J25" s="13" t="n"/>
      <c r="K25" s="12" t="n"/>
      <c r="L25" s="13" t="n"/>
      <c r="M25" s="12" t="n"/>
      <c r="N25" s="13" t="n"/>
      <c r="O25" s="21" t="n"/>
      <c r="P25" s="21" t="n"/>
      <c r="Q25" s="21" t="n"/>
      <c r="R25" s="21" t="n"/>
      <c r="S25" s="21" t="n"/>
      <c r="T25" s="21" t="n"/>
    </row>
    <row r="26" ht="18.75" customFormat="1" customHeight="1" s="4">
      <c r="A26" s="12" t="n"/>
      <c r="B26" s="13" t="n"/>
      <c r="C26" s="12" t="n"/>
      <c r="D26" s="13" t="n"/>
      <c r="E26" s="12" t="n"/>
      <c r="F26" s="13" t="n"/>
      <c r="G26" s="12" t="n"/>
      <c r="H26" s="13" t="n"/>
      <c r="I26" s="12" t="n"/>
      <c r="J26" s="13" t="n"/>
      <c r="K26" s="12" t="n"/>
      <c r="L26" s="13" t="n"/>
      <c r="M26" s="12" t="n"/>
      <c r="N26" s="13" t="n"/>
      <c r="O26" s="21" t="n"/>
      <c r="P26" s="21" t="n"/>
      <c r="Q26" s="21" t="n"/>
      <c r="R26" s="21" t="n"/>
      <c r="S26" s="21" t="n"/>
      <c r="T26" s="21" t="n"/>
    </row>
    <row r="27" ht="18.75" customFormat="1" customHeight="1" s="4">
      <c r="A27" s="12" t="n"/>
      <c r="B27" s="13" t="n"/>
      <c r="C27" s="12" t="n"/>
      <c r="D27" s="13" t="n"/>
      <c r="E27" s="12" t="n"/>
      <c r="F27" s="13" t="n"/>
      <c r="G27" s="12" t="n"/>
      <c r="H27" s="13" t="n"/>
      <c r="I27" s="12" t="n"/>
      <c r="J27" s="13" t="n"/>
      <c r="K27" s="12" t="n"/>
      <c r="L27" s="13" t="n"/>
      <c r="M27" s="12" t="n"/>
      <c r="N27" s="13" t="n"/>
      <c r="O27" s="21" t="n"/>
      <c r="P27" s="21" t="n"/>
      <c r="Q27" s="21" t="n"/>
      <c r="R27" s="21" t="n"/>
      <c r="S27" s="21" t="n"/>
      <c r="T27" s="21" t="n"/>
    </row>
    <row r="28" ht="18.75" customFormat="1" customHeight="1" s="4">
      <c r="A28" s="12" t="n"/>
      <c r="B28" s="13" t="n"/>
      <c r="C28" s="12" t="n"/>
      <c r="D28" s="13" t="n"/>
      <c r="E28" s="12" t="n"/>
      <c r="F28" s="13" t="n"/>
      <c r="G28" s="12" t="n"/>
      <c r="H28" s="13" t="n"/>
      <c r="I28" s="12" t="n"/>
      <c r="J28" s="13" t="n"/>
      <c r="K28" s="12" t="n"/>
      <c r="L28" s="13" t="n"/>
      <c r="M28" s="12" t="n"/>
      <c r="N28" s="13" t="n"/>
      <c r="O28" s="21" t="n"/>
      <c r="P28" s="21" t="n"/>
      <c r="Q28" s="21" t="n"/>
      <c r="R28" s="21" t="n"/>
      <c r="S28" s="21" t="n"/>
      <c r="T28" s="21" t="n"/>
    </row>
    <row r="29" ht="18.75" customFormat="1" customHeight="1" s="4">
      <c r="A29" s="12" t="n"/>
      <c r="B29" s="13" t="n"/>
      <c r="C29" s="12" t="n"/>
      <c r="D29" s="13" t="n"/>
      <c r="E29" s="12" t="n"/>
      <c r="F29" s="13" t="n"/>
      <c r="G29" s="12" t="n"/>
      <c r="H29" s="13" t="n"/>
      <c r="I29" s="12" t="n"/>
      <c r="J29" s="13" t="n"/>
      <c r="K29" s="12" t="n"/>
      <c r="L29" s="13" t="n"/>
      <c r="M29" s="12" t="n"/>
      <c r="N29" s="13" t="n"/>
      <c r="O29" s="21" t="n"/>
      <c r="P29" s="21" t="n"/>
      <c r="Q29" s="21" t="n"/>
      <c r="R29" s="21" t="n"/>
      <c r="S29" s="21" t="n"/>
      <c r="T29" s="21" t="n"/>
    </row>
    <row r="30" ht="18.75" customFormat="1" customHeight="1" s="4">
      <c r="A30" s="12" t="n"/>
      <c r="B30" s="13" t="n"/>
      <c r="C30" s="12" t="n"/>
      <c r="D30" s="13" t="n"/>
      <c r="E30" s="12" t="n"/>
      <c r="F30" s="13" t="n"/>
      <c r="G30" s="12" t="n"/>
      <c r="H30" s="13" t="n"/>
      <c r="I30" s="12" t="n"/>
      <c r="J30" s="13" t="n"/>
      <c r="K30" s="12" t="n"/>
      <c r="L30" s="13" t="n"/>
      <c r="M30" s="12" t="n"/>
      <c r="N30" s="13" t="n"/>
      <c r="O30" s="21" t="n"/>
      <c r="P30" s="21" t="n"/>
      <c r="Q30" s="21" t="n"/>
      <c r="R30" s="21" t="n"/>
      <c r="S30" s="21" t="n"/>
      <c r="T30" s="21" t="n"/>
    </row>
    <row r="31" ht="18.75" customFormat="1" customHeight="1" s="4">
      <c r="A31" s="12" t="n"/>
      <c r="B31" s="13" t="n"/>
      <c r="C31" s="12" t="n"/>
      <c r="D31" s="13" t="n"/>
      <c r="E31" s="12" t="n"/>
      <c r="F31" s="13" t="n"/>
      <c r="G31" s="12" t="n"/>
      <c r="H31" s="13" t="n"/>
      <c r="I31" s="12" t="n"/>
      <c r="J31" s="13" t="n"/>
      <c r="K31" s="12" t="n"/>
      <c r="L31" s="13" t="n"/>
      <c r="M31" s="12" t="n"/>
      <c r="N31" s="13" t="n"/>
      <c r="O31" s="21" t="n"/>
      <c r="P31" s="21" t="n"/>
      <c r="Q31" s="21" t="n"/>
      <c r="R31" s="21" t="n"/>
      <c r="S31" s="21" t="n"/>
      <c r="T31" s="21" t="n"/>
    </row>
    <row r="32" ht="18.75" customFormat="1" customHeight="1" s="4">
      <c r="A32" s="12" t="n"/>
      <c r="B32" s="13" t="n"/>
      <c r="C32" s="12" t="n"/>
      <c r="D32" s="13" t="n"/>
      <c r="E32" s="12" t="n"/>
      <c r="F32" s="13" t="n"/>
      <c r="G32" s="12" t="n"/>
      <c r="H32" s="13" t="n"/>
      <c r="I32" s="12" t="n"/>
      <c r="J32" s="13" t="n"/>
      <c r="K32" s="12" t="n"/>
      <c r="L32" s="13" t="n"/>
      <c r="M32" s="12" t="n"/>
      <c r="N32" s="13" t="n"/>
      <c r="O32" s="21" t="n"/>
      <c r="P32" s="21" t="n"/>
      <c r="Q32" s="21" t="n"/>
      <c r="R32" s="21" t="n"/>
      <c r="S32" s="21" t="n"/>
      <c r="T32" s="21" t="n"/>
    </row>
    <row r="33" ht="18.75" customFormat="1" customHeight="1" s="4">
      <c r="A33" s="12" t="n"/>
      <c r="B33" s="13" t="n"/>
      <c r="C33" s="12" t="n"/>
      <c r="D33" s="13" t="n"/>
      <c r="E33" s="12" t="n"/>
      <c r="F33" s="13" t="n"/>
      <c r="G33" s="12" t="n"/>
      <c r="H33" s="13" t="n"/>
      <c r="I33" s="12" t="n"/>
      <c r="J33" s="13" t="n"/>
      <c r="K33" s="12" t="n"/>
      <c r="L33" s="13" t="n"/>
      <c r="M33" s="12" t="n"/>
      <c r="N33" s="13" t="n"/>
      <c r="O33" s="21" t="n"/>
      <c r="P33" s="21" t="n"/>
      <c r="Q33" s="21" t="n"/>
      <c r="R33" s="21" t="n"/>
      <c r="S33" s="21" t="n"/>
      <c r="T33" s="21" t="n"/>
    </row>
    <row r="34" ht="18.75" customFormat="1" customHeight="1" s="4">
      <c r="A34" s="12" t="n"/>
      <c r="B34" s="13" t="n"/>
      <c r="C34" s="12" t="n"/>
      <c r="D34" s="13" t="n"/>
      <c r="E34" s="12" t="n"/>
      <c r="F34" s="13" t="n"/>
      <c r="G34" s="12" t="n"/>
      <c r="H34" s="13" t="n"/>
      <c r="I34" s="12" t="n"/>
      <c r="J34" s="13" t="n"/>
      <c r="K34" s="12" t="n"/>
      <c r="L34" s="13" t="n"/>
      <c r="M34" s="12" t="n"/>
      <c r="N34" s="13" t="n"/>
      <c r="O34" s="21" t="n"/>
      <c r="P34" s="21" t="n"/>
      <c r="Q34" s="21" t="n"/>
      <c r="R34" s="21" t="n"/>
      <c r="S34" s="21" t="n"/>
      <c r="T34" s="21" t="n"/>
    </row>
    <row r="35" ht="18.75" customFormat="1" customHeight="1" s="4">
      <c r="A35" s="12" t="n"/>
      <c r="B35" s="13" t="n"/>
      <c r="C35" s="12" t="n"/>
      <c r="D35" s="13" t="n"/>
      <c r="E35" s="12" t="n"/>
      <c r="F35" s="13" t="n"/>
      <c r="G35" s="12" t="n"/>
      <c r="H35" s="13" t="n"/>
      <c r="I35" s="12" t="n"/>
      <c r="J35" s="13" t="n"/>
      <c r="K35" s="12" t="n"/>
      <c r="L35" s="13" t="n"/>
      <c r="M35" s="12" t="n"/>
      <c r="N35" s="13" t="n"/>
      <c r="O35" s="21" t="n"/>
      <c r="P35" s="21" t="n"/>
      <c r="Q35" s="21" t="n"/>
      <c r="R35" s="21" t="n"/>
      <c r="S35" s="21" t="n"/>
      <c r="T35" s="21" t="n"/>
    </row>
    <row r="36" ht="18.75" customFormat="1" customHeight="1" s="4">
      <c r="A36" s="12" t="n"/>
      <c r="B36" s="13" t="n"/>
      <c r="C36" s="12" t="n"/>
      <c r="D36" s="13" t="n"/>
      <c r="E36" s="12" t="n"/>
      <c r="F36" s="13" t="n"/>
      <c r="G36" s="12" t="n"/>
      <c r="H36" s="13" t="n"/>
      <c r="I36" s="12" t="n"/>
      <c r="J36" s="13" t="n"/>
      <c r="K36" s="12" t="n"/>
      <c r="L36" s="13" t="n"/>
      <c r="M36" s="12" t="n"/>
      <c r="N36" s="13" t="n"/>
      <c r="O36" s="21" t="n"/>
      <c r="P36" s="21" t="n"/>
      <c r="Q36" s="21" t="n"/>
      <c r="R36" s="21" t="n"/>
      <c r="S36" s="21" t="n"/>
      <c r="T36" s="21" t="n"/>
    </row>
    <row r="37" ht="18.75" customFormat="1" customHeight="1" s="4">
      <c r="A37" s="12" t="n"/>
      <c r="B37" s="13" t="n"/>
      <c r="C37" s="12" t="n"/>
      <c r="D37" s="13" t="n"/>
      <c r="E37" s="12" t="n"/>
      <c r="F37" s="13" t="n"/>
      <c r="G37" s="12" t="n"/>
      <c r="H37" s="13" t="n"/>
      <c r="I37" s="12" t="n"/>
      <c r="J37" s="13" t="n"/>
      <c r="K37" s="12" t="n"/>
      <c r="L37" s="13" t="n"/>
      <c r="M37" s="12" t="n"/>
      <c r="N37" s="13" t="n"/>
      <c r="O37" s="21" t="n"/>
      <c r="P37" s="21" t="n"/>
      <c r="Q37" s="21" t="n"/>
      <c r="R37" s="21" t="n"/>
      <c r="S37" s="21" t="n"/>
      <c r="T37" s="21" t="n"/>
    </row>
    <row r="38" ht="18.75" customFormat="1" customHeight="1" s="4">
      <c r="A38" s="12" t="n"/>
      <c r="B38" s="13" t="n"/>
      <c r="C38" s="12" t="n"/>
      <c r="D38" s="13" t="n"/>
      <c r="E38" s="12" t="n"/>
      <c r="F38" s="13" t="n"/>
      <c r="G38" s="12" t="n"/>
      <c r="H38" s="13" t="n"/>
      <c r="I38" s="12" t="n"/>
      <c r="J38" s="13" t="n"/>
      <c r="K38" s="12" t="n"/>
      <c r="L38" s="13" t="n"/>
      <c r="M38" s="12" t="n"/>
      <c r="N38" s="13" t="n"/>
      <c r="O38" s="21" t="n"/>
      <c r="P38" s="21" t="n"/>
      <c r="Q38" s="21" t="n"/>
      <c r="R38" s="21" t="n"/>
      <c r="S38" s="21" t="n"/>
      <c r="T38" s="21" t="n"/>
    </row>
    <row r="39" ht="18.75" customFormat="1" customHeight="1" s="4">
      <c r="A39" s="12" t="n"/>
      <c r="B39" s="13" t="n"/>
      <c r="C39" s="12" t="n"/>
      <c r="D39" s="13" t="n"/>
      <c r="E39" s="12" t="n"/>
      <c r="F39" s="13" t="n"/>
      <c r="G39" s="12" t="n"/>
      <c r="H39" s="13" t="n"/>
      <c r="I39" s="12" t="n"/>
      <c r="J39" s="13" t="n"/>
      <c r="K39" s="12" t="n"/>
      <c r="L39" s="13" t="n"/>
      <c r="M39" s="12" t="n"/>
      <c r="N39" s="13" t="n"/>
      <c r="O39" s="21" t="n"/>
      <c r="P39" s="21" t="n"/>
      <c r="Q39" s="21" t="n"/>
      <c r="R39" s="21" t="n"/>
      <c r="S39" s="21" t="n"/>
      <c r="T39" s="21" t="n"/>
    </row>
    <row r="40" ht="18.75" customFormat="1" customHeight="1" s="4">
      <c r="A40" s="12" t="n"/>
      <c r="B40" s="13" t="n"/>
      <c r="C40" s="12" t="n"/>
      <c r="D40" s="13" t="n"/>
      <c r="E40" s="12" t="n"/>
      <c r="F40" s="13" t="n"/>
      <c r="G40" s="12" t="n"/>
      <c r="H40" s="13" t="n"/>
      <c r="I40" s="12" t="n"/>
      <c r="J40" s="13" t="n"/>
      <c r="K40" s="12" t="n"/>
      <c r="L40" s="13" t="n"/>
      <c r="M40" s="12" t="n"/>
      <c r="N40" s="13" t="n"/>
      <c r="O40" s="21" t="n"/>
      <c r="P40" s="21" t="n"/>
      <c r="Q40" s="21" t="n"/>
      <c r="R40" s="21" t="n"/>
      <c r="S40" s="21" t="n"/>
      <c r="T40" s="21" t="n"/>
    </row>
    <row r="41" ht="18.75" customFormat="1" customHeight="1" s="4">
      <c r="A41" s="12" t="n"/>
      <c r="B41" s="13" t="n"/>
      <c r="C41" s="12" t="n"/>
      <c r="D41" s="13" t="n"/>
      <c r="E41" s="12" t="n"/>
      <c r="F41" s="13" t="n"/>
      <c r="G41" s="12" t="n"/>
      <c r="H41" s="13" t="n"/>
      <c r="I41" s="12" t="n"/>
      <c r="J41" s="13" t="n"/>
      <c r="K41" s="12" t="n"/>
      <c r="L41" s="13" t="n"/>
      <c r="M41" s="12" t="n"/>
      <c r="N41" s="13" t="n"/>
      <c r="O41" s="21" t="n"/>
      <c r="P41" s="21" t="n"/>
      <c r="Q41" s="21" t="n"/>
      <c r="R41" s="21" t="n"/>
      <c r="S41" s="21" t="n"/>
      <c r="T41" s="21" t="n"/>
    </row>
    <row r="42" ht="18.75" customFormat="1" customHeight="1" s="4">
      <c r="A42" s="12" t="n"/>
      <c r="B42" s="13" t="n"/>
      <c r="C42" s="12" t="n"/>
      <c r="D42" s="13" t="n"/>
      <c r="E42" s="12" t="n"/>
      <c r="F42" s="13" t="n"/>
      <c r="G42" s="12" t="n"/>
      <c r="H42" s="13" t="n"/>
      <c r="I42" s="12" t="n"/>
      <c r="J42" s="13" t="n"/>
      <c r="K42" s="12" t="n"/>
      <c r="L42" s="13" t="n"/>
      <c r="M42" s="12" t="n"/>
      <c r="N42" s="13" t="n"/>
      <c r="O42" s="21" t="n"/>
      <c r="P42" s="21" t="n"/>
      <c r="Q42" s="21" t="n"/>
      <c r="R42" s="21" t="n"/>
      <c r="S42" s="21" t="n"/>
      <c r="T42" s="21" t="n"/>
    </row>
    <row r="43" ht="18.75" customFormat="1" customHeight="1" s="4">
      <c r="A43" s="12" t="n"/>
      <c r="B43" s="13" t="n"/>
      <c r="C43" s="12" t="n"/>
      <c r="D43" s="13" t="n"/>
      <c r="E43" s="12" t="n"/>
      <c r="F43" s="13" t="n"/>
      <c r="G43" s="12" t="n"/>
      <c r="H43" s="13" t="n"/>
      <c r="I43" s="12" t="n"/>
      <c r="J43" s="13" t="n"/>
      <c r="K43" s="12" t="n"/>
      <c r="L43" s="13" t="n"/>
      <c r="M43" s="12" t="n"/>
      <c r="N43" s="13" t="n"/>
      <c r="O43" s="21" t="n"/>
      <c r="P43" s="21" t="n"/>
      <c r="Q43" s="21" t="n"/>
      <c r="R43" s="21" t="n"/>
      <c r="S43" s="21" t="n"/>
      <c r="T43" s="21" t="n"/>
    </row>
    <row r="44" ht="18.75" customFormat="1" customHeight="1" s="4">
      <c r="A44" s="12" t="n"/>
      <c r="B44" s="13" t="n"/>
      <c r="C44" s="12" t="n"/>
      <c r="D44" s="13" t="n"/>
      <c r="E44" s="12" t="n"/>
      <c r="F44" s="13" t="n"/>
      <c r="G44" s="12" t="n"/>
      <c r="H44" s="13" t="n"/>
      <c r="I44" s="12" t="n"/>
      <c r="J44" s="13" t="n"/>
      <c r="K44" s="12" t="n"/>
      <c r="L44" s="13" t="n"/>
      <c r="M44" s="12" t="n"/>
      <c r="N44" s="13" t="n"/>
      <c r="O44" s="21" t="n"/>
      <c r="P44" s="21" t="n"/>
      <c r="Q44" s="21" t="n"/>
      <c r="R44" s="21" t="n"/>
      <c r="S44" s="21" t="n"/>
      <c r="T44" s="21" t="n"/>
    </row>
    <row r="45" ht="18.75" customFormat="1" customHeight="1" s="4">
      <c r="A45" s="12" t="n"/>
      <c r="B45" s="13" t="n"/>
      <c r="C45" s="12" t="n"/>
      <c r="D45" s="13" t="n"/>
      <c r="E45" s="12" t="n"/>
      <c r="F45" s="13" t="n"/>
      <c r="G45" s="12" t="n"/>
      <c r="H45" s="13" t="n"/>
      <c r="I45" s="12" t="n"/>
      <c r="J45" s="13" t="n"/>
      <c r="K45" s="12" t="n"/>
      <c r="L45" s="13" t="n"/>
      <c r="M45" s="12" t="n"/>
      <c r="N45" s="13" t="n"/>
      <c r="O45" s="21" t="n"/>
      <c r="P45" s="21" t="n"/>
      <c r="Q45" s="21" t="n"/>
      <c r="R45" s="21" t="n"/>
      <c r="S45" s="21" t="n"/>
      <c r="T45" s="21" t="n"/>
    </row>
    <row r="46" ht="18.75" customFormat="1" customHeight="1" s="4">
      <c r="A46" s="12" t="n"/>
      <c r="B46" s="13" t="n"/>
      <c r="C46" s="12" t="n"/>
      <c r="D46" s="13" t="n"/>
      <c r="E46" s="12" t="n"/>
      <c r="F46" s="13" t="n"/>
      <c r="G46" s="12" t="n"/>
      <c r="H46" s="13" t="n"/>
      <c r="I46" s="12" t="n"/>
      <c r="J46" s="13" t="n"/>
      <c r="K46" s="12" t="n"/>
      <c r="L46" s="13" t="n"/>
      <c r="M46" s="12" t="n"/>
      <c r="N46" s="13" t="n"/>
      <c r="O46" s="21" t="n"/>
      <c r="P46" s="21" t="n"/>
      <c r="Q46" s="21" t="n"/>
      <c r="R46" s="21" t="n"/>
      <c r="S46" s="21" t="n"/>
      <c r="T46" s="21" t="n"/>
    </row>
    <row r="47" ht="18.75" customFormat="1" customHeight="1" s="4">
      <c r="A47" s="12" t="n"/>
      <c r="B47" s="13" t="n"/>
      <c r="C47" s="12" t="n"/>
      <c r="D47" s="13" t="n"/>
      <c r="E47" s="12" t="n"/>
      <c r="F47" s="13" t="n"/>
      <c r="G47" s="12" t="n"/>
      <c r="H47" s="13" t="n"/>
      <c r="I47" s="12" t="n"/>
      <c r="J47" s="13" t="n"/>
      <c r="K47" s="12" t="n"/>
      <c r="L47" s="13" t="n"/>
      <c r="M47" s="12" t="n"/>
      <c r="N47" s="13" t="n"/>
      <c r="O47" s="21" t="n"/>
      <c r="P47" s="21" t="n"/>
      <c r="Q47" s="21" t="n"/>
      <c r="R47" s="21" t="n"/>
      <c r="S47" s="21" t="n"/>
      <c r="T47" s="21" t="n"/>
    </row>
    <row r="48" ht="18.75" customFormat="1" customHeight="1" s="4">
      <c r="A48" s="12" t="n"/>
      <c r="B48" s="13" t="n"/>
      <c r="C48" s="12" t="n"/>
      <c r="D48" s="13" t="n"/>
      <c r="E48" s="12" t="n"/>
      <c r="F48" s="13" t="n"/>
      <c r="G48" s="12" t="n"/>
      <c r="H48" s="13" t="n"/>
      <c r="I48" s="12" t="n"/>
      <c r="J48" s="13" t="n"/>
      <c r="K48" s="12" t="n"/>
      <c r="L48" s="13" t="n"/>
      <c r="M48" s="12" t="n"/>
      <c r="N48" s="13" t="n"/>
      <c r="O48" s="21" t="n"/>
      <c r="P48" s="21" t="n"/>
      <c r="Q48" s="21" t="n"/>
      <c r="R48" s="21" t="n"/>
      <c r="S48" s="21" t="n"/>
      <c r="T48" s="21" t="n"/>
    </row>
    <row r="49" ht="18.75" customFormat="1" customHeight="1" s="4">
      <c r="A49" s="12" t="n"/>
      <c r="B49" s="13" t="n"/>
      <c r="C49" s="12" t="n"/>
      <c r="D49" s="13" t="n"/>
      <c r="E49" s="12" t="n"/>
      <c r="F49" s="13" t="n"/>
      <c r="G49" s="12" t="n"/>
      <c r="H49" s="13" t="n"/>
      <c r="I49" s="12" t="n"/>
      <c r="J49" s="13" t="n"/>
      <c r="K49" s="12" t="n"/>
      <c r="L49" s="13" t="n"/>
      <c r="M49" s="12" t="n"/>
      <c r="N49" s="13" t="n"/>
      <c r="O49" s="21" t="n"/>
      <c r="P49" s="21" t="n"/>
      <c r="Q49" s="21" t="n"/>
      <c r="R49" s="21" t="n"/>
      <c r="S49" s="21" t="n"/>
      <c r="T49" s="21" t="n"/>
    </row>
    <row r="50" ht="18.75" customFormat="1" customHeight="1" s="4">
      <c r="A50" s="12" t="n"/>
      <c r="B50" s="13" t="n"/>
      <c r="C50" s="12" t="n"/>
      <c r="D50" s="13" t="n"/>
      <c r="E50" s="12" t="n"/>
      <c r="F50" s="13" t="n"/>
      <c r="G50" s="12" t="n"/>
      <c r="H50" s="13" t="n"/>
      <c r="I50" s="12" t="n"/>
      <c r="J50" s="13" t="n"/>
      <c r="K50" s="12" t="n"/>
      <c r="L50" s="13" t="n"/>
      <c r="M50" s="12" t="n"/>
      <c r="N50" s="13" t="n"/>
      <c r="O50" s="21" t="n"/>
      <c r="P50" s="21" t="n"/>
      <c r="Q50" s="21" t="n"/>
      <c r="R50" s="21" t="n"/>
      <c r="S50" s="21" t="n"/>
      <c r="T50" s="21" t="n"/>
    </row>
    <row r="51" ht="18.75" customFormat="1" customHeight="1" s="4">
      <c r="A51" s="12" t="n"/>
      <c r="B51" s="13" t="n"/>
      <c r="C51" s="12" t="n"/>
      <c r="D51" s="13" t="n"/>
      <c r="E51" s="12" t="n"/>
      <c r="F51" s="13" t="n"/>
      <c r="G51" s="12" t="n"/>
      <c r="H51" s="13" t="n"/>
      <c r="I51" s="12" t="n"/>
      <c r="J51" s="13" t="n"/>
      <c r="K51" s="12" t="n"/>
      <c r="L51" s="13" t="n"/>
      <c r="M51" s="12" t="n"/>
      <c r="N51" s="13" t="n"/>
      <c r="O51" s="21" t="n"/>
      <c r="P51" s="21" t="n"/>
      <c r="Q51" s="21" t="n"/>
      <c r="R51" s="21" t="n"/>
      <c r="S51" s="21" t="n"/>
      <c r="T51" s="21" t="n"/>
    </row>
    <row r="52" ht="18.75" customFormat="1" customHeight="1" s="4">
      <c r="A52" s="12" t="n"/>
      <c r="B52" s="13" t="n"/>
      <c r="C52" s="12" t="n"/>
      <c r="D52" s="13" t="n"/>
      <c r="E52" s="12" t="n"/>
      <c r="F52" s="13" t="n"/>
      <c r="G52" s="12" t="n"/>
      <c r="H52" s="13" t="n"/>
      <c r="I52" s="12" t="n"/>
      <c r="J52" s="13" t="n"/>
      <c r="K52" s="12" t="n"/>
      <c r="L52" s="13" t="n"/>
      <c r="M52" s="12" t="n"/>
      <c r="N52" s="13" t="n"/>
      <c r="O52" s="21" t="n"/>
      <c r="P52" s="21" t="n"/>
      <c r="Q52" s="21" t="n"/>
      <c r="R52" s="21" t="n"/>
      <c r="S52" s="21" t="n"/>
      <c r="T52" s="21" t="n"/>
    </row>
    <row r="53" ht="18.75" customFormat="1" customHeight="1" s="4">
      <c r="A53" s="12" t="n"/>
      <c r="B53" s="13" t="n"/>
      <c r="C53" s="12" t="n"/>
      <c r="D53" s="13" t="n"/>
      <c r="E53" s="12" t="n"/>
      <c r="F53" s="13" t="n"/>
      <c r="G53" s="12" t="n"/>
      <c r="H53" s="13" t="n"/>
      <c r="I53" s="12" t="n"/>
      <c r="J53" s="13" t="n"/>
      <c r="K53" s="12" t="n"/>
      <c r="L53" s="13" t="n"/>
      <c r="M53" s="12" t="n"/>
      <c r="N53" s="13" t="n"/>
      <c r="O53" s="21" t="n"/>
      <c r="P53" s="21" t="n"/>
      <c r="Q53" s="21" t="n"/>
      <c r="R53" s="21" t="n"/>
      <c r="S53" s="21" t="n"/>
      <c r="T53" s="21" t="n"/>
    </row>
    <row r="54" ht="18.75" customFormat="1" customHeight="1" s="4">
      <c r="A54" s="12" t="n"/>
      <c r="B54" s="13" t="n"/>
      <c r="C54" s="12" t="n"/>
      <c r="D54" s="13" t="n"/>
      <c r="E54" s="12" t="n"/>
      <c r="F54" s="13" t="n"/>
      <c r="G54" s="12" t="n"/>
      <c r="H54" s="13" t="n"/>
      <c r="I54" s="12" t="n"/>
      <c r="J54" s="13" t="n"/>
      <c r="K54" s="12" t="n"/>
      <c r="L54" s="13" t="n"/>
      <c r="M54" s="12" t="n"/>
      <c r="N54" s="13" t="n"/>
      <c r="O54" s="21" t="n"/>
      <c r="P54" s="21" t="n"/>
      <c r="Q54" s="21" t="n"/>
      <c r="R54" s="21" t="n"/>
      <c r="S54" s="21" t="n"/>
      <c r="T54" s="21" t="n"/>
    </row>
    <row r="55" ht="18.75" customHeight="1">
      <c r="A55" s="20" t="n"/>
      <c r="B55" s="20" t="n"/>
      <c r="C55" s="21" t="n"/>
      <c r="D55" s="21" t="n"/>
      <c r="E55" s="20" t="n"/>
      <c r="F55" s="21" t="n"/>
      <c r="G55" s="21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</row>
    <row r="56" ht="18.75" customHeight="1">
      <c r="A56" s="20" t="n"/>
      <c r="B56" s="20" t="n"/>
      <c r="C56" s="21" t="n"/>
      <c r="D56" s="21" t="n"/>
      <c r="E56" s="20" t="n"/>
      <c r="F56" s="21" t="n"/>
      <c r="G56" s="21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</row>
    <row r="57" ht="18.75" customHeight="1">
      <c r="A57" s="1" t="inlineStr">
        <is>
          <t>5. Generated Refactoring Actions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2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</row>
    <row r="58" ht="18.75" customFormat="1" customHeight="1" s="4">
      <c r="A58" s="8" t="inlineStr">
        <is>
          <t>GA_ID</t>
        </is>
      </c>
      <c r="B58" s="8" t="inlineStr">
        <is>
          <t>Treatment</t>
        </is>
      </c>
      <c r="C58" s="8" t="inlineStr">
        <is>
          <t>Location(s)</t>
        </is>
      </c>
      <c r="D58" s="8" t="inlineStr">
        <is>
          <t>Generated Action Description</t>
        </is>
      </c>
      <c r="E58" s="8" t="inlineStr">
        <is>
          <t>Inferred Refactoring Type</t>
        </is>
      </c>
      <c r="F58" s="8" t="inlineStr">
        <is>
          <t>Scope</t>
        </is>
      </c>
      <c r="G58" s="8" t="inlineStr">
        <is>
          <t>Files Changed</t>
        </is>
      </c>
      <c r="H58" s="8" t="inlineStr">
        <is>
          <t>LOC Changed</t>
        </is>
      </c>
      <c r="I58" s="8" t="inlineStr">
        <is>
          <t>Context Needed?</t>
        </is>
      </c>
      <c r="J58" s="8" t="inlineStr">
        <is>
          <t>Rationale Quality</t>
        </is>
      </c>
      <c r="K58" s="8" t="inlineStr">
        <is>
          <t>Notes</t>
        </is>
      </c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</row>
    <row r="59" ht="18.75" customFormat="1" customHeight="1" s="4">
      <c r="A59" s="12" t="n"/>
      <c r="B59" s="13" t="n"/>
      <c r="C59" s="12" t="n"/>
      <c r="D59" s="13" t="n"/>
      <c r="E59" s="12" t="n"/>
      <c r="F59" s="13" t="n"/>
      <c r="G59" s="12" t="n"/>
      <c r="H59" s="13" t="n"/>
      <c r="I59" s="12" t="n"/>
      <c r="J59" s="13" t="n"/>
      <c r="K59" s="12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</row>
    <row r="60" ht="18.75" customFormat="1" customHeight="1" s="4">
      <c r="A60" s="12" t="n"/>
      <c r="B60" s="13" t="n"/>
      <c r="C60" s="12" t="n"/>
      <c r="D60" s="13" t="n"/>
      <c r="E60" s="12" t="n"/>
      <c r="F60" s="13" t="n"/>
      <c r="G60" s="12" t="n"/>
      <c r="H60" s="13" t="n"/>
      <c r="I60" s="12" t="n"/>
      <c r="J60" s="13" t="n"/>
      <c r="K60" s="12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</row>
    <row r="61" ht="18.75" customFormat="1" customHeight="1" s="4">
      <c r="A61" s="12" t="n"/>
      <c r="B61" s="13" t="n"/>
      <c r="C61" s="12" t="n"/>
      <c r="D61" s="13" t="n"/>
      <c r="E61" s="12" t="n"/>
      <c r="F61" s="13" t="n"/>
      <c r="G61" s="12" t="n"/>
      <c r="H61" s="13" t="n"/>
      <c r="I61" s="12" t="n"/>
      <c r="J61" s="13" t="n"/>
      <c r="K61" s="12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</row>
    <row r="62" ht="18.75" customFormat="1" customHeight="1" s="4">
      <c r="A62" s="12" t="n"/>
      <c r="B62" s="13" t="n"/>
      <c r="C62" s="12" t="n"/>
      <c r="D62" s="13" t="n"/>
      <c r="E62" s="12" t="n"/>
      <c r="F62" s="13" t="n"/>
      <c r="G62" s="12" t="n"/>
      <c r="H62" s="13" t="n"/>
      <c r="I62" s="12" t="n"/>
      <c r="J62" s="13" t="n"/>
      <c r="K62" s="12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</row>
    <row r="63" ht="18.75" customFormat="1" customHeight="1" s="4">
      <c r="A63" s="12" t="n"/>
      <c r="B63" s="13" t="n"/>
      <c r="C63" s="12" t="n"/>
      <c r="D63" s="13" t="n"/>
      <c r="E63" s="12" t="n"/>
      <c r="F63" s="13" t="n"/>
      <c r="G63" s="12" t="n"/>
      <c r="H63" s="13" t="n"/>
      <c r="I63" s="12" t="n"/>
      <c r="J63" s="13" t="n"/>
      <c r="K63" s="12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</row>
    <row r="64" ht="18.75" customFormat="1" customHeight="1" s="4">
      <c r="A64" s="12" t="n"/>
      <c r="B64" s="13" t="n"/>
      <c r="C64" s="12" t="n"/>
      <c r="D64" s="13" t="n"/>
      <c r="E64" s="12" t="n"/>
      <c r="F64" s="13" t="n"/>
      <c r="G64" s="12" t="n"/>
      <c r="H64" s="13" t="n"/>
      <c r="I64" s="12" t="n"/>
      <c r="J64" s="13" t="n"/>
      <c r="K64" s="12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</row>
    <row r="65" ht="18.75" customFormat="1" customHeight="1" s="4">
      <c r="A65" s="12" t="n"/>
      <c r="B65" s="13" t="n"/>
      <c r="C65" s="12" t="n"/>
      <c r="D65" s="13" t="n"/>
      <c r="E65" s="12" t="n"/>
      <c r="F65" s="13" t="n"/>
      <c r="G65" s="12" t="n"/>
      <c r="H65" s="13" t="n"/>
      <c r="I65" s="12" t="n"/>
      <c r="J65" s="13" t="n"/>
      <c r="K65" s="12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</row>
    <row r="66" ht="18.75" customFormat="1" customHeight="1" s="4">
      <c r="A66" s="12" t="n"/>
      <c r="B66" s="13" t="n"/>
      <c r="C66" s="12" t="n"/>
      <c r="D66" s="13" t="n"/>
      <c r="E66" s="12" t="n"/>
      <c r="F66" s="13" t="n"/>
      <c r="G66" s="12" t="n"/>
      <c r="H66" s="13" t="n"/>
      <c r="I66" s="12" t="n"/>
      <c r="J66" s="13" t="n"/>
      <c r="K66" s="12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</row>
    <row r="67" ht="18.75" customFormat="1" customHeight="1" s="4">
      <c r="A67" s="12" t="n"/>
      <c r="B67" s="13" t="n"/>
      <c r="C67" s="12" t="n"/>
      <c r="D67" s="13" t="n"/>
      <c r="E67" s="12" t="n"/>
      <c r="F67" s="13" t="n"/>
      <c r="G67" s="12" t="n"/>
      <c r="H67" s="13" t="n"/>
      <c r="I67" s="12" t="n"/>
      <c r="J67" s="13" t="n"/>
      <c r="K67" s="12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</row>
    <row r="68" ht="18.75" customFormat="1" customHeight="1" s="4">
      <c r="A68" s="12" t="n"/>
      <c r="B68" s="13" t="n"/>
      <c r="C68" s="12" t="n"/>
      <c r="D68" s="13" t="n"/>
      <c r="E68" s="12" t="n"/>
      <c r="F68" s="13" t="n"/>
      <c r="G68" s="12" t="n"/>
      <c r="H68" s="13" t="n"/>
      <c r="I68" s="12" t="n"/>
      <c r="J68" s="13" t="n"/>
      <c r="K68" s="12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</row>
    <row r="69" ht="18.75" customFormat="1" customHeight="1" s="4">
      <c r="A69" s="12" t="n"/>
      <c r="B69" s="13" t="n"/>
      <c r="C69" s="12" t="n"/>
      <c r="D69" s="13" t="n"/>
      <c r="E69" s="12" t="n"/>
      <c r="F69" s="13" t="n"/>
      <c r="G69" s="12" t="n"/>
      <c r="H69" s="13" t="n"/>
      <c r="I69" s="12" t="n"/>
      <c r="J69" s="13" t="n"/>
      <c r="K69" s="12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</row>
    <row r="70" ht="18.75" customFormat="1" customHeight="1" s="4">
      <c r="A70" s="12" t="n"/>
      <c r="B70" s="13" t="n"/>
      <c r="C70" s="12" t="n"/>
      <c r="D70" s="13" t="n"/>
      <c r="E70" s="12" t="n"/>
      <c r="F70" s="13" t="n"/>
      <c r="G70" s="12" t="n"/>
      <c r="H70" s="13" t="n"/>
      <c r="I70" s="12" t="n"/>
      <c r="J70" s="13" t="n"/>
      <c r="K70" s="12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</row>
    <row r="71" ht="18.75" customFormat="1" customHeight="1" s="4">
      <c r="A71" s="12" t="n"/>
      <c r="B71" s="13" t="n"/>
      <c r="C71" s="12" t="n"/>
      <c r="D71" s="13" t="n"/>
      <c r="E71" s="12" t="n"/>
      <c r="F71" s="13" t="n"/>
      <c r="G71" s="12" t="n"/>
      <c r="H71" s="13" t="n"/>
      <c r="I71" s="12" t="n"/>
      <c r="J71" s="13" t="n"/>
      <c r="K71" s="12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</row>
    <row r="72" ht="18.75" customFormat="1" customHeight="1" s="4">
      <c r="A72" s="12" t="n"/>
      <c r="B72" s="13" t="n"/>
      <c r="C72" s="12" t="n"/>
      <c r="D72" s="13" t="n"/>
      <c r="E72" s="12" t="n"/>
      <c r="F72" s="13" t="n"/>
      <c r="G72" s="12" t="n"/>
      <c r="H72" s="13" t="n"/>
      <c r="I72" s="12" t="n"/>
      <c r="J72" s="13" t="n"/>
      <c r="K72" s="12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</row>
    <row r="73" ht="18.75" customFormat="1" customHeight="1" s="4">
      <c r="A73" s="12" t="n"/>
      <c r="B73" s="13" t="n"/>
      <c r="C73" s="12" t="n"/>
      <c r="D73" s="13" t="n"/>
      <c r="E73" s="12" t="n"/>
      <c r="F73" s="13" t="n"/>
      <c r="G73" s="12" t="n"/>
      <c r="H73" s="13" t="n"/>
      <c r="I73" s="12" t="n"/>
      <c r="J73" s="13" t="n"/>
      <c r="K73" s="12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</row>
    <row r="74" ht="18.75" customFormat="1" customHeight="1" s="4">
      <c r="A74" s="12" t="n"/>
      <c r="B74" s="13" t="n"/>
      <c r="C74" s="12" t="n"/>
      <c r="D74" s="13" t="n"/>
      <c r="E74" s="12" t="n"/>
      <c r="F74" s="13" t="n"/>
      <c r="G74" s="12" t="n"/>
      <c r="H74" s="13" t="n"/>
      <c r="I74" s="12" t="n"/>
      <c r="J74" s="13" t="n"/>
      <c r="K74" s="12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</row>
    <row r="75" ht="18.75" customFormat="1" customHeight="1" s="4">
      <c r="A75" s="12" t="n"/>
      <c r="B75" s="13" t="n"/>
      <c r="C75" s="12" t="n"/>
      <c r="D75" s="13" t="n"/>
      <c r="E75" s="12" t="n"/>
      <c r="F75" s="13" t="n"/>
      <c r="G75" s="12" t="n"/>
      <c r="H75" s="13" t="n"/>
      <c r="I75" s="12" t="n"/>
      <c r="J75" s="13" t="n"/>
      <c r="K75" s="12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</row>
    <row r="76" ht="18.75" customFormat="1" customHeight="1" s="4">
      <c r="A76" s="12" t="n"/>
      <c r="B76" s="13" t="n"/>
      <c r="C76" s="12" t="n"/>
      <c r="D76" s="13" t="n"/>
      <c r="E76" s="12" t="n"/>
      <c r="F76" s="13" t="n"/>
      <c r="G76" s="12" t="n"/>
      <c r="H76" s="13" t="n"/>
      <c r="I76" s="12" t="n"/>
      <c r="J76" s="13" t="n"/>
      <c r="K76" s="12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</row>
    <row r="77" ht="18.75" customFormat="1" customHeight="1" s="4">
      <c r="A77" s="12" t="n"/>
      <c r="B77" s="13" t="n"/>
      <c r="C77" s="12" t="n"/>
      <c r="D77" s="13" t="n"/>
      <c r="E77" s="12" t="n"/>
      <c r="F77" s="13" t="n"/>
      <c r="G77" s="12" t="n"/>
      <c r="H77" s="13" t="n"/>
      <c r="I77" s="12" t="n"/>
      <c r="J77" s="13" t="n"/>
      <c r="K77" s="12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</row>
    <row r="78" ht="18.75" customFormat="1" customHeight="1" s="4">
      <c r="A78" s="12" t="n"/>
      <c r="B78" s="13" t="n"/>
      <c r="C78" s="12" t="n"/>
      <c r="D78" s="13" t="n"/>
      <c r="E78" s="12" t="n"/>
      <c r="F78" s="13" t="n"/>
      <c r="G78" s="12" t="n"/>
      <c r="H78" s="13" t="n"/>
      <c r="I78" s="12" t="n"/>
      <c r="J78" s="13" t="n"/>
      <c r="K78" s="12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</row>
    <row r="79" ht="18.75" customFormat="1" customHeight="1" s="4">
      <c r="A79" s="12" t="n"/>
      <c r="B79" s="13" t="n"/>
      <c r="C79" s="12" t="n"/>
      <c r="D79" s="13" t="n"/>
      <c r="E79" s="12" t="n"/>
      <c r="F79" s="13" t="n"/>
      <c r="G79" s="12" t="n"/>
      <c r="H79" s="13" t="n"/>
      <c r="I79" s="12" t="n"/>
      <c r="J79" s="13" t="n"/>
      <c r="K79" s="12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</row>
    <row r="80" ht="18.75" customFormat="1" customHeight="1" s="4">
      <c r="A80" s="12" t="n"/>
      <c r="B80" s="13" t="n"/>
      <c r="C80" s="12" t="n"/>
      <c r="D80" s="13" t="n"/>
      <c r="E80" s="12" t="n"/>
      <c r="F80" s="13" t="n"/>
      <c r="G80" s="12" t="n"/>
      <c r="H80" s="13" t="n"/>
      <c r="I80" s="12" t="n"/>
      <c r="J80" s="13" t="n"/>
      <c r="K80" s="12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</row>
    <row r="81" ht="18.75" customFormat="1" customHeight="1" s="4">
      <c r="A81" s="12" t="n"/>
      <c r="B81" s="13" t="n"/>
      <c r="C81" s="12" t="n"/>
      <c r="D81" s="13" t="n"/>
      <c r="E81" s="12" t="n"/>
      <c r="F81" s="13" t="n"/>
      <c r="G81" s="12" t="n"/>
      <c r="H81" s="13" t="n"/>
      <c r="I81" s="12" t="n"/>
      <c r="J81" s="13" t="n"/>
      <c r="K81" s="12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</row>
    <row r="82" ht="18.75" customFormat="1" customHeight="1" s="4">
      <c r="A82" s="12" t="n"/>
      <c r="B82" s="13" t="n"/>
      <c r="C82" s="12" t="n"/>
      <c r="D82" s="13" t="n"/>
      <c r="E82" s="12" t="n"/>
      <c r="F82" s="13" t="n"/>
      <c r="G82" s="12" t="n"/>
      <c r="H82" s="13" t="n"/>
      <c r="I82" s="12" t="n"/>
      <c r="J82" s="13" t="n"/>
      <c r="K82" s="12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</row>
    <row r="83" ht="18.75" customFormat="1" customHeight="1" s="4">
      <c r="A83" s="12" t="n"/>
      <c r="B83" s="13" t="n"/>
      <c r="C83" s="12" t="n"/>
      <c r="D83" s="13" t="n"/>
      <c r="E83" s="12" t="n"/>
      <c r="F83" s="13" t="n"/>
      <c r="G83" s="12" t="n"/>
      <c r="H83" s="13" t="n"/>
      <c r="I83" s="12" t="n"/>
      <c r="J83" s="13" t="n"/>
      <c r="K83" s="12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</row>
    <row r="84" ht="18.75" customFormat="1" customHeight="1" s="4">
      <c r="A84" s="12" t="n"/>
      <c r="B84" s="13" t="n"/>
      <c r="C84" s="12" t="n"/>
      <c r="D84" s="13" t="n"/>
      <c r="E84" s="12" t="n"/>
      <c r="F84" s="13" t="n"/>
      <c r="G84" s="12" t="n"/>
      <c r="H84" s="13" t="n"/>
      <c r="I84" s="12" t="n"/>
      <c r="J84" s="13" t="n"/>
      <c r="K84" s="12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</row>
    <row r="85" ht="18.75" customFormat="1" customHeight="1" s="4">
      <c r="A85" s="12" t="n"/>
      <c r="B85" s="13" t="n"/>
      <c r="C85" s="12" t="n"/>
      <c r="D85" s="13" t="n"/>
      <c r="E85" s="12" t="n"/>
      <c r="F85" s="13" t="n"/>
      <c r="G85" s="12" t="n"/>
      <c r="H85" s="13" t="n"/>
      <c r="I85" s="12" t="n"/>
      <c r="J85" s="13" t="n"/>
      <c r="K85" s="12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</row>
    <row r="86" ht="18.75" customFormat="1" customHeight="1" s="4">
      <c r="A86" s="12" t="n"/>
      <c r="B86" s="13" t="n"/>
      <c r="C86" s="12" t="n"/>
      <c r="D86" s="13" t="n"/>
      <c r="E86" s="12" t="n"/>
      <c r="F86" s="13" t="n"/>
      <c r="G86" s="12" t="n"/>
      <c r="H86" s="13" t="n"/>
      <c r="I86" s="12" t="n"/>
      <c r="J86" s="13" t="n"/>
      <c r="K86" s="12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</row>
    <row r="87" ht="18.75" customFormat="1" customHeight="1" s="4">
      <c r="A87" s="12" t="n"/>
      <c r="B87" s="13" t="n"/>
      <c r="C87" s="12" t="n"/>
      <c r="D87" s="13" t="n"/>
      <c r="E87" s="12" t="n"/>
      <c r="F87" s="13" t="n"/>
      <c r="G87" s="12" t="n"/>
      <c r="H87" s="13" t="n"/>
      <c r="I87" s="12" t="n"/>
      <c r="J87" s="13" t="n"/>
      <c r="K87" s="12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</row>
    <row r="88" ht="18.75" customFormat="1" customHeight="1" s="4">
      <c r="A88" s="12" t="n"/>
      <c r="B88" s="13" t="n"/>
      <c r="C88" s="12" t="n"/>
      <c r="D88" s="13" t="n"/>
      <c r="E88" s="12" t="n"/>
      <c r="F88" s="13" t="n"/>
      <c r="G88" s="12" t="n"/>
      <c r="H88" s="13" t="n"/>
      <c r="I88" s="12" t="n"/>
      <c r="J88" s="13" t="n"/>
      <c r="K88" s="12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</row>
    <row r="89" ht="18.75" customHeight="1">
      <c r="A89" s="1" t="inlineStr">
        <is>
          <t>6. Matching and Scoring (one row per treatment × reference item evaluation)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2" t="n"/>
      <c r="R89" s="20" t="n"/>
      <c r="S89" s="20" t="n"/>
      <c r="T89" s="20" t="n"/>
    </row>
    <row r="90" ht="18.75" customFormat="1" customHeight="1" s="4">
      <c r="A90" s="8" t="inlineStr">
        <is>
          <t>Treatment</t>
        </is>
      </c>
      <c r="B90" s="8" t="inlineStr">
        <is>
          <t>RR_ID</t>
        </is>
      </c>
      <c r="C90" s="8" t="inlineStr">
        <is>
          <t>GA_ID</t>
        </is>
      </c>
      <c r="D90" s="8" t="inlineStr">
        <is>
          <t>Match Status</t>
        </is>
      </c>
      <c r="E90" s="8" t="inlineStr">
        <is>
          <t>Reviewer 1</t>
        </is>
      </c>
      <c r="F90" s="8" t="inlineStr">
        <is>
          <t>Reviewer 2</t>
        </is>
      </c>
      <c r="G90" s="8" t="inlineStr">
        <is>
          <t>Final Class</t>
        </is>
      </c>
      <c r="H90" s="8" t="inlineStr">
        <is>
          <t>Severity</t>
        </is>
      </c>
      <c r="I90" s="8" t="inlineStr">
        <is>
          <t>Severity Weight</t>
        </is>
      </c>
      <c r="J90" s="8" t="inlineStr">
        <is>
          <t>Harm Category</t>
        </is>
      </c>
      <c r="K90" s="8" t="inlineStr">
        <is>
          <t>Justification</t>
        </is>
      </c>
      <c r="L90" s="8" t="inlineStr">
        <is>
          <t>TP Flag</t>
        </is>
      </c>
      <c r="M90" s="8" t="inlineStr">
        <is>
          <t>FP Flag</t>
        </is>
      </c>
      <c r="N90" s="8" t="inlineStr">
        <is>
          <t>FN Flag</t>
        </is>
      </c>
      <c r="O90" s="8" t="inlineStr">
        <is>
          <t>Weighted TP</t>
        </is>
      </c>
      <c r="P90" s="8" t="inlineStr">
        <is>
          <t>Weighted FP</t>
        </is>
      </c>
      <c r="Q90" s="8" t="inlineStr">
        <is>
          <t>Weighted FN</t>
        </is>
      </c>
      <c r="R90" s="21" t="n"/>
      <c r="S90" s="21" t="n"/>
      <c r="T90" s="21" t="n"/>
    </row>
    <row r="91" ht="18.75" customHeight="1">
      <c r="A91" s="12" t="n"/>
      <c r="B91" s="12" t="n"/>
      <c r="C91" s="12" t="n"/>
      <c r="D91" s="12" t="n"/>
      <c r="E91" s="12" t="n"/>
      <c r="F91" s="12" t="n"/>
      <c r="G91" s="12" t="n"/>
      <c r="H91" s="14">
        <f>IFERROR(VLOOKUP($B91,$A$25:$N$54,7,FALSE),"")</f>
        <v/>
      </c>
      <c r="I91" s="15">
        <f>IF($H91="Minor",1,IF($H91="Moderate",2,IF($H91="Major",3,IF($H91="Critical",4,""))))</f>
        <v/>
      </c>
      <c r="J91" s="16" t="n"/>
      <c r="K91" s="16" t="n"/>
      <c r="L91" s="15">
        <f>IF(OR($G91="Exact TP",$G91="Equivalent TP"),1,0)</f>
        <v/>
      </c>
      <c r="M91" s="15">
        <f>IF(OR($G91="FP Extra",$G91="Harmful FP"),1,0)</f>
        <v/>
      </c>
      <c r="N91" s="15">
        <f>IF(OR($G91="FN",$G91="Partial"),1,0)</f>
        <v/>
      </c>
      <c r="O91" s="15">
        <f>IF($L91=1,$I91,0)</f>
        <v/>
      </c>
      <c r="P91" s="15">
        <f>IF($M91=1,$I91,0)</f>
        <v/>
      </c>
      <c r="Q91" s="15">
        <f>IF($N91=1,$I91,0)</f>
        <v/>
      </c>
      <c r="R91" s="20" t="n"/>
      <c r="S91" s="20" t="n"/>
      <c r="T91" s="20" t="n"/>
    </row>
    <row r="92" ht="18.75" customHeight="1">
      <c r="A92" s="12" t="n"/>
      <c r="B92" s="12" t="n"/>
      <c r="C92" s="12" t="n"/>
      <c r="D92" s="12" t="n"/>
      <c r="E92" s="12" t="n"/>
      <c r="F92" s="12" t="n"/>
      <c r="G92" s="12" t="n"/>
      <c r="H92" s="14">
        <f>IFERROR(VLOOKUP($B92,$A$25:$N$54,7,FALSE),"")</f>
        <v/>
      </c>
      <c r="I92" s="15">
        <f>IF($H92="Minor",1,IF($H92="Moderate",2,IF($H92="Major",3,IF($H92="Critical",4,""))))</f>
        <v/>
      </c>
      <c r="J92" s="16" t="n"/>
      <c r="K92" s="16" t="n"/>
      <c r="L92" s="15">
        <f>IF(OR($G92="Exact TP",$G92="Equivalent TP"),1,0)</f>
        <v/>
      </c>
      <c r="M92" s="15">
        <f>IF(OR($G92="FP Extra",$G92="Harmful FP"),1,0)</f>
        <v/>
      </c>
      <c r="N92" s="15">
        <f>IF(OR($G92="FN",$G92="Partial"),1,0)</f>
        <v/>
      </c>
      <c r="O92" s="15">
        <f>IF($L92=1,$I92,0)</f>
        <v/>
      </c>
      <c r="P92" s="15">
        <f>IF($M92=1,$I92,0)</f>
        <v/>
      </c>
      <c r="Q92" s="15">
        <f>IF($N92=1,$I92,0)</f>
        <v/>
      </c>
      <c r="R92" s="20" t="n"/>
      <c r="S92" s="20" t="n"/>
      <c r="T92" s="20" t="n"/>
    </row>
    <row r="93" ht="18.75" customHeight="1">
      <c r="A93" s="12" t="n"/>
      <c r="B93" s="12" t="n"/>
      <c r="C93" s="12" t="n"/>
      <c r="D93" s="12" t="n"/>
      <c r="E93" s="12" t="n"/>
      <c r="F93" s="12" t="n"/>
      <c r="G93" s="12" t="n"/>
      <c r="H93" s="14">
        <f>IFERROR(VLOOKUP($B93,$A$25:$N$54,7,FALSE),"")</f>
        <v/>
      </c>
      <c r="I93" s="15">
        <f>IF($H93="Minor",1,IF($H93="Moderate",2,IF($H93="Major",3,IF($H93="Critical",4,""))))</f>
        <v/>
      </c>
      <c r="J93" s="16" t="n"/>
      <c r="K93" s="16" t="n"/>
      <c r="L93" s="15">
        <f>IF(OR($G93="Exact TP",$G93="Equivalent TP"),1,0)</f>
        <v/>
      </c>
      <c r="M93" s="15">
        <f>IF(OR($G93="FP Extra",$G93="Harmful FP"),1,0)</f>
        <v/>
      </c>
      <c r="N93" s="15">
        <f>IF(OR($G93="FN",$G93="Partial"),1,0)</f>
        <v/>
      </c>
      <c r="O93" s="15">
        <f>IF($L93=1,$I93,0)</f>
        <v/>
      </c>
      <c r="P93" s="15">
        <f>IF($M93=1,$I93,0)</f>
        <v/>
      </c>
      <c r="Q93" s="15">
        <f>IF($N93=1,$I93,0)</f>
        <v/>
      </c>
      <c r="R93" s="20" t="n"/>
      <c r="S93" s="20" t="n"/>
      <c r="T93" s="20" t="n"/>
    </row>
    <row r="94" ht="18.75" customHeight="1">
      <c r="A94" s="12" t="n"/>
      <c r="B94" s="12" t="n"/>
      <c r="C94" s="12" t="n"/>
      <c r="D94" s="12" t="n"/>
      <c r="E94" s="12" t="n"/>
      <c r="F94" s="12" t="n"/>
      <c r="G94" s="12" t="n"/>
      <c r="H94" s="14">
        <f>IFERROR(VLOOKUP($B94,$A$25:$N$54,7,FALSE),"")</f>
        <v/>
      </c>
      <c r="I94" s="15">
        <f>IF($H94="Minor",1,IF($H94="Moderate",2,IF($H94="Major",3,IF($H94="Critical",4,""))))</f>
        <v/>
      </c>
      <c r="J94" s="16" t="n"/>
      <c r="K94" s="16" t="n"/>
      <c r="L94" s="15">
        <f>IF(OR($G94="Exact TP",$G94="Equivalent TP"),1,0)</f>
        <v/>
      </c>
      <c r="M94" s="15">
        <f>IF(OR($G94="FP Extra",$G94="Harmful FP"),1,0)</f>
        <v/>
      </c>
      <c r="N94" s="15">
        <f>IF(OR($G94="FN",$G94="Partial"),1,0)</f>
        <v/>
      </c>
      <c r="O94" s="15">
        <f>IF($L94=1,$I94,0)</f>
        <v/>
      </c>
      <c r="P94" s="15">
        <f>IF($M94=1,$I94,0)</f>
        <v/>
      </c>
      <c r="Q94" s="15">
        <f>IF($N94=1,$I94,0)</f>
        <v/>
      </c>
      <c r="R94" s="20" t="n"/>
      <c r="S94" s="20" t="n"/>
      <c r="T94" s="20" t="n"/>
    </row>
    <row r="95" ht="18.75" customHeight="1">
      <c r="A95" s="12" t="n"/>
      <c r="B95" s="12" t="n"/>
      <c r="C95" s="12" t="n"/>
      <c r="D95" s="12" t="n"/>
      <c r="E95" s="12" t="n"/>
      <c r="F95" s="12" t="n"/>
      <c r="G95" s="12" t="n"/>
      <c r="H95" s="14">
        <f>IFERROR(VLOOKUP($B95,$A$25:$N$54,7,FALSE),"")</f>
        <v/>
      </c>
      <c r="I95" s="15">
        <f>IF($H95="Minor",1,IF($H95="Moderate",2,IF($H95="Major",3,IF($H95="Critical",4,""))))</f>
        <v/>
      </c>
      <c r="J95" s="16" t="n"/>
      <c r="K95" s="16" t="n"/>
      <c r="L95" s="15">
        <f>IF(OR($G95="Exact TP",$G95="Equivalent TP"),1,0)</f>
        <v/>
      </c>
      <c r="M95" s="15">
        <f>IF(OR($G95="FP Extra",$G95="Harmful FP"),1,0)</f>
        <v/>
      </c>
      <c r="N95" s="15">
        <f>IF(OR($G95="FN",$G95="Partial"),1,0)</f>
        <v/>
      </c>
      <c r="O95" s="15">
        <f>IF($L95=1,$I95,0)</f>
        <v/>
      </c>
      <c r="P95" s="15">
        <f>IF($M95=1,$I95,0)</f>
        <v/>
      </c>
      <c r="Q95" s="15">
        <f>IF($N95=1,$I95,0)</f>
        <v/>
      </c>
      <c r="R95" s="20" t="n"/>
      <c r="S95" s="20" t="n"/>
      <c r="T95" s="20" t="n"/>
    </row>
    <row r="96" ht="18.75" customHeight="1">
      <c r="A96" s="12" t="n"/>
      <c r="B96" s="12" t="n"/>
      <c r="C96" s="12" t="n"/>
      <c r="D96" s="12" t="n"/>
      <c r="E96" s="12" t="n"/>
      <c r="F96" s="12" t="n"/>
      <c r="G96" s="12" t="n"/>
      <c r="H96" s="14">
        <f>IFERROR(VLOOKUP($B96,$A$25:$N$54,7,FALSE),"")</f>
        <v/>
      </c>
      <c r="I96" s="15">
        <f>IF($H96="Minor",1,IF($H96="Moderate",2,IF($H96="Major",3,IF($H96="Critical",4,""))))</f>
        <v/>
      </c>
      <c r="J96" s="16" t="n"/>
      <c r="K96" s="16" t="n"/>
      <c r="L96" s="15">
        <f>IF(OR($G96="Exact TP",$G96="Equivalent TP"),1,0)</f>
        <v/>
      </c>
      <c r="M96" s="15">
        <f>IF(OR($G96="FP Extra",$G96="Harmful FP"),1,0)</f>
        <v/>
      </c>
      <c r="N96" s="15">
        <f>IF(OR($G96="FN",$G96="Partial"),1,0)</f>
        <v/>
      </c>
      <c r="O96" s="15">
        <f>IF($L96=1,$I96,0)</f>
        <v/>
      </c>
      <c r="P96" s="15">
        <f>IF($M96=1,$I96,0)</f>
        <v/>
      </c>
      <c r="Q96" s="15">
        <f>IF($N96=1,$I96,0)</f>
        <v/>
      </c>
      <c r="R96" s="20" t="n"/>
      <c r="S96" s="20" t="n"/>
      <c r="T96" s="20" t="n"/>
    </row>
    <row r="97" ht="18.75" customHeight="1">
      <c r="A97" s="12" t="n"/>
      <c r="B97" s="12" t="n"/>
      <c r="C97" s="12" t="n"/>
      <c r="D97" s="12" t="n"/>
      <c r="E97" s="12" t="n"/>
      <c r="F97" s="12" t="n"/>
      <c r="G97" s="12" t="n"/>
      <c r="H97" s="14">
        <f>IFERROR(VLOOKUP($B97,$A$25:$N$54,7,FALSE),"")</f>
        <v/>
      </c>
      <c r="I97" s="15">
        <f>IF($H97="Minor",1,IF($H97="Moderate",2,IF($H97="Major",3,IF($H97="Critical",4,""))))</f>
        <v/>
      </c>
      <c r="J97" s="16" t="n"/>
      <c r="K97" s="16" t="n"/>
      <c r="L97" s="15">
        <f>IF(OR($G97="Exact TP",$G97="Equivalent TP"),1,0)</f>
        <v/>
      </c>
      <c r="M97" s="15">
        <f>IF(OR($G97="FP Extra",$G97="Harmful FP"),1,0)</f>
        <v/>
      </c>
      <c r="N97" s="15">
        <f>IF(OR($G97="FN",$G97="Partial"),1,0)</f>
        <v/>
      </c>
      <c r="O97" s="15">
        <f>IF($L97=1,$I97,0)</f>
        <v/>
      </c>
      <c r="P97" s="15">
        <f>IF($M97=1,$I97,0)</f>
        <v/>
      </c>
      <c r="Q97" s="15">
        <f>IF($N97=1,$I97,0)</f>
        <v/>
      </c>
      <c r="R97" s="20" t="n"/>
      <c r="S97" s="20" t="n"/>
      <c r="T97" s="20" t="n"/>
    </row>
    <row r="98" ht="18.75" customHeight="1">
      <c r="A98" s="12" t="n"/>
      <c r="B98" s="12" t="n"/>
      <c r="C98" s="12" t="n"/>
      <c r="D98" s="12" t="n"/>
      <c r="E98" s="12" t="n"/>
      <c r="F98" s="12" t="n"/>
      <c r="G98" s="12" t="n"/>
      <c r="H98" s="14">
        <f>IFERROR(VLOOKUP($B98,$A$25:$N$54,7,FALSE),"")</f>
        <v/>
      </c>
      <c r="I98" s="15">
        <f>IF($H98="Minor",1,IF($H98="Moderate",2,IF($H98="Major",3,IF($H98="Critical",4,""))))</f>
        <v/>
      </c>
      <c r="J98" s="16" t="n"/>
      <c r="K98" s="16" t="n"/>
      <c r="L98" s="15">
        <f>IF(OR($G98="Exact TP",$G98="Equivalent TP"),1,0)</f>
        <v/>
      </c>
      <c r="M98" s="15">
        <f>IF(OR($G98="FP Extra",$G98="Harmful FP"),1,0)</f>
        <v/>
      </c>
      <c r="N98" s="15">
        <f>IF(OR($G98="FN",$G98="Partial"),1,0)</f>
        <v/>
      </c>
      <c r="O98" s="15">
        <f>IF($L98=1,$I98,0)</f>
        <v/>
      </c>
      <c r="P98" s="15">
        <f>IF($M98=1,$I98,0)</f>
        <v/>
      </c>
      <c r="Q98" s="15">
        <f>IF($N98=1,$I98,0)</f>
        <v/>
      </c>
      <c r="R98" s="20" t="n"/>
      <c r="S98" s="20" t="n"/>
      <c r="T98" s="20" t="n"/>
    </row>
    <row r="99" ht="18.75" customHeight="1">
      <c r="A99" s="12" t="n"/>
      <c r="B99" s="12" t="n"/>
      <c r="C99" s="12" t="n"/>
      <c r="D99" s="12" t="n"/>
      <c r="E99" s="12" t="n"/>
      <c r="F99" s="12" t="n"/>
      <c r="G99" s="12" t="n"/>
      <c r="H99" s="14">
        <f>IFERROR(VLOOKUP($B99,$A$25:$N$54,7,FALSE),"")</f>
        <v/>
      </c>
      <c r="I99" s="15">
        <f>IF($H99="Minor",1,IF($H99="Moderate",2,IF($H99="Major",3,IF($H99="Critical",4,""))))</f>
        <v/>
      </c>
      <c r="J99" s="16" t="n"/>
      <c r="K99" s="16" t="n"/>
      <c r="L99" s="15">
        <f>IF(OR($G99="Exact TP",$G99="Equivalent TP"),1,0)</f>
        <v/>
      </c>
      <c r="M99" s="15">
        <f>IF(OR($G99="FP Extra",$G99="Harmful FP"),1,0)</f>
        <v/>
      </c>
      <c r="N99" s="15">
        <f>IF(OR($G99="FN",$G99="Partial"),1,0)</f>
        <v/>
      </c>
      <c r="O99" s="15">
        <f>IF($L99=1,$I99,0)</f>
        <v/>
      </c>
      <c r="P99" s="15">
        <f>IF($M99=1,$I99,0)</f>
        <v/>
      </c>
      <c r="Q99" s="15">
        <f>IF($N99=1,$I99,0)</f>
        <v/>
      </c>
      <c r="R99" s="20" t="n"/>
      <c r="S99" s="20" t="n"/>
      <c r="T99" s="20" t="n"/>
    </row>
    <row r="100" ht="18.75" customHeight="1">
      <c r="A100" s="12" t="n"/>
      <c r="B100" s="12" t="n"/>
      <c r="C100" s="12" t="n"/>
      <c r="D100" s="12" t="n"/>
      <c r="E100" s="12" t="n"/>
      <c r="F100" s="12" t="n"/>
      <c r="G100" s="12" t="n"/>
      <c r="H100" s="14">
        <f>IFERROR(VLOOKUP($B100,$A$25:$N$54,7,FALSE),"")</f>
        <v/>
      </c>
      <c r="I100" s="15">
        <f>IF($H100="Minor",1,IF($H100="Moderate",2,IF($H100="Major",3,IF($H100="Critical",4,""))))</f>
        <v/>
      </c>
      <c r="J100" s="16" t="n"/>
      <c r="K100" s="16" t="n"/>
      <c r="L100" s="15">
        <f>IF(OR($G100="Exact TP",$G100="Equivalent TP"),1,0)</f>
        <v/>
      </c>
      <c r="M100" s="15">
        <f>IF(OR($G100="FP Extra",$G100="Harmful FP"),1,0)</f>
        <v/>
      </c>
      <c r="N100" s="15">
        <f>IF(OR($G100="FN",$G100="Partial"),1,0)</f>
        <v/>
      </c>
      <c r="O100" s="15">
        <f>IF($L100=1,$I100,0)</f>
        <v/>
      </c>
      <c r="P100" s="15">
        <f>IF($M100=1,$I100,0)</f>
        <v/>
      </c>
      <c r="Q100" s="15">
        <f>IF($N100=1,$I100,0)</f>
        <v/>
      </c>
      <c r="R100" s="20" t="n"/>
      <c r="S100" s="20" t="n"/>
      <c r="T100" s="20" t="n"/>
    </row>
    <row r="101" ht="18.75" customHeight="1">
      <c r="A101" s="12" t="n"/>
      <c r="B101" s="12" t="n"/>
      <c r="C101" s="12" t="n"/>
      <c r="D101" s="12" t="n"/>
      <c r="E101" s="12" t="n"/>
      <c r="F101" s="12" t="n"/>
      <c r="G101" s="12" t="n"/>
      <c r="H101" s="14">
        <f>IFERROR(VLOOKUP($B101,$A$25:$N$54,7,FALSE),"")</f>
        <v/>
      </c>
      <c r="I101" s="15">
        <f>IF($H101="Minor",1,IF($H101="Moderate",2,IF($H101="Major",3,IF($H101="Critical",4,""))))</f>
        <v/>
      </c>
      <c r="J101" s="16" t="n"/>
      <c r="K101" s="16" t="n"/>
      <c r="L101" s="15">
        <f>IF(OR($G101="Exact TP",$G101="Equivalent TP"),1,0)</f>
        <v/>
      </c>
      <c r="M101" s="15">
        <f>IF(OR($G101="FP Extra",$G101="Harmful FP"),1,0)</f>
        <v/>
      </c>
      <c r="N101" s="15">
        <f>IF(OR($G101="FN",$G101="Partial"),1,0)</f>
        <v/>
      </c>
      <c r="O101" s="15">
        <f>IF($L101=1,$I101,0)</f>
        <v/>
      </c>
      <c r="P101" s="15">
        <f>IF($M101=1,$I101,0)</f>
        <v/>
      </c>
      <c r="Q101" s="15">
        <f>IF($N101=1,$I101,0)</f>
        <v/>
      </c>
      <c r="R101" s="20" t="n"/>
      <c r="S101" s="20" t="n"/>
      <c r="T101" s="20" t="n"/>
    </row>
    <row r="102" ht="18.75" customHeight="1">
      <c r="A102" s="12" t="n"/>
      <c r="B102" s="12" t="n"/>
      <c r="C102" s="12" t="n"/>
      <c r="D102" s="12" t="n"/>
      <c r="E102" s="12" t="n"/>
      <c r="F102" s="12" t="n"/>
      <c r="G102" s="12" t="n"/>
      <c r="H102" s="14">
        <f>IFERROR(VLOOKUP($B102,$A$25:$N$54,7,FALSE),"")</f>
        <v/>
      </c>
      <c r="I102" s="15">
        <f>IF($H102="Minor",1,IF($H102="Moderate",2,IF($H102="Major",3,IF($H102="Critical",4,""))))</f>
        <v/>
      </c>
      <c r="J102" s="16" t="n"/>
      <c r="K102" s="16" t="n"/>
      <c r="L102" s="15">
        <f>IF(OR($G102="Exact TP",$G102="Equivalent TP"),1,0)</f>
        <v/>
      </c>
      <c r="M102" s="15">
        <f>IF(OR($G102="FP Extra",$G102="Harmful FP"),1,0)</f>
        <v/>
      </c>
      <c r="N102" s="15">
        <f>IF(OR($G102="FN",$G102="Partial"),1,0)</f>
        <v/>
      </c>
      <c r="O102" s="15">
        <f>IF($L102=1,$I102,0)</f>
        <v/>
      </c>
      <c r="P102" s="15">
        <f>IF($M102=1,$I102,0)</f>
        <v/>
      </c>
      <c r="Q102" s="15">
        <f>IF($N102=1,$I102,0)</f>
        <v/>
      </c>
      <c r="R102" s="20" t="n"/>
      <c r="S102" s="20" t="n"/>
      <c r="T102" s="20" t="n"/>
    </row>
    <row r="103" ht="18.75" customHeight="1">
      <c r="A103" s="12" t="n"/>
      <c r="B103" s="12" t="n"/>
      <c r="C103" s="12" t="n"/>
      <c r="D103" s="12" t="n"/>
      <c r="E103" s="12" t="n"/>
      <c r="F103" s="12" t="n"/>
      <c r="G103" s="12" t="n"/>
      <c r="H103" s="14">
        <f>IFERROR(VLOOKUP($B103,$A$25:$N$54,7,FALSE),"")</f>
        <v/>
      </c>
      <c r="I103" s="15">
        <f>IF($H103="Minor",1,IF($H103="Moderate",2,IF($H103="Major",3,IF($H103="Critical",4,""))))</f>
        <v/>
      </c>
      <c r="J103" s="16" t="n"/>
      <c r="K103" s="16" t="n"/>
      <c r="L103" s="15">
        <f>IF(OR($G103="Exact TP",$G103="Equivalent TP"),1,0)</f>
        <v/>
      </c>
      <c r="M103" s="15">
        <f>IF(OR($G103="FP Extra",$G103="Harmful FP"),1,0)</f>
        <v/>
      </c>
      <c r="N103" s="15">
        <f>IF(OR($G103="FN",$G103="Partial"),1,0)</f>
        <v/>
      </c>
      <c r="O103" s="15">
        <f>IF($L103=1,$I103,0)</f>
        <v/>
      </c>
      <c r="P103" s="15">
        <f>IF($M103=1,$I103,0)</f>
        <v/>
      </c>
      <c r="Q103" s="15">
        <f>IF($N103=1,$I103,0)</f>
        <v/>
      </c>
      <c r="R103" s="20" t="n"/>
      <c r="S103" s="20" t="n"/>
      <c r="T103" s="20" t="n"/>
    </row>
    <row r="104" ht="18.75" customHeight="1">
      <c r="A104" s="12" t="n"/>
      <c r="B104" s="12" t="n"/>
      <c r="C104" s="12" t="n"/>
      <c r="D104" s="12" t="n"/>
      <c r="E104" s="12" t="n"/>
      <c r="F104" s="12" t="n"/>
      <c r="G104" s="12" t="n"/>
      <c r="H104" s="14">
        <f>IFERROR(VLOOKUP($B104,$A$25:$N$54,7,FALSE),"")</f>
        <v/>
      </c>
      <c r="I104" s="15">
        <f>IF($H104="Minor",1,IF($H104="Moderate",2,IF($H104="Major",3,IF($H104="Critical",4,""))))</f>
        <v/>
      </c>
      <c r="J104" s="16" t="n"/>
      <c r="K104" s="16" t="n"/>
      <c r="L104" s="15">
        <f>IF(OR($G104="Exact TP",$G104="Equivalent TP"),1,0)</f>
        <v/>
      </c>
      <c r="M104" s="15">
        <f>IF(OR($G104="FP Extra",$G104="Harmful FP"),1,0)</f>
        <v/>
      </c>
      <c r="N104" s="15">
        <f>IF(OR($G104="FN",$G104="Partial"),1,0)</f>
        <v/>
      </c>
      <c r="O104" s="15">
        <f>IF($L104=1,$I104,0)</f>
        <v/>
      </c>
      <c r="P104" s="15">
        <f>IF($M104=1,$I104,0)</f>
        <v/>
      </c>
      <c r="Q104" s="15">
        <f>IF($N104=1,$I104,0)</f>
        <v/>
      </c>
      <c r="R104" s="20" t="n"/>
      <c r="S104" s="20" t="n"/>
      <c r="T104" s="20" t="n"/>
    </row>
    <row r="105" ht="18.75" customHeight="1">
      <c r="A105" s="12" t="n"/>
      <c r="B105" s="12" t="n"/>
      <c r="C105" s="12" t="n"/>
      <c r="D105" s="12" t="n"/>
      <c r="E105" s="12" t="n"/>
      <c r="F105" s="12" t="n"/>
      <c r="G105" s="12" t="n"/>
      <c r="H105" s="14">
        <f>IFERROR(VLOOKUP($B105,$A$25:$N$54,7,FALSE),"")</f>
        <v/>
      </c>
      <c r="I105" s="15">
        <f>IF($H105="Minor",1,IF($H105="Moderate",2,IF($H105="Major",3,IF($H105="Critical",4,""))))</f>
        <v/>
      </c>
      <c r="J105" s="16" t="n"/>
      <c r="K105" s="16" t="n"/>
      <c r="L105" s="15">
        <f>IF(OR($G105="Exact TP",$G105="Equivalent TP"),1,0)</f>
        <v/>
      </c>
      <c r="M105" s="15">
        <f>IF(OR($G105="FP Extra",$G105="Harmful FP"),1,0)</f>
        <v/>
      </c>
      <c r="N105" s="15">
        <f>IF(OR($G105="FN",$G105="Partial"),1,0)</f>
        <v/>
      </c>
      <c r="O105" s="15">
        <f>IF($L105=1,$I105,0)</f>
        <v/>
      </c>
      <c r="P105" s="15">
        <f>IF($M105=1,$I105,0)</f>
        <v/>
      </c>
      <c r="Q105" s="15">
        <f>IF($N105=1,$I105,0)</f>
        <v/>
      </c>
      <c r="R105" s="20" t="n"/>
      <c r="S105" s="20" t="n"/>
      <c r="T105" s="20" t="n"/>
    </row>
    <row r="106" ht="18.75" customHeight="1">
      <c r="A106" s="12" t="n"/>
      <c r="B106" s="12" t="n"/>
      <c r="C106" s="12" t="n"/>
      <c r="D106" s="12" t="n"/>
      <c r="E106" s="12" t="n"/>
      <c r="F106" s="12" t="n"/>
      <c r="G106" s="12" t="n"/>
      <c r="H106" s="14">
        <f>IFERROR(VLOOKUP($B106,$A$25:$N$54,7,FALSE),"")</f>
        <v/>
      </c>
      <c r="I106" s="15">
        <f>IF($H106="Minor",1,IF($H106="Moderate",2,IF($H106="Major",3,IF($H106="Critical",4,""))))</f>
        <v/>
      </c>
      <c r="J106" s="16" t="n"/>
      <c r="K106" s="16" t="n"/>
      <c r="L106" s="15">
        <f>IF(OR($G106="Exact TP",$G106="Equivalent TP"),1,0)</f>
        <v/>
      </c>
      <c r="M106" s="15">
        <f>IF(OR($G106="FP Extra",$G106="Harmful FP"),1,0)</f>
        <v/>
      </c>
      <c r="N106" s="15">
        <f>IF(OR($G106="FN",$G106="Partial"),1,0)</f>
        <v/>
      </c>
      <c r="O106" s="15">
        <f>IF($L106=1,$I106,0)</f>
        <v/>
      </c>
      <c r="P106" s="15">
        <f>IF($M106=1,$I106,0)</f>
        <v/>
      </c>
      <c r="Q106" s="15">
        <f>IF($N106=1,$I106,0)</f>
        <v/>
      </c>
      <c r="R106" s="20" t="n"/>
      <c r="S106" s="20" t="n"/>
      <c r="T106" s="20" t="n"/>
    </row>
    <row r="107" ht="18.75" customHeight="1">
      <c r="A107" s="12" t="n"/>
      <c r="B107" s="12" t="n"/>
      <c r="C107" s="12" t="n"/>
      <c r="D107" s="12" t="n"/>
      <c r="E107" s="12" t="n"/>
      <c r="F107" s="12" t="n"/>
      <c r="G107" s="12" t="n"/>
      <c r="H107" s="14">
        <f>IFERROR(VLOOKUP($B107,$A$25:$N$54,7,FALSE),"")</f>
        <v/>
      </c>
      <c r="I107" s="15">
        <f>IF($H107="Minor",1,IF($H107="Moderate",2,IF($H107="Major",3,IF($H107="Critical",4,""))))</f>
        <v/>
      </c>
      <c r="J107" s="16" t="n"/>
      <c r="K107" s="16" t="n"/>
      <c r="L107" s="15">
        <f>IF(OR($G107="Exact TP",$G107="Equivalent TP"),1,0)</f>
        <v/>
      </c>
      <c r="M107" s="15">
        <f>IF(OR($G107="FP Extra",$G107="Harmful FP"),1,0)</f>
        <v/>
      </c>
      <c r="N107" s="15">
        <f>IF(OR($G107="FN",$G107="Partial"),1,0)</f>
        <v/>
      </c>
      <c r="O107" s="15">
        <f>IF($L107=1,$I107,0)</f>
        <v/>
      </c>
      <c r="P107" s="15">
        <f>IF($M107=1,$I107,0)</f>
        <v/>
      </c>
      <c r="Q107" s="15">
        <f>IF($N107=1,$I107,0)</f>
        <v/>
      </c>
      <c r="R107" s="20" t="n"/>
      <c r="S107" s="20" t="n"/>
      <c r="T107" s="20" t="n"/>
    </row>
    <row r="108" ht="18.75" customHeight="1">
      <c r="A108" s="12" t="n"/>
      <c r="B108" s="12" t="n"/>
      <c r="C108" s="12" t="n"/>
      <c r="D108" s="12" t="n"/>
      <c r="E108" s="12" t="n"/>
      <c r="F108" s="12" t="n"/>
      <c r="G108" s="12" t="n"/>
      <c r="H108" s="14">
        <f>IFERROR(VLOOKUP($B108,$A$25:$N$54,7,FALSE),"")</f>
        <v/>
      </c>
      <c r="I108" s="15">
        <f>IF($H108="Minor",1,IF($H108="Moderate",2,IF($H108="Major",3,IF($H108="Critical",4,""))))</f>
        <v/>
      </c>
      <c r="J108" s="16" t="n"/>
      <c r="K108" s="16" t="n"/>
      <c r="L108" s="15">
        <f>IF(OR($G108="Exact TP",$G108="Equivalent TP"),1,0)</f>
        <v/>
      </c>
      <c r="M108" s="15">
        <f>IF(OR($G108="FP Extra",$G108="Harmful FP"),1,0)</f>
        <v/>
      </c>
      <c r="N108" s="15">
        <f>IF(OR($G108="FN",$G108="Partial"),1,0)</f>
        <v/>
      </c>
      <c r="O108" s="15">
        <f>IF($L108=1,$I108,0)</f>
        <v/>
      </c>
      <c r="P108" s="15">
        <f>IF($M108=1,$I108,0)</f>
        <v/>
      </c>
      <c r="Q108" s="15">
        <f>IF($N108=1,$I108,0)</f>
        <v/>
      </c>
      <c r="R108" s="20" t="n"/>
      <c r="S108" s="20" t="n"/>
      <c r="T108" s="20" t="n"/>
    </row>
    <row r="109" ht="18.75" customHeight="1">
      <c r="A109" s="12" t="n"/>
      <c r="B109" s="12" t="n"/>
      <c r="C109" s="12" t="n"/>
      <c r="D109" s="12" t="n"/>
      <c r="E109" s="12" t="n"/>
      <c r="F109" s="12" t="n"/>
      <c r="G109" s="12" t="n"/>
      <c r="H109" s="14">
        <f>IFERROR(VLOOKUP($B109,$A$25:$N$54,7,FALSE),"")</f>
        <v/>
      </c>
      <c r="I109" s="15">
        <f>IF($H109="Minor",1,IF($H109="Moderate",2,IF($H109="Major",3,IF($H109="Critical",4,""))))</f>
        <v/>
      </c>
      <c r="J109" s="16" t="n"/>
      <c r="K109" s="16" t="n"/>
      <c r="L109" s="15">
        <f>IF(OR($G109="Exact TP",$G109="Equivalent TP"),1,0)</f>
        <v/>
      </c>
      <c r="M109" s="15">
        <f>IF(OR($G109="FP Extra",$G109="Harmful FP"),1,0)</f>
        <v/>
      </c>
      <c r="N109" s="15">
        <f>IF(OR($G109="FN",$G109="Partial"),1,0)</f>
        <v/>
      </c>
      <c r="O109" s="15">
        <f>IF($L109=1,$I109,0)</f>
        <v/>
      </c>
      <c r="P109" s="15">
        <f>IF($M109=1,$I109,0)</f>
        <v/>
      </c>
      <c r="Q109" s="15">
        <f>IF($N109=1,$I109,0)</f>
        <v/>
      </c>
      <c r="R109" s="20" t="n"/>
      <c r="S109" s="20" t="n"/>
      <c r="T109" s="20" t="n"/>
    </row>
    <row r="110" ht="18.75" customHeight="1">
      <c r="A110" s="12" t="n"/>
      <c r="B110" s="12" t="n"/>
      <c r="C110" s="12" t="n"/>
      <c r="D110" s="12" t="n"/>
      <c r="E110" s="12" t="n"/>
      <c r="F110" s="12" t="n"/>
      <c r="G110" s="12" t="n"/>
      <c r="H110" s="14">
        <f>IFERROR(VLOOKUP($B110,$A$25:$N$54,7,FALSE),"")</f>
        <v/>
      </c>
      <c r="I110" s="15">
        <f>IF($H110="Minor",1,IF($H110="Moderate",2,IF($H110="Major",3,IF($H110="Critical",4,""))))</f>
        <v/>
      </c>
      <c r="J110" s="16" t="n"/>
      <c r="K110" s="16" t="n"/>
      <c r="L110" s="15">
        <f>IF(OR($G110="Exact TP",$G110="Equivalent TP"),1,0)</f>
        <v/>
      </c>
      <c r="M110" s="15">
        <f>IF(OR($G110="FP Extra",$G110="Harmful FP"),1,0)</f>
        <v/>
      </c>
      <c r="N110" s="15">
        <f>IF(OR($G110="FN",$G110="Partial"),1,0)</f>
        <v/>
      </c>
      <c r="O110" s="15">
        <f>IF($L110=1,$I110,0)</f>
        <v/>
      </c>
      <c r="P110" s="15">
        <f>IF($M110=1,$I110,0)</f>
        <v/>
      </c>
      <c r="Q110" s="15">
        <f>IF($N110=1,$I110,0)</f>
        <v/>
      </c>
      <c r="R110" s="20" t="n"/>
      <c r="S110" s="20" t="n"/>
      <c r="T110" s="20" t="n"/>
    </row>
    <row r="111" ht="18.75" customHeight="1">
      <c r="A111" s="12" t="n"/>
      <c r="B111" s="12" t="n"/>
      <c r="C111" s="12" t="n"/>
      <c r="D111" s="12" t="n"/>
      <c r="E111" s="12" t="n"/>
      <c r="F111" s="12" t="n"/>
      <c r="G111" s="12" t="n"/>
      <c r="H111" s="14">
        <f>IFERROR(VLOOKUP($B111,$A$25:$N$54,7,FALSE),"")</f>
        <v/>
      </c>
      <c r="I111" s="15">
        <f>IF($H111="Minor",1,IF($H111="Moderate",2,IF($H111="Major",3,IF($H111="Critical",4,""))))</f>
        <v/>
      </c>
      <c r="J111" s="16" t="n"/>
      <c r="K111" s="16" t="n"/>
      <c r="L111" s="15">
        <f>IF(OR($G111="Exact TP",$G111="Equivalent TP"),1,0)</f>
        <v/>
      </c>
      <c r="M111" s="15">
        <f>IF(OR($G111="FP Extra",$G111="Harmful FP"),1,0)</f>
        <v/>
      </c>
      <c r="N111" s="15">
        <f>IF(OR($G111="FN",$G111="Partial"),1,0)</f>
        <v/>
      </c>
      <c r="O111" s="15">
        <f>IF($L111=1,$I111,0)</f>
        <v/>
      </c>
      <c r="P111" s="15">
        <f>IF($M111=1,$I111,0)</f>
        <v/>
      </c>
      <c r="Q111" s="15">
        <f>IF($N111=1,$I111,0)</f>
        <v/>
      </c>
      <c r="R111" s="20" t="n"/>
      <c r="S111" s="20" t="n"/>
      <c r="T111" s="20" t="n"/>
    </row>
    <row r="112" ht="18.75" customHeight="1">
      <c r="A112" s="12" t="n"/>
      <c r="B112" s="12" t="n"/>
      <c r="C112" s="12" t="n"/>
      <c r="D112" s="12" t="n"/>
      <c r="E112" s="12" t="n"/>
      <c r="F112" s="12" t="n"/>
      <c r="G112" s="12" t="n"/>
      <c r="H112" s="14">
        <f>IFERROR(VLOOKUP($B112,$A$25:$N$54,7,FALSE),"")</f>
        <v/>
      </c>
      <c r="I112" s="15">
        <f>IF($H112="Minor",1,IF($H112="Moderate",2,IF($H112="Major",3,IF($H112="Critical",4,""))))</f>
        <v/>
      </c>
      <c r="J112" s="16" t="n"/>
      <c r="K112" s="16" t="n"/>
      <c r="L112" s="15">
        <f>IF(OR($G112="Exact TP",$G112="Equivalent TP"),1,0)</f>
        <v/>
      </c>
      <c r="M112" s="15">
        <f>IF(OR($G112="FP Extra",$G112="Harmful FP"),1,0)</f>
        <v/>
      </c>
      <c r="N112" s="15">
        <f>IF(OR($G112="FN",$G112="Partial"),1,0)</f>
        <v/>
      </c>
      <c r="O112" s="15">
        <f>IF($L112=1,$I112,0)</f>
        <v/>
      </c>
      <c r="P112" s="15">
        <f>IF($M112=1,$I112,0)</f>
        <v/>
      </c>
      <c r="Q112" s="15">
        <f>IF($N112=1,$I112,0)</f>
        <v/>
      </c>
      <c r="R112" s="20" t="n"/>
      <c r="S112" s="20" t="n"/>
      <c r="T112" s="20" t="n"/>
    </row>
    <row r="113" ht="18.75" customHeight="1">
      <c r="A113" s="12" t="n"/>
      <c r="B113" s="12" t="n"/>
      <c r="C113" s="12" t="n"/>
      <c r="D113" s="12" t="n"/>
      <c r="E113" s="12" t="n"/>
      <c r="F113" s="12" t="n"/>
      <c r="G113" s="12" t="n"/>
      <c r="H113" s="14">
        <f>IFERROR(VLOOKUP($B113,$A$25:$N$54,7,FALSE),"")</f>
        <v/>
      </c>
      <c r="I113" s="15">
        <f>IF($H113="Minor",1,IF($H113="Moderate",2,IF($H113="Major",3,IF($H113="Critical",4,""))))</f>
        <v/>
      </c>
      <c r="J113" s="16" t="n"/>
      <c r="K113" s="16" t="n"/>
      <c r="L113" s="15">
        <f>IF(OR($G113="Exact TP",$G113="Equivalent TP"),1,0)</f>
        <v/>
      </c>
      <c r="M113" s="15">
        <f>IF(OR($G113="FP Extra",$G113="Harmful FP"),1,0)</f>
        <v/>
      </c>
      <c r="N113" s="15">
        <f>IF(OR($G113="FN",$G113="Partial"),1,0)</f>
        <v/>
      </c>
      <c r="O113" s="15">
        <f>IF($L113=1,$I113,0)</f>
        <v/>
      </c>
      <c r="P113" s="15">
        <f>IF($M113=1,$I113,0)</f>
        <v/>
      </c>
      <c r="Q113" s="15">
        <f>IF($N113=1,$I113,0)</f>
        <v/>
      </c>
      <c r="R113" s="20" t="n"/>
      <c r="S113" s="20" t="n"/>
      <c r="T113" s="20" t="n"/>
    </row>
    <row r="114" ht="18.75" customHeight="1">
      <c r="A114" s="12" t="n"/>
      <c r="B114" s="12" t="n"/>
      <c r="C114" s="12" t="n"/>
      <c r="D114" s="12" t="n"/>
      <c r="E114" s="12" t="n"/>
      <c r="F114" s="12" t="n"/>
      <c r="G114" s="12" t="n"/>
      <c r="H114" s="14">
        <f>IFERROR(VLOOKUP($B114,$A$25:$N$54,7,FALSE),"")</f>
        <v/>
      </c>
      <c r="I114" s="15">
        <f>IF($H114="Minor",1,IF($H114="Moderate",2,IF($H114="Major",3,IF($H114="Critical",4,""))))</f>
        <v/>
      </c>
      <c r="J114" s="16" t="n"/>
      <c r="K114" s="16" t="n"/>
      <c r="L114" s="15">
        <f>IF(OR($G114="Exact TP",$G114="Equivalent TP"),1,0)</f>
        <v/>
      </c>
      <c r="M114" s="15">
        <f>IF(OR($G114="FP Extra",$G114="Harmful FP"),1,0)</f>
        <v/>
      </c>
      <c r="N114" s="15">
        <f>IF(OR($G114="FN",$G114="Partial"),1,0)</f>
        <v/>
      </c>
      <c r="O114" s="15">
        <f>IF($L114=1,$I114,0)</f>
        <v/>
      </c>
      <c r="P114" s="15">
        <f>IF($M114=1,$I114,0)</f>
        <v/>
      </c>
      <c r="Q114" s="15">
        <f>IF($N114=1,$I114,0)</f>
        <v/>
      </c>
      <c r="R114" s="20" t="n"/>
      <c r="S114" s="20" t="n"/>
      <c r="T114" s="20" t="n"/>
    </row>
    <row r="115" ht="18.75" customHeight="1">
      <c r="A115" s="12" t="n"/>
      <c r="B115" s="12" t="n"/>
      <c r="C115" s="12" t="n"/>
      <c r="D115" s="12" t="n"/>
      <c r="E115" s="12" t="n"/>
      <c r="F115" s="12" t="n"/>
      <c r="G115" s="12" t="n"/>
      <c r="H115" s="14">
        <f>IFERROR(VLOOKUP($B115,$A$25:$N$54,7,FALSE),"")</f>
        <v/>
      </c>
      <c r="I115" s="15">
        <f>IF($H115="Minor",1,IF($H115="Moderate",2,IF($H115="Major",3,IF($H115="Critical",4,""))))</f>
        <v/>
      </c>
      <c r="J115" s="16" t="n"/>
      <c r="K115" s="16" t="n"/>
      <c r="L115" s="15">
        <f>IF(OR($G115="Exact TP",$G115="Equivalent TP"),1,0)</f>
        <v/>
      </c>
      <c r="M115" s="15">
        <f>IF(OR($G115="FP Extra",$G115="Harmful FP"),1,0)</f>
        <v/>
      </c>
      <c r="N115" s="15">
        <f>IF(OR($G115="FN",$G115="Partial"),1,0)</f>
        <v/>
      </c>
      <c r="O115" s="15">
        <f>IF($L115=1,$I115,0)</f>
        <v/>
      </c>
      <c r="P115" s="15">
        <f>IF($M115=1,$I115,0)</f>
        <v/>
      </c>
      <c r="Q115" s="15">
        <f>IF($N115=1,$I115,0)</f>
        <v/>
      </c>
      <c r="R115" s="20" t="n"/>
      <c r="S115" s="20" t="n"/>
      <c r="T115" s="20" t="n"/>
    </row>
    <row r="116" ht="18.75" customHeight="1">
      <c r="A116" s="12" t="n"/>
      <c r="B116" s="12" t="n"/>
      <c r="C116" s="12" t="n"/>
      <c r="D116" s="12" t="n"/>
      <c r="E116" s="12" t="n"/>
      <c r="F116" s="12" t="n"/>
      <c r="G116" s="12" t="n"/>
      <c r="H116" s="14">
        <f>IFERROR(VLOOKUP($B116,$A$25:$N$54,7,FALSE),"")</f>
        <v/>
      </c>
      <c r="I116" s="15">
        <f>IF($H116="Minor",1,IF($H116="Moderate",2,IF($H116="Major",3,IF($H116="Critical",4,""))))</f>
        <v/>
      </c>
      <c r="J116" s="16" t="n"/>
      <c r="K116" s="16" t="n"/>
      <c r="L116" s="15">
        <f>IF(OR($G116="Exact TP",$G116="Equivalent TP"),1,0)</f>
        <v/>
      </c>
      <c r="M116" s="15">
        <f>IF(OR($G116="FP Extra",$G116="Harmful FP"),1,0)</f>
        <v/>
      </c>
      <c r="N116" s="15">
        <f>IF(OR($G116="FN",$G116="Partial"),1,0)</f>
        <v/>
      </c>
      <c r="O116" s="15">
        <f>IF($L116=1,$I116,0)</f>
        <v/>
      </c>
      <c r="P116" s="15">
        <f>IF($M116=1,$I116,0)</f>
        <v/>
      </c>
      <c r="Q116" s="15">
        <f>IF($N116=1,$I116,0)</f>
        <v/>
      </c>
      <c r="R116" s="20" t="n"/>
      <c r="S116" s="20" t="n"/>
      <c r="T116" s="20" t="n"/>
    </row>
    <row r="117" ht="18.75" customHeight="1">
      <c r="A117" s="12" t="n"/>
      <c r="B117" s="12" t="n"/>
      <c r="C117" s="12" t="n"/>
      <c r="D117" s="12" t="n"/>
      <c r="E117" s="12" t="n"/>
      <c r="F117" s="12" t="n"/>
      <c r="G117" s="12" t="n"/>
      <c r="H117" s="14">
        <f>IFERROR(VLOOKUP($B117,$A$25:$N$54,7,FALSE),"")</f>
        <v/>
      </c>
      <c r="I117" s="15">
        <f>IF($H117="Minor",1,IF($H117="Moderate",2,IF($H117="Major",3,IF($H117="Critical",4,""))))</f>
        <v/>
      </c>
      <c r="J117" s="16" t="n"/>
      <c r="K117" s="16" t="n"/>
      <c r="L117" s="15">
        <f>IF(OR($G117="Exact TP",$G117="Equivalent TP"),1,0)</f>
        <v/>
      </c>
      <c r="M117" s="15">
        <f>IF(OR($G117="FP Extra",$G117="Harmful FP"),1,0)</f>
        <v/>
      </c>
      <c r="N117" s="15">
        <f>IF(OR($G117="FN",$G117="Partial"),1,0)</f>
        <v/>
      </c>
      <c r="O117" s="15">
        <f>IF($L117=1,$I117,0)</f>
        <v/>
      </c>
      <c r="P117" s="15">
        <f>IF($M117=1,$I117,0)</f>
        <v/>
      </c>
      <c r="Q117" s="15">
        <f>IF($N117=1,$I117,0)</f>
        <v/>
      </c>
      <c r="R117" s="20" t="n"/>
      <c r="S117" s="20" t="n"/>
      <c r="T117" s="20" t="n"/>
    </row>
    <row r="118" ht="18.75" customHeight="1">
      <c r="A118" s="12" t="n"/>
      <c r="B118" s="12" t="n"/>
      <c r="C118" s="12" t="n"/>
      <c r="D118" s="12" t="n"/>
      <c r="E118" s="12" t="n"/>
      <c r="F118" s="12" t="n"/>
      <c r="G118" s="12" t="n"/>
      <c r="H118" s="14">
        <f>IFERROR(VLOOKUP($B118,$A$25:$N$54,7,FALSE),"")</f>
        <v/>
      </c>
      <c r="I118" s="15">
        <f>IF($H118="Minor",1,IF($H118="Moderate",2,IF($H118="Major",3,IF($H118="Critical",4,""))))</f>
        <v/>
      </c>
      <c r="J118" s="16" t="n"/>
      <c r="K118" s="16" t="n"/>
      <c r="L118" s="15">
        <f>IF(OR($G118="Exact TP",$G118="Equivalent TP"),1,0)</f>
        <v/>
      </c>
      <c r="M118" s="15">
        <f>IF(OR($G118="FP Extra",$G118="Harmful FP"),1,0)</f>
        <v/>
      </c>
      <c r="N118" s="15">
        <f>IF(OR($G118="FN",$G118="Partial"),1,0)</f>
        <v/>
      </c>
      <c r="O118" s="15">
        <f>IF($L118=1,$I118,0)</f>
        <v/>
      </c>
      <c r="P118" s="15">
        <f>IF($M118=1,$I118,0)</f>
        <v/>
      </c>
      <c r="Q118" s="15">
        <f>IF($N118=1,$I118,0)</f>
        <v/>
      </c>
      <c r="R118" s="20" t="n"/>
      <c r="S118" s="20" t="n"/>
      <c r="T118" s="20" t="n"/>
    </row>
    <row r="119" ht="18.75" customHeight="1">
      <c r="A119" s="12" t="n"/>
      <c r="B119" s="12" t="n"/>
      <c r="C119" s="12" t="n"/>
      <c r="D119" s="12" t="n"/>
      <c r="E119" s="12" t="n"/>
      <c r="F119" s="12" t="n"/>
      <c r="G119" s="12" t="n"/>
      <c r="H119" s="14">
        <f>IFERROR(VLOOKUP($B119,$A$25:$N$54,7,FALSE),"")</f>
        <v/>
      </c>
      <c r="I119" s="15">
        <f>IF($H119="Minor",1,IF($H119="Moderate",2,IF($H119="Major",3,IF($H119="Critical",4,""))))</f>
        <v/>
      </c>
      <c r="J119" s="16" t="n"/>
      <c r="K119" s="16" t="n"/>
      <c r="L119" s="15">
        <f>IF(OR($G119="Exact TP",$G119="Equivalent TP"),1,0)</f>
        <v/>
      </c>
      <c r="M119" s="15">
        <f>IF(OR($G119="FP Extra",$G119="Harmful FP"),1,0)</f>
        <v/>
      </c>
      <c r="N119" s="15">
        <f>IF(OR($G119="FN",$G119="Partial"),1,0)</f>
        <v/>
      </c>
      <c r="O119" s="15">
        <f>IF($L119=1,$I119,0)</f>
        <v/>
      </c>
      <c r="P119" s="15">
        <f>IF($M119=1,$I119,0)</f>
        <v/>
      </c>
      <c r="Q119" s="15">
        <f>IF($N119=1,$I119,0)</f>
        <v/>
      </c>
      <c r="R119" s="20" t="n"/>
      <c r="S119" s="20" t="n"/>
      <c r="T119" s="20" t="n"/>
    </row>
    <row r="120" ht="18.75" customHeight="1">
      <c r="A120" s="12" t="n"/>
      <c r="B120" s="12" t="n"/>
      <c r="C120" s="12" t="n"/>
      <c r="D120" s="12" t="n"/>
      <c r="E120" s="12" t="n"/>
      <c r="F120" s="12" t="n"/>
      <c r="G120" s="12" t="n"/>
      <c r="H120" s="14">
        <f>IFERROR(VLOOKUP($B120,$A$25:$N$54,7,FALSE),"")</f>
        <v/>
      </c>
      <c r="I120" s="15">
        <f>IF($H120="Minor",1,IF($H120="Moderate",2,IF($H120="Major",3,IF($H120="Critical",4,""))))</f>
        <v/>
      </c>
      <c r="J120" s="16" t="n"/>
      <c r="K120" s="16" t="n"/>
      <c r="L120" s="15">
        <f>IF(OR($G120="Exact TP",$G120="Equivalent TP"),1,0)</f>
        <v/>
      </c>
      <c r="M120" s="15">
        <f>IF(OR($G120="FP Extra",$G120="Harmful FP"),1,0)</f>
        <v/>
      </c>
      <c r="N120" s="15">
        <f>IF(OR($G120="FN",$G120="Partial"),1,0)</f>
        <v/>
      </c>
      <c r="O120" s="15">
        <f>IF($L120=1,$I120,0)</f>
        <v/>
      </c>
      <c r="P120" s="15">
        <f>IF($M120=1,$I120,0)</f>
        <v/>
      </c>
      <c r="Q120" s="15">
        <f>IF($N120=1,$I120,0)</f>
        <v/>
      </c>
      <c r="R120" s="20" t="n"/>
      <c r="S120" s="20" t="n"/>
      <c r="T120" s="20" t="n"/>
    </row>
    <row r="121" ht="18.75" customHeight="1">
      <c r="A121" s="12" t="n"/>
      <c r="B121" s="12" t="n"/>
      <c r="C121" s="12" t="n"/>
      <c r="D121" s="12" t="n"/>
      <c r="E121" s="12" t="n"/>
      <c r="F121" s="12" t="n"/>
      <c r="G121" s="12" t="n"/>
      <c r="H121" s="14">
        <f>IFERROR(VLOOKUP($B121,$A$25:$N$54,7,FALSE),"")</f>
        <v/>
      </c>
      <c r="I121" s="15">
        <f>IF($H121="Minor",1,IF($H121="Moderate",2,IF($H121="Major",3,IF($H121="Critical",4,""))))</f>
        <v/>
      </c>
      <c r="J121" s="16" t="n"/>
      <c r="K121" s="16" t="n"/>
      <c r="L121" s="15">
        <f>IF(OR($G121="Exact TP",$G121="Equivalent TP"),1,0)</f>
        <v/>
      </c>
      <c r="M121" s="15">
        <f>IF(OR($G121="FP Extra",$G121="Harmful FP"),1,0)</f>
        <v/>
      </c>
      <c r="N121" s="15">
        <f>IF(OR($G121="FN",$G121="Partial"),1,0)</f>
        <v/>
      </c>
      <c r="O121" s="15">
        <f>IF($L121=1,$I121,0)</f>
        <v/>
      </c>
      <c r="P121" s="15">
        <f>IF($M121=1,$I121,0)</f>
        <v/>
      </c>
      <c r="Q121" s="15">
        <f>IF($N121=1,$I121,0)</f>
        <v/>
      </c>
      <c r="R121" s="20" t="n"/>
      <c r="S121" s="20" t="n"/>
      <c r="T121" s="20" t="n"/>
    </row>
    <row r="122" ht="18.75" customHeight="1">
      <c r="A122" s="12" t="n"/>
      <c r="B122" s="12" t="n"/>
      <c r="C122" s="12" t="n"/>
      <c r="D122" s="12" t="n"/>
      <c r="E122" s="12" t="n"/>
      <c r="F122" s="12" t="n"/>
      <c r="G122" s="12" t="n"/>
      <c r="H122" s="14">
        <f>IFERROR(VLOOKUP($B122,$A$25:$N$54,7,FALSE),"")</f>
        <v/>
      </c>
      <c r="I122" s="15">
        <f>IF($H122="Minor",1,IF($H122="Moderate",2,IF($H122="Major",3,IF($H122="Critical",4,""))))</f>
        <v/>
      </c>
      <c r="J122" s="16" t="n"/>
      <c r="K122" s="16" t="n"/>
      <c r="L122" s="15">
        <f>IF(OR($G122="Exact TP",$G122="Equivalent TP"),1,0)</f>
        <v/>
      </c>
      <c r="M122" s="15">
        <f>IF(OR($G122="FP Extra",$G122="Harmful FP"),1,0)</f>
        <v/>
      </c>
      <c r="N122" s="15">
        <f>IF(OR($G122="FN",$G122="Partial"),1,0)</f>
        <v/>
      </c>
      <c r="O122" s="15">
        <f>IF($L122=1,$I122,0)</f>
        <v/>
      </c>
      <c r="P122" s="15">
        <f>IF($M122=1,$I122,0)</f>
        <v/>
      </c>
      <c r="Q122" s="15">
        <f>IF($N122=1,$I122,0)</f>
        <v/>
      </c>
      <c r="R122" s="20" t="n"/>
      <c r="S122" s="20" t="n"/>
      <c r="T122" s="20" t="n"/>
    </row>
    <row r="123" ht="18.75" customHeight="1">
      <c r="A123" s="12" t="n"/>
      <c r="B123" s="12" t="n"/>
      <c r="C123" s="12" t="n"/>
      <c r="D123" s="12" t="n"/>
      <c r="E123" s="12" t="n"/>
      <c r="F123" s="12" t="n"/>
      <c r="G123" s="12" t="n"/>
      <c r="H123" s="14">
        <f>IFERROR(VLOOKUP($B123,$A$25:$N$54,7,FALSE),"")</f>
        <v/>
      </c>
      <c r="I123" s="15">
        <f>IF($H123="Minor",1,IF($H123="Moderate",2,IF($H123="Major",3,IF($H123="Critical",4,""))))</f>
        <v/>
      </c>
      <c r="J123" s="16" t="n"/>
      <c r="K123" s="16" t="n"/>
      <c r="L123" s="15">
        <f>IF(OR($G123="Exact TP",$G123="Equivalent TP"),1,0)</f>
        <v/>
      </c>
      <c r="M123" s="15">
        <f>IF(OR($G123="FP Extra",$G123="Harmful FP"),1,0)</f>
        <v/>
      </c>
      <c r="N123" s="15">
        <f>IF(OR($G123="FN",$G123="Partial"),1,0)</f>
        <v/>
      </c>
      <c r="O123" s="15">
        <f>IF($L123=1,$I123,0)</f>
        <v/>
      </c>
      <c r="P123" s="15">
        <f>IF($M123=1,$I123,0)</f>
        <v/>
      </c>
      <c r="Q123" s="15">
        <f>IF($N123=1,$I123,0)</f>
        <v/>
      </c>
      <c r="R123" s="20" t="n"/>
      <c r="S123" s="20" t="n"/>
      <c r="T123" s="20" t="n"/>
    </row>
    <row r="124" ht="18.75" customHeight="1">
      <c r="A124" s="12" t="n"/>
      <c r="B124" s="12" t="n"/>
      <c r="C124" s="12" t="n"/>
      <c r="D124" s="12" t="n"/>
      <c r="E124" s="12" t="n"/>
      <c r="F124" s="12" t="n"/>
      <c r="G124" s="12" t="n"/>
      <c r="H124" s="14">
        <f>IFERROR(VLOOKUP($B124,$A$25:$N$54,7,FALSE),"")</f>
        <v/>
      </c>
      <c r="I124" s="15">
        <f>IF($H124="Minor",1,IF($H124="Moderate",2,IF($H124="Major",3,IF($H124="Critical",4,""))))</f>
        <v/>
      </c>
      <c r="J124" s="16" t="n"/>
      <c r="K124" s="16" t="n"/>
      <c r="L124" s="15">
        <f>IF(OR($G124="Exact TP",$G124="Equivalent TP"),1,0)</f>
        <v/>
      </c>
      <c r="M124" s="15">
        <f>IF(OR($G124="FP Extra",$G124="Harmful FP"),1,0)</f>
        <v/>
      </c>
      <c r="N124" s="15">
        <f>IF(OR($G124="FN",$G124="Partial"),1,0)</f>
        <v/>
      </c>
      <c r="O124" s="15">
        <f>IF($L124=1,$I124,0)</f>
        <v/>
      </c>
      <c r="P124" s="15">
        <f>IF($M124=1,$I124,0)</f>
        <v/>
      </c>
      <c r="Q124" s="15">
        <f>IF($N124=1,$I124,0)</f>
        <v/>
      </c>
      <c r="R124" s="20" t="n"/>
      <c r="S124" s="20" t="n"/>
      <c r="T124" s="20" t="n"/>
    </row>
    <row r="125" ht="18.75" customHeight="1">
      <c r="A125" s="12" t="n"/>
      <c r="B125" s="12" t="n"/>
      <c r="C125" s="12" t="n"/>
      <c r="D125" s="12" t="n"/>
      <c r="E125" s="12" t="n"/>
      <c r="F125" s="12" t="n"/>
      <c r="G125" s="12" t="n"/>
      <c r="H125" s="14">
        <f>IFERROR(VLOOKUP($B125,$A$25:$N$54,7,FALSE),"")</f>
        <v/>
      </c>
      <c r="I125" s="15">
        <f>IF($H125="Minor",1,IF($H125="Moderate",2,IF($H125="Major",3,IF($H125="Critical",4,""))))</f>
        <v/>
      </c>
      <c r="J125" s="16" t="n"/>
      <c r="K125" s="16" t="n"/>
      <c r="L125" s="15">
        <f>IF(OR($G125="Exact TP",$G125="Equivalent TP"),1,0)</f>
        <v/>
      </c>
      <c r="M125" s="15">
        <f>IF(OR($G125="FP Extra",$G125="Harmful FP"),1,0)</f>
        <v/>
      </c>
      <c r="N125" s="15">
        <f>IF(OR($G125="FN",$G125="Partial"),1,0)</f>
        <v/>
      </c>
      <c r="O125" s="15">
        <f>IF($L125=1,$I125,0)</f>
        <v/>
      </c>
      <c r="P125" s="15">
        <f>IF($M125=1,$I125,0)</f>
        <v/>
      </c>
      <c r="Q125" s="15">
        <f>IF($N125=1,$I125,0)</f>
        <v/>
      </c>
      <c r="R125" s="20" t="n"/>
      <c r="S125" s="20" t="n"/>
      <c r="T125" s="20" t="n"/>
    </row>
    <row r="126" ht="18.75" customHeight="1">
      <c r="A126" s="12" t="n"/>
      <c r="B126" s="12" t="n"/>
      <c r="C126" s="12" t="n"/>
      <c r="D126" s="12" t="n"/>
      <c r="E126" s="12" t="n"/>
      <c r="F126" s="12" t="n"/>
      <c r="G126" s="12" t="n"/>
      <c r="H126" s="14">
        <f>IFERROR(VLOOKUP($B126,$A$25:$N$54,7,FALSE),"")</f>
        <v/>
      </c>
      <c r="I126" s="15">
        <f>IF($H126="Minor",1,IF($H126="Moderate",2,IF($H126="Major",3,IF($H126="Critical",4,""))))</f>
        <v/>
      </c>
      <c r="J126" s="16" t="n"/>
      <c r="K126" s="16" t="n"/>
      <c r="L126" s="15">
        <f>IF(OR($G126="Exact TP",$G126="Equivalent TP"),1,0)</f>
        <v/>
      </c>
      <c r="M126" s="15">
        <f>IF(OR($G126="FP Extra",$G126="Harmful FP"),1,0)</f>
        <v/>
      </c>
      <c r="N126" s="15">
        <f>IF(OR($G126="FN",$G126="Partial"),1,0)</f>
        <v/>
      </c>
      <c r="O126" s="15">
        <f>IF($L126=1,$I126,0)</f>
        <v/>
      </c>
      <c r="P126" s="15">
        <f>IF($M126=1,$I126,0)</f>
        <v/>
      </c>
      <c r="Q126" s="15">
        <f>IF($N126=1,$I126,0)</f>
        <v/>
      </c>
      <c r="R126" s="20" t="n"/>
      <c r="S126" s="20" t="n"/>
      <c r="T126" s="20" t="n"/>
    </row>
    <row r="127" ht="18.75" customHeight="1">
      <c r="A127" s="12" t="n"/>
      <c r="B127" s="12" t="n"/>
      <c r="C127" s="12" t="n"/>
      <c r="D127" s="12" t="n"/>
      <c r="E127" s="12" t="n"/>
      <c r="F127" s="12" t="n"/>
      <c r="G127" s="12" t="n"/>
      <c r="H127" s="14">
        <f>IFERROR(VLOOKUP($B127,$A$25:$N$54,7,FALSE),"")</f>
        <v/>
      </c>
      <c r="I127" s="15">
        <f>IF($H127="Minor",1,IF($H127="Moderate",2,IF($H127="Major",3,IF($H127="Critical",4,""))))</f>
        <v/>
      </c>
      <c r="J127" s="16" t="n"/>
      <c r="K127" s="16" t="n"/>
      <c r="L127" s="15">
        <f>IF(OR($G127="Exact TP",$G127="Equivalent TP"),1,0)</f>
        <v/>
      </c>
      <c r="M127" s="15">
        <f>IF(OR($G127="FP Extra",$G127="Harmful FP"),1,0)</f>
        <v/>
      </c>
      <c r="N127" s="15">
        <f>IF(OR($G127="FN",$G127="Partial"),1,0)</f>
        <v/>
      </c>
      <c r="O127" s="15">
        <f>IF($L127=1,$I127,0)</f>
        <v/>
      </c>
      <c r="P127" s="15">
        <f>IF($M127=1,$I127,0)</f>
        <v/>
      </c>
      <c r="Q127" s="15">
        <f>IF($N127=1,$I127,0)</f>
        <v/>
      </c>
      <c r="R127" s="20" t="n"/>
      <c r="S127" s="20" t="n"/>
      <c r="T127" s="20" t="n"/>
    </row>
    <row r="128" ht="18.75" customHeight="1">
      <c r="A128" s="12" t="n"/>
      <c r="B128" s="12" t="n"/>
      <c r="C128" s="12" t="n"/>
      <c r="D128" s="12" t="n"/>
      <c r="E128" s="12" t="n"/>
      <c r="F128" s="12" t="n"/>
      <c r="G128" s="12" t="n"/>
      <c r="H128" s="14">
        <f>IFERROR(VLOOKUP($B128,$A$25:$N$54,7,FALSE),"")</f>
        <v/>
      </c>
      <c r="I128" s="15">
        <f>IF($H128="Minor",1,IF($H128="Moderate",2,IF($H128="Major",3,IF($H128="Critical",4,""))))</f>
        <v/>
      </c>
      <c r="J128" s="16" t="n"/>
      <c r="K128" s="16" t="n"/>
      <c r="L128" s="15">
        <f>IF(OR($G128="Exact TP",$G128="Equivalent TP"),1,0)</f>
        <v/>
      </c>
      <c r="M128" s="15">
        <f>IF(OR($G128="FP Extra",$G128="Harmful FP"),1,0)</f>
        <v/>
      </c>
      <c r="N128" s="15">
        <f>IF(OR($G128="FN",$G128="Partial"),1,0)</f>
        <v/>
      </c>
      <c r="O128" s="15">
        <f>IF($L128=1,$I128,0)</f>
        <v/>
      </c>
      <c r="P128" s="15">
        <f>IF($M128=1,$I128,0)</f>
        <v/>
      </c>
      <c r="Q128" s="15">
        <f>IF($N128=1,$I128,0)</f>
        <v/>
      </c>
      <c r="R128" s="20" t="n"/>
      <c r="S128" s="20" t="n"/>
      <c r="T128" s="20" t="n"/>
    </row>
    <row r="129" ht="18.75" customHeight="1">
      <c r="A129" s="12" t="n"/>
      <c r="B129" s="12" t="n"/>
      <c r="C129" s="12" t="n"/>
      <c r="D129" s="12" t="n"/>
      <c r="E129" s="12" t="n"/>
      <c r="F129" s="12" t="n"/>
      <c r="G129" s="12" t="n"/>
      <c r="H129" s="14">
        <f>IFERROR(VLOOKUP($B129,$A$25:$N$54,7,FALSE),"")</f>
        <v/>
      </c>
      <c r="I129" s="15">
        <f>IF($H129="Minor",1,IF($H129="Moderate",2,IF($H129="Major",3,IF($H129="Critical",4,""))))</f>
        <v/>
      </c>
      <c r="J129" s="16" t="n"/>
      <c r="K129" s="16" t="n"/>
      <c r="L129" s="15">
        <f>IF(OR($G129="Exact TP",$G129="Equivalent TP"),1,0)</f>
        <v/>
      </c>
      <c r="M129" s="15">
        <f>IF(OR($G129="FP Extra",$G129="Harmful FP"),1,0)</f>
        <v/>
      </c>
      <c r="N129" s="15">
        <f>IF(OR($G129="FN",$G129="Partial"),1,0)</f>
        <v/>
      </c>
      <c r="O129" s="15">
        <f>IF($L129=1,$I129,0)</f>
        <v/>
      </c>
      <c r="P129" s="15">
        <f>IF($M129=1,$I129,0)</f>
        <v/>
      </c>
      <c r="Q129" s="15">
        <f>IF($N129=1,$I129,0)</f>
        <v/>
      </c>
      <c r="R129" s="20" t="n"/>
      <c r="S129" s="20" t="n"/>
      <c r="T129" s="20" t="n"/>
    </row>
    <row r="130" ht="18.75" customHeight="1">
      <c r="A130" s="12" t="n"/>
      <c r="B130" s="12" t="n"/>
      <c r="C130" s="12" t="n"/>
      <c r="D130" s="12" t="n"/>
      <c r="E130" s="12" t="n"/>
      <c r="F130" s="12" t="n"/>
      <c r="G130" s="12" t="n"/>
      <c r="H130" s="14">
        <f>IFERROR(VLOOKUP($B130,$A$25:$N$54,7,FALSE),"")</f>
        <v/>
      </c>
      <c r="I130" s="15">
        <f>IF($H130="Minor",1,IF($H130="Moderate",2,IF($H130="Major",3,IF($H130="Critical",4,""))))</f>
        <v/>
      </c>
      <c r="J130" s="16" t="n"/>
      <c r="K130" s="16" t="n"/>
      <c r="L130" s="15">
        <f>IF(OR($G130="Exact TP",$G130="Equivalent TP"),1,0)</f>
        <v/>
      </c>
      <c r="M130" s="15">
        <f>IF(OR($G130="FP Extra",$G130="Harmful FP"),1,0)</f>
        <v/>
      </c>
      <c r="N130" s="15">
        <f>IF(OR($G130="FN",$G130="Partial"),1,0)</f>
        <v/>
      </c>
      <c r="O130" s="15">
        <f>IF($L130=1,$I130,0)</f>
        <v/>
      </c>
      <c r="P130" s="15">
        <f>IF($M130=1,$I130,0)</f>
        <v/>
      </c>
      <c r="Q130" s="15">
        <f>IF($N130=1,$I130,0)</f>
        <v/>
      </c>
      <c r="R130" s="20" t="n"/>
      <c r="S130" s="20" t="n"/>
      <c r="T130" s="20" t="n"/>
    </row>
    <row r="131" ht="18.75" customHeight="1">
      <c r="A131" s="12" t="n"/>
      <c r="B131" s="12" t="n"/>
      <c r="C131" s="12" t="n"/>
      <c r="D131" s="12" t="n"/>
      <c r="E131" s="12" t="n"/>
      <c r="F131" s="12" t="n"/>
      <c r="G131" s="12" t="n"/>
      <c r="H131" s="14">
        <f>IFERROR(VLOOKUP($B131,$A$25:$N$54,7,FALSE),"")</f>
        <v/>
      </c>
      <c r="I131" s="15">
        <f>IF($H131="Minor",1,IF($H131="Moderate",2,IF($H131="Major",3,IF($H131="Critical",4,""))))</f>
        <v/>
      </c>
      <c r="J131" s="16" t="n"/>
      <c r="K131" s="16" t="n"/>
      <c r="L131" s="15">
        <f>IF(OR($G131="Exact TP",$G131="Equivalent TP"),1,0)</f>
        <v/>
      </c>
      <c r="M131" s="15">
        <f>IF(OR($G131="FP Extra",$G131="Harmful FP"),1,0)</f>
        <v/>
      </c>
      <c r="N131" s="15">
        <f>IF(OR($G131="FN",$G131="Partial"),1,0)</f>
        <v/>
      </c>
      <c r="O131" s="15">
        <f>IF($L131=1,$I131,0)</f>
        <v/>
      </c>
      <c r="P131" s="15">
        <f>IF($M131=1,$I131,0)</f>
        <v/>
      </c>
      <c r="Q131" s="15">
        <f>IF($N131=1,$I131,0)</f>
        <v/>
      </c>
      <c r="R131" s="20" t="n"/>
      <c r="S131" s="20" t="n"/>
      <c r="T131" s="20" t="n"/>
    </row>
    <row r="132" ht="18.75" customHeight="1">
      <c r="A132" s="12" t="n"/>
      <c r="B132" s="12" t="n"/>
      <c r="C132" s="12" t="n"/>
      <c r="D132" s="12" t="n"/>
      <c r="E132" s="12" t="n"/>
      <c r="F132" s="12" t="n"/>
      <c r="G132" s="12" t="n"/>
      <c r="H132" s="14">
        <f>IFERROR(VLOOKUP($B132,$A$25:$N$54,7,FALSE),"")</f>
        <v/>
      </c>
      <c r="I132" s="15">
        <f>IF($H132="Minor",1,IF($H132="Moderate",2,IF($H132="Major",3,IF($H132="Critical",4,""))))</f>
        <v/>
      </c>
      <c r="J132" s="16" t="n"/>
      <c r="K132" s="16" t="n"/>
      <c r="L132" s="15">
        <f>IF(OR($G132="Exact TP",$G132="Equivalent TP"),1,0)</f>
        <v/>
      </c>
      <c r="M132" s="15">
        <f>IF(OR($G132="FP Extra",$G132="Harmful FP"),1,0)</f>
        <v/>
      </c>
      <c r="N132" s="15">
        <f>IF(OR($G132="FN",$G132="Partial"),1,0)</f>
        <v/>
      </c>
      <c r="O132" s="15">
        <f>IF($L132=1,$I132,0)</f>
        <v/>
      </c>
      <c r="P132" s="15">
        <f>IF($M132=1,$I132,0)</f>
        <v/>
      </c>
      <c r="Q132" s="15">
        <f>IF($N132=1,$I132,0)</f>
        <v/>
      </c>
      <c r="R132" s="20" t="n"/>
      <c r="S132" s="20" t="n"/>
      <c r="T132" s="20" t="n"/>
    </row>
    <row r="133" ht="18.75" customHeight="1">
      <c r="A133" s="12" t="n"/>
      <c r="B133" s="12" t="n"/>
      <c r="C133" s="12" t="n"/>
      <c r="D133" s="12" t="n"/>
      <c r="E133" s="12" t="n"/>
      <c r="F133" s="12" t="n"/>
      <c r="G133" s="12" t="n"/>
      <c r="H133" s="14">
        <f>IFERROR(VLOOKUP($B133,$A$25:$N$54,7,FALSE),"")</f>
        <v/>
      </c>
      <c r="I133" s="15">
        <f>IF($H133="Minor",1,IF($H133="Moderate",2,IF($H133="Major",3,IF($H133="Critical",4,""))))</f>
        <v/>
      </c>
      <c r="J133" s="16" t="n"/>
      <c r="K133" s="16" t="n"/>
      <c r="L133" s="15">
        <f>IF(OR($G133="Exact TP",$G133="Equivalent TP"),1,0)</f>
        <v/>
      </c>
      <c r="M133" s="15">
        <f>IF(OR($G133="FP Extra",$G133="Harmful FP"),1,0)</f>
        <v/>
      </c>
      <c r="N133" s="15">
        <f>IF(OR($G133="FN",$G133="Partial"),1,0)</f>
        <v/>
      </c>
      <c r="O133" s="15">
        <f>IF($L133=1,$I133,0)</f>
        <v/>
      </c>
      <c r="P133" s="15">
        <f>IF($M133=1,$I133,0)</f>
        <v/>
      </c>
      <c r="Q133" s="15">
        <f>IF($N133=1,$I133,0)</f>
        <v/>
      </c>
      <c r="R133" s="20" t="n"/>
      <c r="S133" s="20" t="n"/>
      <c r="T133" s="20" t="n"/>
    </row>
    <row r="134" ht="18.75" customHeight="1">
      <c r="A134" s="12" t="n"/>
      <c r="B134" s="12" t="n"/>
      <c r="C134" s="12" t="n"/>
      <c r="D134" s="12" t="n"/>
      <c r="E134" s="12" t="n"/>
      <c r="F134" s="12" t="n"/>
      <c r="G134" s="12" t="n"/>
      <c r="H134" s="14">
        <f>IFERROR(VLOOKUP($B134,$A$25:$N$54,7,FALSE),"")</f>
        <v/>
      </c>
      <c r="I134" s="15">
        <f>IF($H134="Minor",1,IF($H134="Moderate",2,IF($H134="Major",3,IF($H134="Critical",4,""))))</f>
        <v/>
      </c>
      <c r="J134" s="16" t="n"/>
      <c r="K134" s="16" t="n"/>
      <c r="L134" s="15">
        <f>IF(OR($G134="Exact TP",$G134="Equivalent TP"),1,0)</f>
        <v/>
      </c>
      <c r="M134" s="15">
        <f>IF(OR($G134="FP Extra",$G134="Harmful FP"),1,0)</f>
        <v/>
      </c>
      <c r="N134" s="15">
        <f>IF(OR($G134="FN",$G134="Partial"),1,0)</f>
        <v/>
      </c>
      <c r="O134" s="15">
        <f>IF($L134=1,$I134,0)</f>
        <v/>
      </c>
      <c r="P134" s="15">
        <f>IF($M134=1,$I134,0)</f>
        <v/>
      </c>
      <c r="Q134" s="15">
        <f>IF($N134=1,$I134,0)</f>
        <v/>
      </c>
      <c r="R134" s="20" t="n"/>
      <c r="S134" s="20" t="n"/>
      <c r="T134" s="20" t="n"/>
    </row>
    <row r="135" ht="18.75" customHeight="1">
      <c r="A135" s="12" t="n"/>
      <c r="B135" s="12" t="n"/>
      <c r="C135" s="12" t="n"/>
      <c r="D135" s="12" t="n"/>
      <c r="E135" s="12" t="n"/>
      <c r="F135" s="12" t="n"/>
      <c r="G135" s="12" t="n"/>
      <c r="H135" s="14">
        <f>IFERROR(VLOOKUP($B135,$A$25:$N$54,7,FALSE),"")</f>
        <v/>
      </c>
      <c r="I135" s="15">
        <f>IF($H135="Minor",1,IF($H135="Moderate",2,IF($H135="Major",3,IF($H135="Critical",4,""))))</f>
        <v/>
      </c>
      <c r="J135" s="16" t="n"/>
      <c r="K135" s="16" t="n"/>
      <c r="L135" s="15">
        <f>IF(OR($G135="Exact TP",$G135="Equivalent TP"),1,0)</f>
        <v/>
      </c>
      <c r="M135" s="15">
        <f>IF(OR($G135="FP Extra",$G135="Harmful FP"),1,0)</f>
        <v/>
      </c>
      <c r="N135" s="15">
        <f>IF(OR($G135="FN",$G135="Partial"),1,0)</f>
        <v/>
      </c>
      <c r="O135" s="15">
        <f>IF($L135=1,$I135,0)</f>
        <v/>
      </c>
      <c r="P135" s="15">
        <f>IF($M135=1,$I135,0)</f>
        <v/>
      </c>
      <c r="Q135" s="15">
        <f>IF($N135=1,$I135,0)</f>
        <v/>
      </c>
      <c r="R135" s="20" t="n"/>
      <c r="S135" s="20" t="n"/>
      <c r="T135" s="20" t="n"/>
    </row>
    <row r="136" ht="18.75" customHeight="1">
      <c r="A136" s="12" t="n"/>
      <c r="B136" s="12" t="n"/>
      <c r="C136" s="12" t="n"/>
      <c r="D136" s="12" t="n"/>
      <c r="E136" s="12" t="n"/>
      <c r="F136" s="12" t="n"/>
      <c r="G136" s="12" t="n"/>
      <c r="H136" s="14">
        <f>IFERROR(VLOOKUP($B136,$A$25:$N$54,7,FALSE),"")</f>
        <v/>
      </c>
      <c r="I136" s="15">
        <f>IF($H136="Minor",1,IF($H136="Moderate",2,IF($H136="Major",3,IF($H136="Critical",4,""))))</f>
        <v/>
      </c>
      <c r="J136" s="16" t="n"/>
      <c r="K136" s="16" t="n"/>
      <c r="L136" s="15">
        <f>IF(OR($G136="Exact TP",$G136="Equivalent TP"),1,0)</f>
        <v/>
      </c>
      <c r="M136" s="15">
        <f>IF(OR($G136="FP Extra",$G136="Harmful FP"),1,0)</f>
        <v/>
      </c>
      <c r="N136" s="15">
        <f>IF(OR($G136="FN",$G136="Partial"),1,0)</f>
        <v/>
      </c>
      <c r="O136" s="15">
        <f>IF($L136=1,$I136,0)</f>
        <v/>
      </c>
      <c r="P136" s="15">
        <f>IF($M136=1,$I136,0)</f>
        <v/>
      </c>
      <c r="Q136" s="15">
        <f>IF($N136=1,$I136,0)</f>
        <v/>
      </c>
      <c r="R136" s="20" t="n"/>
      <c r="S136" s="20" t="n"/>
      <c r="T136" s="20" t="n"/>
    </row>
    <row r="137" ht="18.75" customHeight="1">
      <c r="A137" s="12" t="n"/>
      <c r="B137" s="12" t="n"/>
      <c r="C137" s="12" t="n"/>
      <c r="D137" s="12" t="n"/>
      <c r="E137" s="12" t="n"/>
      <c r="F137" s="12" t="n"/>
      <c r="G137" s="12" t="n"/>
      <c r="H137" s="14">
        <f>IFERROR(VLOOKUP($B137,$A$25:$N$54,7,FALSE),"")</f>
        <v/>
      </c>
      <c r="I137" s="15">
        <f>IF($H137="Minor",1,IF($H137="Moderate",2,IF($H137="Major",3,IF($H137="Critical",4,""))))</f>
        <v/>
      </c>
      <c r="J137" s="16" t="n"/>
      <c r="K137" s="16" t="n"/>
      <c r="L137" s="15">
        <f>IF(OR($G137="Exact TP",$G137="Equivalent TP"),1,0)</f>
        <v/>
      </c>
      <c r="M137" s="15">
        <f>IF(OR($G137="FP Extra",$G137="Harmful FP"),1,0)</f>
        <v/>
      </c>
      <c r="N137" s="15">
        <f>IF(OR($G137="FN",$G137="Partial"),1,0)</f>
        <v/>
      </c>
      <c r="O137" s="15">
        <f>IF($L137=1,$I137,0)</f>
        <v/>
      </c>
      <c r="P137" s="15">
        <f>IF($M137=1,$I137,0)</f>
        <v/>
      </c>
      <c r="Q137" s="15">
        <f>IF($N137=1,$I137,0)</f>
        <v/>
      </c>
      <c r="R137" s="20" t="n"/>
      <c r="S137" s="20" t="n"/>
      <c r="T137" s="20" t="n"/>
    </row>
    <row r="138" ht="18.75" customHeight="1">
      <c r="A138" s="12" t="n"/>
      <c r="B138" s="12" t="n"/>
      <c r="C138" s="12" t="n"/>
      <c r="D138" s="12" t="n"/>
      <c r="E138" s="12" t="n"/>
      <c r="F138" s="12" t="n"/>
      <c r="G138" s="12" t="n"/>
      <c r="H138" s="14">
        <f>IFERROR(VLOOKUP($B138,$A$25:$N$54,7,FALSE),"")</f>
        <v/>
      </c>
      <c r="I138" s="15">
        <f>IF($H138="Minor",1,IF($H138="Moderate",2,IF($H138="Major",3,IF($H138="Critical",4,""))))</f>
        <v/>
      </c>
      <c r="J138" s="16" t="n"/>
      <c r="K138" s="16" t="n"/>
      <c r="L138" s="15">
        <f>IF(OR($G138="Exact TP",$G138="Equivalent TP"),1,0)</f>
        <v/>
      </c>
      <c r="M138" s="15">
        <f>IF(OR($G138="FP Extra",$G138="Harmful FP"),1,0)</f>
        <v/>
      </c>
      <c r="N138" s="15">
        <f>IF(OR($G138="FN",$G138="Partial"),1,0)</f>
        <v/>
      </c>
      <c r="O138" s="15">
        <f>IF($L138=1,$I138,0)</f>
        <v/>
      </c>
      <c r="P138" s="15">
        <f>IF($M138=1,$I138,0)</f>
        <v/>
      </c>
      <c r="Q138" s="15">
        <f>IF($N138=1,$I138,0)</f>
        <v/>
      </c>
      <c r="R138" s="20" t="n"/>
      <c r="S138" s="20" t="n"/>
      <c r="T138" s="20" t="n"/>
    </row>
    <row r="139" ht="18.75" customHeight="1">
      <c r="A139" s="12" t="n"/>
      <c r="B139" s="12" t="n"/>
      <c r="C139" s="12" t="n"/>
      <c r="D139" s="12" t="n"/>
      <c r="E139" s="12" t="n"/>
      <c r="F139" s="12" t="n"/>
      <c r="G139" s="12" t="n"/>
      <c r="H139" s="14">
        <f>IFERROR(VLOOKUP($B139,$A$25:$N$54,7,FALSE),"")</f>
        <v/>
      </c>
      <c r="I139" s="15">
        <f>IF($H139="Minor",1,IF($H139="Moderate",2,IF($H139="Major",3,IF($H139="Critical",4,""))))</f>
        <v/>
      </c>
      <c r="J139" s="16" t="n"/>
      <c r="K139" s="16" t="n"/>
      <c r="L139" s="15">
        <f>IF(OR($G139="Exact TP",$G139="Equivalent TP"),1,0)</f>
        <v/>
      </c>
      <c r="M139" s="15">
        <f>IF(OR($G139="FP Extra",$G139="Harmful FP"),1,0)</f>
        <v/>
      </c>
      <c r="N139" s="15">
        <f>IF(OR($G139="FN",$G139="Partial"),1,0)</f>
        <v/>
      </c>
      <c r="O139" s="15">
        <f>IF($L139=1,$I139,0)</f>
        <v/>
      </c>
      <c r="P139" s="15">
        <f>IF($M139=1,$I139,0)</f>
        <v/>
      </c>
      <c r="Q139" s="15">
        <f>IF($N139=1,$I139,0)</f>
        <v/>
      </c>
      <c r="R139" s="20" t="n"/>
      <c r="S139" s="20" t="n"/>
      <c r="T139" s="20" t="n"/>
    </row>
    <row r="140" ht="18.75" customHeight="1">
      <c r="A140" s="12" t="n"/>
      <c r="B140" s="12" t="n"/>
      <c r="C140" s="12" t="n"/>
      <c r="D140" s="12" t="n"/>
      <c r="E140" s="12" t="n"/>
      <c r="F140" s="12" t="n"/>
      <c r="G140" s="12" t="n"/>
      <c r="H140" s="14">
        <f>IFERROR(VLOOKUP($B140,$A$25:$N$54,7,FALSE),"")</f>
        <v/>
      </c>
      <c r="I140" s="15">
        <f>IF($H140="Minor",1,IF($H140="Moderate",2,IF($H140="Major",3,IF($H140="Critical",4,""))))</f>
        <v/>
      </c>
      <c r="J140" s="16" t="n"/>
      <c r="K140" s="16" t="n"/>
      <c r="L140" s="15">
        <f>IF(OR($G140="Exact TP",$G140="Equivalent TP"),1,0)</f>
        <v/>
      </c>
      <c r="M140" s="15">
        <f>IF(OR($G140="FP Extra",$G140="Harmful FP"),1,0)</f>
        <v/>
      </c>
      <c r="N140" s="15">
        <f>IF(OR($G140="FN",$G140="Partial"),1,0)</f>
        <v/>
      </c>
      <c r="O140" s="15">
        <f>IF($L140=1,$I140,0)</f>
        <v/>
      </c>
      <c r="P140" s="15">
        <f>IF($M140=1,$I140,0)</f>
        <v/>
      </c>
      <c r="Q140" s="15">
        <f>IF($N140=1,$I140,0)</f>
        <v/>
      </c>
      <c r="R140" s="20" t="n"/>
      <c r="S140" s="20" t="n"/>
      <c r="T140" s="20" t="n"/>
    </row>
    <row r="141" ht="18.75" customHeight="1">
      <c r="A141" s="12" t="n"/>
      <c r="B141" s="12" t="n"/>
      <c r="C141" s="12" t="n"/>
      <c r="D141" s="12" t="n"/>
      <c r="E141" s="12" t="n"/>
      <c r="F141" s="12" t="n"/>
      <c r="G141" s="12" t="n"/>
      <c r="H141" s="14">
        <f>IFERROR(VLOOKUP($B141,$A$25:$N$54,7,FALSE),"")</f>
        <v/>
      </c>
      <c r="I141" s="15">
        <f>IF($H141="Minor",1,IF($H141="Moderate",2,IF($H141="Major",3,IF($H141="Critical",4,""))))</f>
        <v/>
      </c>
      <c r="J141" s="16" t="n"/>
      <c r="K141" s="16" t="n"/>
      <c r="L141" s="15">
        <f>IF(OR($G141="Exact TP",$G141="Equivalent TP"),1,0)</f>
        <v/>
      </c>
      <c r="M141" s="15">
        <f>IF(OR($G141="FP Extra",$G141="Harmful FP"),1,0)</f>
        <v/>
      </c>
      <c r="N141" s="15">
        <f>IF(OR($G141="FN",$G141="Partial"),1,0)</f>
        <v/>
      </c>
      <c r="O141" s="15">
        <f>IF($L141=1,$I141,0)</f>
        <v/>
      </c>
      <c r="P141" s="15">
        <f>IF($M141=1,$I141,0)</f>
        <v/>
      </c>
      <c r="Q141" s="15">
        <f>IF($N141=1,$I141,0)</f>
        <v/>
      </c>
      <c r="R141" s="20" t="n"/>
      <c r="S141" s="20" t="n"/>
      <c r="T141" s="20" t="n"/>
    </row>
    <row r="142" ht="18.75" customHeight="1">
      <c r="A142" s="12" t="n"/>
      <c r="B142" s="12" t="n"/>
      <c r="C142" s="12" t="n"/>
      <c r="D142" s="12" t="n"/>
      <c r="E142" s="12" t="n"/>
      <c r="F142" s="12" t="n"/>
      <c r="G142" s="12" t="n"/>
      <c r="H142" s="14">
        <f>IFERROR(VLOOKUP($B142,$A$25:$N$54,7,FALSE),"")</f>
        <v/>
      </c>
      <c r="I142" s="15">
        <f>IF($H142="Minor",1,IF($H142="Moderate",2,IF($H142="Major",3,IF($H142="Critical",4,""))))</f>
        <v/>
      </c>
      <c r="J142" s="16" t="n"/>
      <c r="K142" s="16" t="n"/>
      <c r="L142" s="15">
        <f>IF(OR($G142="Exact TP",$G142="Equivalent TP"),1,0)</f>
        <v/>
      </c>
      <c r="M142" s="15">
        <f>IF(OR($G142="FP Extra",$G142="Harmful FP"),1,0)</f>
        <v/>
      </c>
      <c r="N142" s="15">
        <f>IF(OR($G142="FN",$G142="Partial"),1,0)</f>
        <v/>
      </c>
      <c r="O142" s="15">
        <f>IF($L142=1,$I142,0)</f>
        <v/>
      </c>
      <c r="P142" s="15">
        <f>IF($M142=1,$I142,0)</f>
        <v/>
      </c>
      <c r="Q142" s="15">
        <f>IF($N142=1,$I142,0)</f>
        <v/>
      </c>
      <c r="R142" s="20" t="n"/>
      <c r="S142" s="20" t="n"/>
      <c r="T142" s="20" t="n"/>
    </row>
    <row r="143" ht="18.75" customHeight="1">
      <c r="A143" s="12" t="n"/>
      <c r="B143" s="12" t="n"/>
      <c r="C143" s="12" t="n"/>
      <c r="D143" s="12" t="n"/>
      <c r="E143" s="12" t="n"/>
      <c r="F143" s="12" t="n"/>
      <c r="G143" s="12" t="n"/>
      <c r="H143" s="14">
        <f>IFERROR(VLOOKUP($B143,$A$25:$N$54,7,FALSE),"")</f>
        <v/>
      </c>
      <c r="I143" s="15">
        <f>IF($H143="Minor",1,IF($H143="Moderate",2,IF($H143="Major",3,IF($H143="Critical",4,""))))</f>
        <v/>
      </c>
      <c r="J143" s="16" t="n"/>
      <c r="K143" s="16" t="n"/>
      <c r="L143" s="15">
        <f>IF(OR($G143="Exact TP",$G143="Equivalent TP"),1,0)</f>
        <v/>
      </c>
      <c r="M143" s="15">
        <f>IF(OR($G143="FP Extra",$G143="Harmful FP"),1,0)</f>
        <v/>
      </c>
      <c r="N143" s="15">
        <f>IF(OR($G143="FN",$G143="Partial"),1,0)</f>
        <v/>
      </c>
      <c r="O143" s="15">
        <f>IF($L143=1,$I143,0)</f>
        <v/>
      </c>
      <c r="P143" s="15">
        <f>IF($M143=1,$I143,0)</f>
        <v/>
      </c>
      <c r="Q143" s="15">
        <f>IF($N143=1,$I143,0)</f>
        <v/>
      </c>
      <c r="R143" s="20" t="n"/>
      <c r="S143" s="20" t="n"/>
      <c r="T143" s="20" t="n"/>
    </row>
    <row r="144" ht="18.75" customHeight="1">
      <c r="A144" s="12" t="n"/>
      <c r="B144" s="12" t="n"/>
      <c r="C144" s="12" t="n"/>
      <c r="D144" s="12" t="n"/>
      <c r="E144" s="12" t="n"/>
      <c r="F144" s="12" t="n"/>
      <c r="G144" s="12" t="n"/>
      <c r="H144" s="14">
        <f>IFERROR(VLOOKUP($B144,$A$25:$N$54,7,FALSE),"")</f>
        <v/>
      </c>
      <c r="I144" s="15">
        <f>IF($H144="Minor",1,IF($H144="Moderate",2,IF($H144="Major",3,IF($H144="Critical",4,""))))</f>
        <v/>
      </c>
      <c r="J144" s="16" t="n"/>
      <c r="K144" s="16" t="n"/>
      <c r="L144" s="15">
        <f>IF(OR($G144="Exact TP",$G144="Equivalent TP"),1,0)</f>
        <v/>
      </c>
      <c r="M144" s="15">
        <f>IF(OR($G144="FP Extra",$G144="Harmful FP"),1,0)</f>
        <v/>
      </c>
      <c r="N144" s="15">
        <f>IF(OR($G144="FN",$G144="Partial"),1,0)</f>
        <v/>
      </c>
      <c r="O144" s="15">
        <f>IF($L144=1,$I144,0)</f>
        <v/>
      </c>
      <c r="P144" s="15">
        <f>IF($M144=1,$I144,0)</f>
        <v/>
      </c>
      <c r="Q144" s="15">
        <f>IF($N144=1,$I144,0)</f>
        <v/>
      </c>
      <c r="R144" s="20" t="n"/>
      <c r="S144" s="20" t="n"/>
      <c r="T144" s="20" t="n"/>
    </row>
    <row r="145" ht="18.75" customHeight="1">
      <c r="A145" s="12" t="n"/>
      <c r="B145" s="12" t="n"/>
      <c r="C145" s="12" t="n"/>
      <c r="D145" s="12" t="n"/>
      <c r="E145" s="12" t="n"/>
      <c r="F145" s="12" t="n"/>
      <c r="G145" s="12" t="n"/>
      <c r="H145" s="14">
        <f>IFERROR(VLOOKUP($B145,$A$25:$N$54,7,FALSE),"")</f>
        <v/>
      </c>
      <c r="I145" s="15">
        <f>IF($H145="Minor",1,IF($H145="Moderate",2,IF($H145="Major",3,IF($H145="Critical",4,""))))</f>
        <v/>
      </c>
      <c r="J145" s="16" t="n"/>
      <c r="K145" s="16" t="n"/>
      <c r="L145" s="15">
        <f>IF(OR($G145="Exact TP",$G145="Equivalent TP"),1,0)</f>
        <v/>
      </c>
      <c r="M145" s="15">
        <f>IF(OR($G145="FP Extra",$G145="Harmful FP"),1,0)</f>
        <v/>
      </c>
      <c r="N145" s="15">
        <f>IF(OR($G145="FN",$G145="Partial"),1,0)</f>
        <v/>
      </c>
      <c r="O145" s="15">
        <f>IF($L145=1,$I145,0)</f>
        <v/>
      </c>
      <c r="P145" s="15">
        <f>IF($M145=1,$I145,0)</f>
        <v/>
      </c>
      <c r="Q145" s="15">
        <f>IF($N145=1,$I145,0)</f>
        <v/>
      </c>
      <c r="R145" s="20" t="n"/>
      <c r="S145" s="20" t="n"/>
      <c r="T145" s="20" t="n"/>
    </row>
    <row r="146" ht="18.75" customHeight="1">
      <c r="A146" s="12" t="n"/>
      <c r="B146" s="12" t="n"/>
      <c r="C146" s="12" t="n"/>
      <c r="D146" s="12" t="n"/>
      <c r="E146" s="12" t="n"/>
      <c r="F146" s="12" t="n"/>
      <c r="G146" s="12" t="n"/>
      <c r="H146" s="14">
        <f>IFERROR(VLOOKUP($B146,$A$25:$N$54,7,FALSE),"")</f>
        <v/>
      </c>
      <c r="I146" s="15">
        <f>IF($H146="Minor",1,IF($H146="Moderate",2,IF($H146="Major",3,IF($H146="Critical",4,""))))</f>
        <v/>
      </c>
      <c r="J146" s="16" t="n"/>
      <c r="K146" s="16" t="n"/>
      <c r="L146" s="15">
        <f>IF(OR($G146="Exact TP",$G146="Equivalent TP"),1,0)</f>
        <v/>
      </c>
      <c r="M146" s="15">
        <f>IF(OR($G146="FP Extra",$G146="Harmful FP"),1,0)</f>
        <v/>
      </c>
      <c r="N146" s="15">
        <f>IF(OR($G146="FN",$G146="Partial"),1,0)</f>
        <v/>
      </c>
      <c r="O146" s="15">
        <f>IF($L146=1,$I146,0)</f>
        <v/>
      </c>
      <c r="P146" s="15">
        <f>IF($M146=1,$I146,0)</f>
        <v/>
      </c>
      <c r="Q146" s="15">
        <f>IF($N146=1,$I146,0)</f>
        <v/>
      </c>
      <c r="R146" s="20" t="n"/>
      <c r="S146" s="20" t="n"/>
      <c r="T146" s="20" t="n"/>
    </row>
    <row r="147" ht="18.75" customHeight="1">
      <c r="A147" s="12" t="n"/>
      <c r="B147" s="12" t="n"/>
      <c r="C147" s="12" t="n"/>
      <c r="D147" s="12" t="n"/>
      <c r="E147" s="12" t="n"/>
      <c r="F147" s="12" t="n"/>
      <c r="G147" s="12" t="n"/>
      <c r="H147" s="14">
        <f>IFERROR(VLOOKUP($B147,$A$25:$N$54,7,FALSE),"")</f>
        <v/>
      </c>
      <c r="I147" s="15">
        <f>IF($H147="Minor",1,IF($H147="Moderate",2,IF($H147="Major",3,IF($H147="Critical",4,""))))</f>
        <v/>
      </c>
      <c r="J147" s="16" t="n"/>
      <c r="K147" s="16" t="n"/>
      <c r="L147" s="15">
        <f>IF(OR($G147="Exact TP",$G147="Equivalent TP"),1,0)</f>
        <v/>
      </c>
      <c r="M147" s="15">
        <f>IF(OR($G147="FP Extra",$G147="Harmful FP"),1,0)</f>
        <v/>
      </c>
      <c r="N147" s="15">
        <f>IF(OR($G147="FN",$G147="Partial"),1,0)</f>
        <v/>
      </c>
      <c r="O147" s="15">
        <f>IF($L147=1,$I147,0)</f>
        <v/>
      </c>
      <c r="P147" s="15">
        <f>IF($M147=1,$I147,0)</f>
        <v/>
      </c>
      <c r="Q147" s="15">
        <f>IF($N147=1,$I147,0)</f>
        <v/>
      </c>
      <c r="R147" s="20" t="n"/>
      <c r="S147" s="20" t="n"/>
      <c r="T147" s="20" t="n"/>
    </row>
    <row r="148" ht="18.75" customHeight="1">
      <c r="A148" s="12" t="n"/>
      <c r="B148" s="12" t="n"/>
      <c r="C148" s="12" t="n"/>
      <c r="D148" s="12" t="n"/>
      <c r="E148" s="12" t="n"/>
      <c r="F148" s="12" t="n"/>
      <c r="G148" s="12" t="n"/>
      <c r="H148" s="14">
        <f>IFERROR(VLOOKUP($B148,$A$25:$N$54,7,FALSE),"")</f>
        <v/>
      </c>
      <c r="I148" s="15">
        <f>IF($H148="Minor",1,IF($H148="Moderate",2,IF($H148="Major",3,IF($H148="Critical",4,""))))</f>
        <v/>
      </c>
      <c r="J148" s="16" t="n"/>
      <c r="K148" s="16" t="n"/>
      <c r="L148" s="15">
        <f>IF(OR($G148="Exact TP",$G148="Equivalent TP"),1,0)</f>
        <v/>
      </c>
      <c r="M148" s="15">
        <f>IF(OR($G148="FP Extra",$G148="Harmful FP"),1,0)</f>
        <v/>
      </c>
      <c r="N148" s="15">
        <f>IF(OR($G148="FN",$G148="Partial"),1,0)</f>
        <v/>
      </c>
      <c r="O148" s="15">
        <f>IF($L148=1,$I148,0)</f>
        <v/>
      </c>
      <c r="P148" s="15">
        <f>IF($M148=1,$I148,0)</f>
        <v/>
      </c>
      <c r="Q148" s="15">
        <f>IF($N148=1,$I148,0)</f>
        <v/>
      </c>
      <c r="R148" s="20" t="n"/>
      <c r="S148" s="20" t="n"/>
      <c r="T148" s="20" t="n"/>
    </row>
    <row r="149" ht="18.75" customHeight="1">
      <c r="A149" s="12" t="n"/>
      <c r="B149" s="12" t="n"/>
      <c r="C149" s="12" t="n"/>
      <c r="D149" s="12" t="n"/>
      <c r="E149" s="12" t="n"/>
      <c r="F149" s="12" t="n"/>
      <c r="G149" s="12" t="n"/>
      <c r="H149" s="14">
        <f>IFERROR(VLOOKUP($B149,$A$25:$N$54,7,FALSE),"")</f>
        <v/>
      </c>
      <c r="I149" s="15">
        <f>IF($H149="Minor",1,IF($H149="Moderate",2,IF($H149="Major",3,IF($H149="Critical",4,""))))</f>
        <v/>
      </c>
      <c r="J149" s="16" t="n"/>
      <c r="K149" s="16" t="n"/>
      <c r="L149" s="15">
        <f>IF(OR($G149="Exact TP",$G149="Equivalent TP"),1,0)</f>
        <v/>
      </c>
      <c r="M149" s="15">
        <f>IF(OR($G149="FP Extra",$G149="Harmful FP"),1,0)</f>
        <v/>
      </c>
      <c r="N149" s="15">
        <f>IF(OR($G149="FN",$G149="Partial"),1,0)</f>
        <v/>
      </c>
      <c r="O149" s="15">
        <f>IF($L149=1,$I149,0)</f>
        <v/>
      </c>
      <c r="P149" s="15">
        <f>IF($M149=1,$I149,0)</f>
        <v/>
      </c>
      <c r="Q149" s="15">
        <f>IF($N149=1,$I149,0)</f>
        <v/>
      </c>
      <c r="R149" s="20" t="n"/>
      <c r="S149" s="20" t="n"/>
      <c r="T149" s="20" t="n"/>
    </row>
    <row r="150" ht="18.75" customHeight="1">
      <c r="A150" s="12" t="n"/>
      <c r="B150" s="12" t="n"/>
      <c r="C150" s="12" t="n"/>
      <c r="D150" s="12" t="n"/>
      <c r="E150" s="12" t="n"/>
      <c r="F150" s="12" t="n"/>
      <c r="G150" s="12" t="n"/>
      <c r="H150" s="14">
        <f>IFERROR(VLOOKUP($B150,$A$25:$N$54,7,FALSE),"")</f>
        <v/>
      </c>
      <c r="I150" s="15">
        <f>IF($H150="Minor",1,IF($H150="Moderate",2,IF($H150="Major",3,IF($H150="Critical",4,""))))</f>
        <v/>
      </c>
      <c r="J150" s="16" t="n"/>
      <c r="K150" s="16" t="n"/>
      <c r="L150" s="15">
        <f>IF(OR($G150="Exact TP",$G150="Equivalent TP"),1,0)</f>
        <v/>
      </c>
      <c r="M150" s="15">
        <f>IF(OR($G150="FP Extra",$G150="Harmful FP"),1,0)</f>
        <v/>
      </c>
      <c r="N150" s="15">
        <f>IF(OR($G150="FN",$G150="Partial"),1,0)</f>
        <v/>
      </c>
      <c r="O150" s="15">
        <f>IF($L150=1,$I150,0)</f>
        <v/>
      </c>
      <c r="P150" s="15">
        <f>IF($M150=1,$I150,0)</f>
        <v/>
      </c>
      <c r="Q150" s="15">
        <f>IF($N150=1,$I150,0)</f>
        <v/>
      </c>
      <c r="R150" s="20" t="n"/>
      <c r="S150" s="20" t="n"/>
      <c r="T150" s="20" t="n"/>
    </row>
    <row r="151" ht="18.75" customHeight="1">
      <c r="A151" s="12" t="n"/>
      <c r="B151" s="12" t="n"/>
      <c r="C151" s="12" t="n"/>
      <c r="D151" s="12" t="n"/>
      <c r="E151" s="12" t="n"/>
      <c r="F151" s="12" t="n"/>
      <c r="G151" s="12" t="n"/>
      <c r="H151" s="14">
        <f>IFERROR(VLOOKUP($B151,$A$25:$N$54,7,FALSE),"")</f>
        <v/>
      </c>
      <c r="I151" s="15">
        <f>IF($H151="Minor",1,IF($H151="Moderate",2,IF($H151="Major",3,IF($H151="Critical",4,""))))</f>
        <v/>
      </c>
      <c r="J151" s="16" t="n"/>
      <c r="K151" s="16" t="n"/>
      <c r="L151" s="15">
        <f>IF(OR($G151="Exact TP",$G151="Equivalent TP"),1,0)</f>
        <v/>
      </c>
      <c r="M151" s="15">
        <f>IF(OR($G151="FP Extra",$G151="Harmful FP"),1,0)</f>
        <v/>
      </c>
      <c r="N151" s="15">
        <f>IF(OR($G151="FN",$G151="Partial"),1,0)</f>
        <v/>
      </c>
      <c r="O151" s="15">
        <f>IF($L151=1,$I151,0)</f>
        <v/>
      </c>
      <c r="P151" s="15">
        <f>IF($M151=1,$I151,0)</f>
        <v/>
      </c>
      <c r="Q151" s="15">
        <f>IF($N151=1,$I151,0)</f>
        <v/>
      </c>
      <c r="R151" s="20" t="n"/>
      <c r="S151" s="20" t="n"/>
      <c r="T151" s="20" t="n"/>
    </row>
    <row r="152" ht="18.75" customHeight="1">
      <c r="A152" s="12" t="n"/>
      <c r="B152" s="12" t="n"/>
      <c r="C152" s="12" t="n"/>
      <c r="D152" s="12" t="n"/>
      <c r="E152" s="12" t="n"/>
      <c r="F152" s="12" t="n"/>
      <c r="G152" s="12" t="n"/>
      <c r="H152" s="14">
        <f>IFERROR(VLOOKUP($B152,$A$25:$N$54,7,FALSE),"")</f>
        <v/>
      </c>
      <c r="I152" s="15">
        <f>IF($H152="Minor",1,IF($H152="Moderate",2,IF($H152="Major",3,IF($H152="Critical",4,""))))</f>
        <v/>
      </c>
      <c r="J152" s="16" t="n"/>
      <c r="K152" s="16" t="n"/>
      <c r="L152" s="15">
        <f>IF(OR($G152="Exact TP",$G152="Equivalent TP"),1,0)</f>
        <v/>
      </c>
      <c r="M152" s="15">
        <f>IF(OR($G152="FP Extra",$G152="Harmful FP"),1,0)</f>
        <v/>
      </c>
      <c r="N152" s="15">
        <f>IF(OR($G152="FN",$G152="Partial"),1,0)</f>
        <v/>
      </c>
      <c r="O152" s="15">
        <f>IF($L152=1,$I152,0)</f>
        <v/>
      </c>
      <c r="P152" s="15">
        <f>IF($M152=1,$I152,0)</f>
        <v/>
      </c>
      <c r="Q152" s="15">
        <f>IF($N152=1,$I152,0)</f>
        <v/>
      </c>
      <c r="R152" s="20" t="n"/>
      <c r="S152" s="20" t="n"/>
      <c r="T152" s="20" t="n"/>
    </row>
    <row r="153" ht="18.75" customHeight="1">
      <c r="A153" s="12" t="n"/>
      <c r="B153" s="12" t="n"/>
      <c r="C153" s="12" t="n"/>
      <c r="D153" s="12" t="n"/>
      <c r="E153" s="12" t="n"/>
      <c r="F153" s="12" t="n"/>
      <c r="G153" s="12" t="n"/>
      <c r="H153" s="14">
        <f>IFERROR(VLOOKUP($B153,$A$25:$N$54,7,FALSE),"")</f>
        <v/>
      </c>
      <c r="I153" s="15">
        <f>IF($H153="Minor",1,IF($H153="Moderate",2,IF($H153="Major",3,IF($H153="Critical",4,""))))</f>
        <v/>
      </c>
      <c r="J153" s="16" t="n"/>
      <c r="K153" s="16" t="n"/>
      <c r="L153" s="15">
        <f>IF(OR($G153="Exact TP",$G153="Equivalent TP"),1,0)</f>
        <v/>
      </c>
      <c r="M153" s="15">
        <f>IF(OR($G153="FP Extra",$G153="Harmful FP"),1,0)</f>
        <v/>
      </c>
      <c r="N153" s="15">
        <f>IF(OR($G153="FN",$G153="Partial"),1,0)</f>
        <v/>
      </c>
      <c r="O153" s="15">
        <f>IF($L153=1,$I153,0)</f>
        <v/>
      </c>
      <c r="P153" s="15">
        <f>IF($M153=1,$I153,0)</f>
        <v/>
      </c>
      <c r="Q153" s="15">
        <f>IF($N153=1,$I153,0)</f>
        <v/>
      </c>
      <c r="R153" s="20" t="n"/>
      <c r="S153" s="20" t="n"/>
      <c r="T153" s="20" t="n"/>
    </row>
    <row r="154" ht="18.75" customHeight="1">
      <c r="A154" s="12" t="n"/>
      <c r="B154" s="12" t="n"/>
      <c r="C154" s="12" t="n"/>
      <c r="D154" s="12" t="n"/>
      <c r="E154" s="12" t="n"/>
      <c r="F154" s="12" t="n"/>
      <c r="G154" s="12" t="n"/>
      <c r="H154" s="14">
        <f>IFERROR(VLOOKUP($B154,$A$25:$N$54,7,FALSE),"")</f>
        <v/>
      </c>
      <c r="I154" s="15">
        <f>IF($H154="Minor",1,IF($H154="Moderate",2,IF($H154="Major",3,IF($H154="Critical",4,""))))</f>
        <v/>
      </c>
      <c r="J154" s="16" t="n"/>
      <c r="K154" s="16" t="n"/>
      <c r="L154" s="15">
        <f>IF(OR($G154="Exact TP",$G154="Equivalent TP"),1,0)</f>
        <v/>
      </c>
      <c r="M154" s="15">
        <f>IF(OR($G154="FP Extra",$G154="Harmful FP"),1,0)</f>
        <v/>
      </c>
      <c r="N154" s="15">
        <f>IF(OR($G154="FN",$G154="Partial"),1,0)</f>
        <v/>
      </c>
      <c r="O154" s="15">
        <f>IF($L154=1,$I154,0)</f>
        <v/>
      </c>
      <c r="P154" s="15">
        <f>IF($M154=1,$I154,0)</f>
        <v/>
      </c>
      <c r="Q154" s="15">
        <f>IF($N154=1,$I154,0)</f>
        <v/>
      </c>
      <c r="R154" s="20" t="n"/>
      <c r="S154" s="20" t="n"/>
      <c r="T154" s="20" t="n"/>
    </row>
    <row r="155" ht="18.75" customHeight="1">
      <c r="A155" s="12" t="n"/>
      <c r="B155" s="12" t="n"/>
      <c r="C155" s="12" t="n"/>
      <c r="D155" s="12" t="n"/>
      <c r="E155" s="12" t="n"/>
      <c r="F155" s="12" t="n"/>
      <c r="G155" s="12" t="n"/>
      <c r="H155" s="14">
        <f>IFERROR(VLOOKUP($B155,$A$25:$N$54,7,FALSE),"")</f>
        <v/>
      </c>
      <c r="I155" s="15">
        <f>IF($H155="Minor",1,IF($H155="Moderate",2,IF($H155="Major",3,IF($H155="Critical",4,""))))</f>
        <v/>
      </c>
      <c r="J155" s="16" t="n"/>
      <c r="K155" s="16" t="n"/>
      <c r="L155" s="15">
        <f>IF(OR($G155="Exact TP",$G155="Equivalent TP"),1,0)</f>
        <v/>
      </c>
      <c r="M155" s="15">
        <f>IF(OR($G155="FP Extra",$G155="Harmful FP"),1,0)</f>
        <v/>
      </c>
      <c r="N155" s="15">
        <f>IF(OR($G155="FN",$G155="Partial"),1,0)</f>
        <v/>
      </c>
      <c r="O155" s="15">
        <f>IF($L155=1,$I155,0)</f>
        <v/>
      </c>
      <c r="P155" s="15">
        <f>IF($M155=1,$I155,0)</f>
        <v/>
      </c>
      <c r="Q155" s="15">
        <f>IF($N155=1,$I155,0)</f>
        <v/>
      </c>
      <c r="R155" s="20" t="n"/>
      <c r="S155" s="20" t="n"/>
      <c r="T155" s="20" t="n"/>
    </row>
    <row r="156" ht="18.75" customHeight="1">
      <c r="A156" s="12" t="n"/>
      <c r="B156" s="12" t="n"/>
      <c r="C156" s="12" t="n"/>
      <c r="D156" s="12" t="n"/>
      <c r="E156" s="12" t="n"/>
      <c r="F156" s="12" t="n"/>
      <c r="G156" s="12" t="n"/>
      <c r="H156" s="14">
        <f>IFERROR(VLOOKUP($B156,$A$25:$N$54,7,FALSE),"")</f>
        <v/>
      </c>
      <c r="I156" s="15">
        <f>IF($H156="Minor",1,IF($H156="Moderate",2,IF($H156="Major",3,IF($H156="Critical",4,""))))</f>
        <v/>
      </c>
      <c r="J156" s="16" t="n"/>
      <c r="K156" s="16" t="n"/>
      <c r="L156" s="15">
        <f>IF(OR($G156="Exact TP",$G156="Equivalent TP"),1,0)</f>
        <v/>
      </c>
      <c r="M156" s="15">
        <f>IF(OR($G156="FP Extra",$G156="Harmful FP"),1,0)</f>
        <v/>
      </c>
      <c r="N156" s="15">
        <f>IF(OR($G156="FN",$G156="Partial"),1,0)</f>
        <v/>
      </c>
      <c r="O156" s="15">
        <f>IF($L156=1,$I156,0)</f>
        <v/>
      </c>
      <c r="P156" s="15">
        <f>IF($M156=1,$I156,0)</f>
        <v/>
      </c>
      <c r="Q156" s="15">
        <f>IF($N156=1,$I156,0)</f>
        <v/>
      </c>
      <c r="R156" s="20" t="n"/>
      <c r="S156" s="20" t="n"/>
      <c r="T156" s="20" t="n"/>
    </row>
    <row r="157" ht="18.75" customHeight="1">
      <c r="A157" s="12" t="n"/>
      <c r="B157" s="12" t="n"/>
      <c r="C157" s="12" t="n"/>
      <c r="D157" s="12" t="n"/>
      <c r="E157" s="12" t="n"/>
      <c r="F157" s="12" t="n"/>
      <c r="G157" s="12" t="n"/>
      <c r="H157" s="14">
        <f>IFERROR(VLOOKUP($B157,$A$25:$N$54,7,FALSE),"")</f>
        <v/>
      </c>
      <c r="I157" s="15">
        <f>IF($H157="Minor",1,IF($H157="Moderate",2,IF($H157="Major",3,IF($H157="Critical",4,""))))</f>
        <v/>
      </c>
      <c r="J157" s="16" t="n"/>
      <c r="K157" s="16" t="n"/>
      <c r="L157" s="15">
        <f>IF(OR($G157="Exact TP",$G157="Equivalent TP"),1,0)</f>
        <v/>
      </c>
      <c r="M157" s="15">
        <f>IF(OR($G157="FP Extra",$G157="Harmful FP"),1,0)</f>
        <v/>
      </c>
      <c r="N157" s="15">
        <f>IF(OR($G157="FN",$G157="Partial"),1,0)</f>
        <v/>
      </c>
      <c r="O157" s="15">
        <f>IF($L157=1,$I157,0)</f>
        <v/>
      </c>
      <c r="P157" s="15">
        <f>IF($M157=1,$I157,0)</f>
        <v/>
      </c>
      <c r="Q157" s="15">
        <f>IF($N157=1,$I157,0)</f>
        <v/>
      </c>
      <c r="R157" s="20" t="n"/>
      <c r="S157" s="20" t="n"/>
      <c r="T157" s="20" t="n"/>
    </row>
    <row r="158" ht="18.75" customHeight="1">
      <c r="A158" s="12" t="n"/>
      <c r="B158" s="12" t="n"/>
      <c r="C158" s="12" t="n"/>
      <c r="D158" s="12" t="n"/>
      <c r="E158" s="12" t="n"/>
      <c r="F158" s="12" t="n"/>
      <c r="G158" s="12" t="n"/>
      <c r="H158" s="14">
        <f>IFERROR(VLOOKUP($B158,$A$25:$N$54,7,FALSE),"")</f>
        <v/>
      </c>
      <c r="I158" s="15">
        <f>IF($H158="Minor",1,IF($H158="Moderate",2,IF($H158="Major",3,IF($H158="Critical",4,""))))</f>
        <v/>
      </c>
      <c r="J158" s="16" t="n"/>
      <c r="K158" s="16" t="n"/>
      <c r="L158" s="15">
        <f>IF(OR($G158="Exact TP",$G158="Equivalent TP"),1,0)</f>
        <v/>
      </c>
      <c r="M158" s="15">
        <f>IF(OR($G158="FP Extra",$G158="Harmful FP"),1,0)</f>
        <v/>
      </c>
      <c r="N158" s="15">
        <f>IF(OR($G158="FN",$G158="Partial"),1,0)</f>
        <v/>
      </c>
      <c r="O158" s="15">
        <f>IF($L158=1,$I158,0)</f>
        <v/>
      </c>
      <c r="P158" s="15">
        <f>IF($M158=1,$I158,0)</f>
        <v/>
      </c>
      <c r="Q158" s="15">
        <f>IF($N158=1,$I158,0)</f>
        <v/>
      </c>
      <c r="R158" s="20" t="n"/>
      <c r="S158" s="20" t="n"/>
      <c r="T158" s="20" t="n"/>
    </row>
    <row r="159" ht="18.75" customHeight="1">
      <c r="A159" s="12" t="n"/>
      <c r="B159" s="12" t="n"/>
      <c r="C159" s="12" t="n"/>
      <c r="D159" s="12" t="n"/>
      <c r="E159" s="12" t="n"/>
      <c r="F159" s="12" t="n"/>
      <c r="G159" s="12" t="n"/>
      <c r="H159" s="14">
        <f>IFERROR(VLOOKUP($B159,$A$25:$N$54,7,FALSE),"")</f>
        <v/>
      </c>
      <c r="I159" s="15">
        <f>IF($H159="Minor",1,IF($H159="Moderate",2,IF($H159="Major",3,IF($H159="Critical",4,""))))</f>
        <v/>
      </c>
      <c r="J159" s="16" t="n"/>
      <c r="K159" s="16" t="n"/>
      <c r="L159" s="15">
        <f>IF(OR($G159="Exact TP",$G159="Equivalent TP"),1,0)</f>
        <v/>
      </c>
      <c r="M159" s="15">
        <f>IF(OR($G159="FP Extra",$G159="Harmful FP"),1,0)</f>
        <v/>
      </c>
      <c r="N159" s="15">
        <f>IF(OR($G159="FN",$G159="Partial"),1,0)</f>
        <v/>
      </c>
      <c r="O159" s="15">
        <f>IF($L159=1,$I159,0)</f>
        <v/>
      </c>
      <c r="P159" s="15">
        <f>IF($M159=1,$I159,0)</f>
        <v/>
      </c>
      <c r="Q159" s="15">
        <f>IF($N159=1,$I159,0)</f>
        <v/>
      </c>
      <c r="R159" s="20" t="n"/>
      <c r="S159" s="20" t="n"/>
      <c r="T159" s="20" t="n"/>
    </row>
    <row r="160" ht="18.75" customHeight="1">
      <c r="A160" s="12" t="n"/>
      <c r="B160" s="12" t="n"/>
      <c r="C160" s="12" t="n"/>
      <c r="D160" s="12" t="n"/>
      <c r="E160" s="12" t="n"/>
      <c r="F160" s="12" t="n"/>
      <c r="G160" s="12" t="n"/>
      <c r="H160" s="14">
        <f>IFERROR(VLOOKUP($B160,$A$25:$N$54,7,FALSE),"")</f>
        <v/>
      </c>
      <c r="I160" s="15">
        <f>IF($H160="Minor",1,IF($H160="Moderate",2,IF($H160="Major",3,IF($H160="Critical",4,""))))</f>
        <v/>
      </c>
      <c r="J160" s="16" t="n"/>
      <c r="K160" s="16" t="n"/>
      <c r="L160" s="15">
        <f>IF(OR($G160="Exact TP",$G160="Equivalent TP"),1,0)</f>
        <v/>
      </c>
      <c r="M160" s="15">
        <f>IF(OR($G160="FP Extra",$G160="Harmful FP"),1,0)</f>
        <v/>
      </c>
      <c r="N160" s="15">
        <f>IF(OR($G160="FN",$G160="Partial"),1,0)</f>
        <v/>
      </c>
      <c r="O160" s="15">
        <f>IF($L160=1,$I160,0)</f>
        <v/>
      </c>
      <c r="P160" s="15">
        <f>IF($M160=1,$I160,0)</f>
        <v/>
      </c>
      <c r="Q160" s="15">
        <f>IF($N160=1,$I160,0)</f>
        <v/>
      </c>
      <c r="R160" s="20" t="n"/>
      <c r="S160" s="20" t="n"/>
      <c r="T160" s="20" t="n"/>
    </row>
    <row r="161" ht="18.75" customHeight="1">
      <c r="A161" s="12" t="n"/>
      <c r="B161" s="12" t="n"/>
      <c r="C161" s="12" t="n"/>
      <c r="D161" s="12" t="n"/>
      <c r="E161" s="12" t="n"/>
      <c r="F161" s="12" t="n"/>
      <c r="G161" s="12" t="n"/>
      <c r="H161" s="14">
        <f>IFERROR(VLOOKUP($B161,$A$25:$N$54,7,FALSE),"")</f>
        <v/>
      </c>
      <c r="I161" s="15">
        <f>IF($H161="Minor",1,IF($H161="Moderate",2,IF($H161="Major",3,IF($H161="Critical",4,""))))</f>
        <v/>
      </c>
      <c r="J161" s="16" t="n"/>
      <c r="K161" s="16" t="n"/>
      <c r="L161" s="15">
        <f>IF(OR($G161="Exact TP",$G161="Equivalent TP"),1,0)</f>
        <v/>
      </c>
      <c r="M161" s="15">
        <f>IF(OR($G161="FP Extra",$G161="Harmful FP"),1,0)</f>
        <v/>
      </c>
      <c r="N161" s="15">
        <f>IF(OR($G161="FN",$G161="Partial"),1,0)</f>
        <v/>
      </c>
      <c r="O161" s="15">
        <f>IF($L161=1,$I161,0)</f>
        <v/>
      </c>
      <c r="P161" s="15">
        <f>IF($M161=1,$I161,0)</f>
        <v/>
      </c>
      <c r="Q161" s="15">
        <f>IF($N161=1,$I161,0)</f>
        <v/>
      </c>
      <c r="R161" s="20" t="n"/>
      <c r="S161" s="20" t="n"/>
      <c r="T161" s="20" t="n"/>
    </row>
    <row r="162" ht="18.75" customHeight="1">
      <c r="A162" s="12" t="n"/>
      <c r="B162" s="12" t="n"/>
      <c r="C162" s="12" t="n"/>
      <c r="D162" s="12" t="n"/>
      <c r="E162" s="12" t="n"/>
      <c r="F162" s="12" t="n"/>
      <c r="G162" s="12" t="n"/>
      <c r="H162" s="14">
        <f>IFERROR(VLOOKUP($B162,$A$25:$N$54,7,FALSE),"")</f>
        <v/>
      </c>
      <c r="I162" s="15">
        <f>IF($H162="Minor",1,IF($H162="Moderate",2,IF($H162="Major",3,IF($H162="Critical",4,""))))</f>
        <v/>
      </c>
      <c r="J162" s="16" t="n"/>
      <c r="K162" s="16" t="n"/>
      <c r="L162" s="15">
        <f>IF(OR($G162="Exact TP",$G162="Equivalent TP"),1,0)</f>
        <v/>
      </c>
      <c r="M162" s="15">
        <f>IF(OR($G162="FP Extra",$G162="Harmful FP"),1,0)</f>
        <v/>
      </c>
      <c r="N162" s="15">
        <f>IF(OR($G162="FN",$G162="Partial"),1,0)</f>
        <v/>
      </c>
      <c r="O162" s="15">
        <f>IF($L162=1,$I162,0)</f>
        <v/>
      </c>
      <c r="P162" s="15">
        <f>IF($M162=1,$I162,0)</f>
        <v/>
      </c>
      <c r="Q162" s="15">
        <f>IF($N162=1,$I162,0)</f>
        <v/>
      </c>
      <c r="R162" s="20" t="n"/>
      <c r="S162" s="20" t="n"/>
      <c r="T162" s="20" t="n"/>
    </row>
    <row r="163" ht="18.75" customHeight="1">
      <c r="A163" s="12" t="n"/>
      <c r="B163" s="12" t="n"/>
      <c r="C163" s="12" t="n"/>
      <c r="D163" s="12" t="n"/>
      <c r="E163" s="12" t="n"/>
      <c r="F163" s="12" t="n"/>
      <c r="G163" s="12" t="n"/>
      <c r="H163" s="14">
        <f>IFERROR(VLOOKUP($B163,$A$25:$N$54,7,FALSE),"")</f>
        <v/>
      </c>
      <c r="I163" s="15">
        <f>IF($H163="Minor",1,IF($H163="Moderate",2,IF($H163="Major",3,IF($H163="Critical",4,""))))</f>
        <v/>
      </c>
      <c r="J163" s="16" t="n"/>
      <c r="K163" s="16" t="n"/>
      <c r="L163" s="15">
        <f>IF(OR($G163="Exact TP",$G163="Equivalent TP"),1,0)</f>
        <v/>
      </c>
      <c r="M163" s="15">
        <f>IF(OR($G163="FP Extra",$G163="Harmful FP"),1,0)</f>
        <v/>
      </c>
      <c r="N163" s="15">
        <f>IF(OR($G163="FN",$G163="Partial"),1,0)</f>
        <v/>
      </c>
      <c r="O163" s="15">
        <f>IF($L163=1,$I163,0)</f>
        <v/>
      </c>
      <c r="P163" s="15">
        <f>IF($M163=1,$I163,0)</f>
        <v/>
      </c>
      <c r="Q163" s="15">
        <f>IF($N163=1,$I163,0)</f>
        <v/>
      </c>
      <c r="R163" s="20" t="n"/>
      <c r="S163" s="20" t="n"/>
      <c r="T163" s="20" t="n"/>
    </row>
    <row r="164" ht="18.75" customHeight="1">
      <c r="A164" s="12" t="n"/>
      <c r="B164" s="12" t="n"/>
      <c r="C164" s="12" t="n"/>
      <c r="D164" s="12" t="n"/>
      <c r="E164" s="12" t="n"/>
      <c r="F164" s="12" t="n"/>
      <c r="G164" s="12" t="n"/>
      <c r="H164" s="14">
        <f>IFERROR(VLOOKUP($B164,$A$25:$N$54,7,FALSE),"")</f>
        <v/>
      </c>
      <c r="I164" s="15">
        <f>IF($H164="Minor",1,IF($H164="Moderate",2,IF($H164="Major",3,IF($H164="Critical",4,""))))</f>
        <v/>
      </c>
      <c r="J164" s="16" t="n"/>
      <c r="K164" s="16" t="n"/>
      <c r="L164" s="15">
        <f>IF(OR($G164="Exact TP",$G164="Equivalent TP"),1,0)</f>
        <v/>
      </c>
      <c r="M164" s="15">
        <f>IF(OR($G164="FP Extra",$G164="Harmful FP"),1,0)</f>
        <v/>
      </c>
      <c r="N164" s="15">
        <f>IF(OR($G164="FN",$G164="Partial"),1,0)</f>
        <v/>
      </c>
      <c r="O164" s="15">
        <f>IF($L164=1,$I164,0)</f>
        <v/>
      </c>
      <c r="P164" s="15">
        <f>IF($M164=1,$I164,0)</f>
        <v/>
      </c>
      <c r="Q164" s="15">
        <f>IF($N164=1,$I164,0)</f>
        <v/>
      </c>
      <c r="R164" s="20" t="n"/>
      <c r="S164" s="20" t="n"/>
      <c r="T164" s="20" t="n"/>
    </row>
    <row r="165" ht="18.75" customHeight="1">
      <c r="A165" s="12" t="n"/>
      <c r="B165" s="12" t="n"/>
      <c r="C165" s="12" t="n"/>
      <c r="D165" s="12" t="n"/>
      <c r="E165" s="12" t="n"/>
      <c r="F165" s="12" t="n"/>
      <c r="G165" s="12" t="n"/>
      <c r="H165" s="14">
        <f>IFERROR(VLOOKUP($B165,$A$25:$N$54,7,FALSE),"")</f>
        <v/>
      </c>
      <c r="I165" s="15">
        <f>IF($H165="Minor",1,IF($H165="Moderate",2,IF($H165="Major",3,IF($H165="Critical",4,""))))</f>
        <v/>
      </c>
      <c r="J165" s="16" t="n"/>
      <c r="K165" s="16" t="n"/>
      <c r="L165" s="15">
        <f>IF(OR($G165="Exact TP",$G165="Equivalent TP"),1,0)</f>
        <v/>
      </c>
      <c r="M165" s="15">
        <f>IF(OR($G165="FP Extra",$G165="Harmful FP"),1,0)</f>
        <v/>
      </c>
      <c r="N165" s="15">
        <f>IF(OR($G165="FN",$G165="Partial"),1,0)</f>
        <v/>
      </c>
      <c r="O165" s="15">
        <f>IF($L165=1,$I165,0)</f>
        <v/>
      </c>
      <c r="P165" s="15">
        <f>IF($M165=1,$I165,0)</f>
        <v/>
      </c>
      <c r="Q165" s="15">
        <f>IF($N165=1,$I165,0)</f>
        <v/>
      </c>
      <c r="R165" s="20" t="n"/>
      <c r="S165" s="20" t="n"/>
      <c r="T165" s="20" t="n"/>
    </row>
    <row r="166" ht="18.75" customHeight="1">
      <c r="A166" s="12" t="n"/>
      <c r="B166" s="12" t="n"/>
      <c r="C166" s="12" t="n"/>
      <c r="D166" s="12" t="n"/>
      <c r="E166" s="12" t="n"/>
      <c r="F166" s="12" t="n"/>
      <c r="G166" s="12" t="n"/>
      <c r="H166" s="14">
        <f>IFERROR(VLOOKUP($B166,$A$25:$N$54,7,FALSE),"")</f>
        <v/>
      </c>
      <c r="I166" s="15">
        <f>IF($H166="Minor",1,IF($H166="Moderate",2,IF($H166="Major",3,IF($H166="Critical",4,""))))</f>
        <v/>
      </c>
      <c r="J166" s="16" t="n"/>
      <c r="K166" s="16" t="n"/>
      <c r="L166" s="15">
        <f>IF(OR($G166="Exact TP",$G166="Equivalent TP"),1,0)</f>
        <v/>
      </c>
      <c r="M166" s="15">
        <f>IF(OR($G166="FP Extra",$G166="Harmful FP"),1,0)</f>
        <v/>
      </c>
      <c r="N166" s="15">
        <f>IF(OR($G166="FN",$G166="Partial"),1,0)</f>
        <v/>
      </c>
      <c r="O166" s="15">
        <f>IF($L166=1,$I166,0)</f>
        <v/>
      </c>
      <c r="P166" s="15">
        <f>IF($M166=1,$I166,0)</f>
        <v/>
      </c>
      <c r="Q166" s="15">
        <f>IF($N166=1,$I166,0)</f>
        <v/>
      </c>
      <c r="R166" s="20" t="n"/>
      <c r="S166" s="20" t="n"/>
      <c r="T166" s="20" t="n"/>
    </row>
    <row r="167" ht="18.75" customHeight="1">
      <c r="A167" s="12" t="n"/>
      <c r="B167" s="12" t="n"/>
      <c r="C167" s="12" t="n"/>
      <c r="D167" s="12" t="n"/>
      <c r="E167" s="12" t="n"/>
      <c r="F167" s="12" t="n"/>
      <c r="G167" s="12" t="n"/>
      <c r="H167" s="14">
        <f>IFERROR(VLOOKUP($B167,$A$25:$N$54,7,FALSE),"")</f>
        <v/>
      </c>
      <c r="I167" s="15">
        <f>IF($H167="Minor",1,IF($H167="Moderate",2,IF($H167="Major",3,IF($H167="Critical",4,""))))</f>
        <v/>
      </c>
      <c r="J167" s="16" t="n"/>
      <c r="K167" s="16" t="n"/>
      <c r="L167" s="15">
        <f>IF(OR($G167="Exact TP",$G167="Equivalent TP"),1,0)</f>
        <v/>
      </c>
      <c r="M167" s="15">
        <f>IF(OR($G167="FP Extra",$G167="Harmful FP"),1,0)</f>
        <v/>
      </c>
      <c r="N167" s="15">
        <f>IF(OR($G167="FN",$G167="Partial"),1,0)</f>
        <v/>
      </c>
      <c r="O167" s="15">
        <f>IF($L167=1,$I167,0)</f>
        <v/>
      </c>
      <c r="P167" s="15">
        <f>IF($M167=1,$I167,0)</f>
        <v/>
      </c>
      <c r="Q167" s="15">
        <f>IF($N167=1,$I167,0)</f>
        <v/>
      </c>
      <c r="R167" s="20" t="n"/>
      <c r="S167" s="20" t="n"/>
      <c r="T167" s="20" t="n"/>
    </row>
    <row r="168" ht="18.75" customHeight="1">
      <c r="A168" s="12" t="n"/>
      <c r="B168" s="12" t="n"/>
      <c r="C168" s="12" t="n"/>
      <c r="D168" s="12" t="n"/>
      <c r="E168" s="12" t="n"/>
      <c r="F168" s="12" t="n"/>
      <c r="G168" s="12" t="n"/>
      <c r="H168" s="14">
        <f>IFERROR(VLOOKUP($B168,$A$25:$N$54,7,FALSE),"")</f>
        <v/>
      </c>
      <c r="I168" s="15">
        <f>IF($H168="Minor",1,IF($H168="Moderate",2,IF($H168="Major",3,IF($H168="Critical",4,""))))</f>
        <v/>
      </c>
      <c r="J168" s="16" t="n"/>
      <c r="K168" s="16" t="n"/>
      <c r="L168" s="15">
        <f>IF(OR($G168="Exact TP",$G168="Equivalent TP"),1,0)</f>
        <v/>
      </c>
      <c r="M168" s="15">
        <f>IF(OR($G168="FP Extra",$G168="Harmful FP"),1,0)</f>
        <v/>
      </c>
      <c r="N168" s="15">
        <f>IF(OR($G168="FN",$G168="Partial"),1,0)</f>
        <v/>
      </c>
      <c r="O168" s="15">
        <f>IF($L168=1,$I168,0)</f>
        <v/>
      </c>
      <c r="P168" s="15">
        <f>IF($M168=1,$I168,0)</f>
        <v/>
      </c>
      <c r="Q168" s="15">
        <f>IF($N168=1,$I168,0)</f>
        <v/>
      </c>
      <c r="R168" s="20" t="n"/>
      <c r="S168" s="20" t="n"/>
      <c r="T168" s="20" t="n"/>
    </row>
    <row r="169" ht="18.75" customHeight="1">
      <c r="A169" s="12" t="n"/>
      <c r="B169" s="12" t="n"/>
      <c r="C169" s="12" t="n"/>
      <c r="D169" s="12" t="n"/>
      <c r="E169" s="12" t="n"/>
      <c r="F169" s="12" t="n"/>
      <c r="G169" s="12" t="n"/>
      <c r="H169" s="14">
        <f>IFERROR(VLOOKUP($B169,$A$25:$N$54,7,FALSE),"")</f>
        <v/>
      </c>
      <c r="I169" s="15">
        <f>IF($H169="Minor",1,IF($H169="Moderate",2,IF($H169="Major",3,IF($H169="Critical",4,""))))</f>
        <v/>
      </c>
      <c r="J169" s="16" t="n"/>
      <c r="K169" s="16" t="n"/>
      <c r="L169" s="15">
        <f>IF(OR($G169="Exact TP",$G169="Equivalent TP"),1,0)</f>
        <v/>
      </c>
      <c r="M169" s="15">
        <f>IF(OR($G169="FP Extra",$G169="Harmful FP"),1,0)</f>
        <v/>
      </c>
      <c r="N169" s="15">
        <f>IF(OR($G169="FN",$G169="Partial"),1,0)</f>
        <v/>
      </c>
      <c r="O169" s="15">
        <f>IF($L169=1,$I169,0)</f>
        <v/>
      </c>
      <c r="P169" s="15">
        <f>IF($M169=1,$I169,0)</f>
        <v/>
      </c>
      <c r="Q169" s="15">
        <f>IF($N169=1,$I169,0)</f>
        <v/>
      </c>
      <c r="R169" s="20" t="n"/>
      <c r="S169" s="20" t="n"/>
      <c r="T169" s="20" t="n"/>
    </row>
    <row r="170" ht="18.75" customHeight="1">
      <c r="A170" s="12" t="n"/>
      <c r="B170" s="12" t="n"/>
      <c r="C170" s="12" t="n"/>
      <c r="D170" s="12" t="n"/>
      <c r="E170" s="12" t="n"/>
      <c r="F170" s="12" t="n"/>
      <c r="G170" s="12" t="n"/>
      <c r="H170" s="14">
        <f>IFERROR(VLOOKUP($B170,$A$25:$N$54,7,FALSE),"")</f>
        <v/>
      </c>
      <c r="I170" s="15">
        <f>IF($H170="Minor",1,IF($H170="Moderate",2,IF($H170="Major",3,IF($H170="Critical",4,""))))</f>
        <v/>
      </c>
      <c r="J170" s="16" t="n"/>
      <c r="K170" s="16" t="n"/>
      <c r="L170" s="15">
        <f>IF(OR($G170="Exact TP",$G170="Equivalent TP"),1,0)</f>
        <v/>
      </c>
      <c r="M170" s="15">
        <f>IF(OR($G170="FP Extra",$G170="Harmful FP"),1,0)</f>
        <v/>
      </c>
      <c r="N170" s="15">
        <f>IF(OR($G170="FN",$G170="Partial"),1,0)</f>
        <v/>
      </c>
      <c r="O170" s="15">
        <f>IF($L170=1,$I170,0)</f>
        <v/>
      </c>
      <c r="P170" s="15">
        <f>IF($M170=1,$I170,0)</f>
        <v/>
      </c>
      <c r="Q170" s="15">
        <f>IF($N170=1,$I170,0)</f>
        <v/>
      </c>
      <c r="R170" s="20" t="n"/>
      <c r="S170" s="20" t="n"/>
      <c r="T170" s="20" t="n"/>
    </row>
    <row r="171" ht="18.75" customHeight="1">
      <c r="A171" s="12" t="n"/>
      <c r="B171" s="12" t="n"/>
      <c r="C171" s="12" t="n"/>
      <c r="D171" s="12" t="n"/>
      <c r="E171" s="12" t="n"/>
      <c r="F171" s="12" t="n"/>
      <c r="G171" s="12" t="n"/>
      <c r="H171" s="14">
        <f>IFERROR(VLOOKUP($B171,$A$25:$N$54,7,FALSE),"")</f>
        <v/>
      </c>
      <c r="I171" s="15">
        <f>IF($H171="Minor",1,IF($H171="Moderate",2,IF($H171="Major",3,IF($H171="Critical",4,""))))</f>
        <v/>
      </c>
      <c r="J171" s="16" t="n"/>
      <c r="K171" s="16" t="n"/>
      <c r="L171" s="15">
        <f>IF(OR($G171="Exact TP",$G171="Equivalent TP"),1,0)</f>
        <v/>
      </c>
      <c r="M171" s="15">
        <f>IF(OR($G171="FP Extra",$G171="Harmful FP"),1,0)</f>
        <v/>
      </c>
      <c r="N171" s="15">
        <f>IF(OR($G171="FN",$G171="Partial"),1,0)</f>
        <v/>
      </c>
      <c r="O171" s="15">
        <f>IF($L171=1,$I171,0)</f>
        <v/>
      </c>
      <c r="P171" s="15">
        <f>IF($M171=1,$I171,0)</f>
        <v/>
      </c>
      <c r="Q171" s="15">
        <f>IF($N171=1,$I171,0)</f>
        <v/>
      </c>
      <c r="R171" s="20" t="n"/>
      <c r="S171" s="20" t="n"/>
      <c r="T171" s="20" t="n"/>
    </row>
    <row r="172" ht="18.75" customHeight="1">
      <c r="A172" s="12" t="n"/>
      <c r="B172" s="12" t="n"/>
      <c r="C172" s="12" t="n"/>
      <c r="D172" s="12" t="n"/>
      <c r="E172" s="12" t="n"/>
      <c r="F172" s="12" t="n"/>
      <c r="G172" s="12" t="n"/>
      <c r="H172" s="14">
        <f>IFERROR(VLOOKUP($B172,$A$25:$N$54,7,FALSE),"")</f>
        <v/>
      </c>
      <c r="I172" s="15">
        <f>IF($H172="Minor",1,IF($H172="Moderate",2,IF($H172="Major",3,IF($H172="Critical",4,""))))</f>
        <v/>
      </c>
      <c r="J172" s="16" t="n"/>
      <c r="K172" s="16" t="n"/>
      <c r="L172" s="15">
        <f>IF(OR($G172="Exact TP",$G172="Equivalent TP"),1,0)</f>
        <v/>
      </c>
      <c r="M172" s="15">
        <f>IF(OR($G172="FP Extra",$G172="Harmful FP"),1,0)</f>
        <v/>
      </c>
      <c r="N172" s="15">
        <f>IF(OR($G172="FN",$G172="Partial"),1,0)</f>
        <v/>
      </c>
      <c r="O172" s="15">
        <f>IF($L172=1,$I172,0)</f>
        <v/>
      </c>
      <c r="P172" s="15">
        <f>IF($M172=1,$I172,0)</f>
        <v/>
      </c>
      <c r="Q172" s="15">
        <f>IF($N172=1,$I172,0)</f>
        <v/>
      </c>
      <c r="R172" s="20" t="n"/>
      <c r="S172" s="20" t="n"/>
      <c r="T172" s="20" t="n"/>
    </row>
    <row r="173" ht="18.75" customHeight="1">
      <c r="A173" s="12" t="n"/>
      <c r="B173" s="12" t="n"/>
      <c r="C173" s="12" t="n"/>
      <c r="D173" s="12" t="n"/>
      <c r="E173" s="12" t="n"/>
      <c r="F173" s="12" t="n"/>
      <c r="G173" s="12" t="n"/>
      <c r="H173" s="14">
        <f>IFERROR(VLOOKUP($B173,$A$25:$N$54,7,FALSE),"")</f>
        <v/>
      </c>
      <c r="I173" s="15">
        <f>IF($H173="Minor",1,IF($H173="Moderate",2,IF($H173="Major",3,IF($H173="Critical",4,""))))</f>
        <v/>
      </c>
      <c r="J173" s="16" t="n"/>
      <c r="K173" s="16" t="n"/>
      <c r="L173" s="15">
        <f>IF(OR($G173="Exact TP",$G173="Equivalent TP"),1,0)</f>
        <v/>
      </c>
      <c r="M173" s="15">
        <f>IF(OR($G173="FP Extra",$G173="Harmful FP"),1,0)</f>
        <v/>
      </c>
      <c r="N173" s="15">
        <f>IF(OR($G173="FN",$G173="Partial"),1,0)</f>
        <v/>
      </c>
      <c r="O173" s="15">
        <f>IF($L173=1,$I173,0)</f>
        <v/>
      </c>
      <c r="P173" s="15">
        <f>IF($M173=1,$I173,0)</f>
        <v/>
      </c>
      <c r="Q173" s="15">
        <f>IF($N173=1,$I173,0)</f>
        <v/>
      </c>
      <c r="R173" s="20" t="n"/>
      <c r="S173" s="20" t="n"/>
      <c r="T173" s="20" t="n"/>
    </row>
    <row r="174" ht="18.75" customHeight="1">
      <c r="A174" s="12" t="n"/>
      <c r="B174" s="12" t="n"/>
      <c r="C174" s="12" t="n"/>
      <c r="D174" s="12" t="n"/>
      <c r="E174" s="12" t="n"/>
      <c r="F174" s="12" t="n"/>
      <c r="G174" s="12" t="n"/>
      <c r="H174" s="14">
        <f>IFERROR(VLOOKUP($B174,$A$25:$N$54,7,FALSE),"")</f>
        <v/>
      </c>
      <c r="I174" s="15">
        <f>IF($H174="Minor",1,IF($H174="Moderate",2,IF($H174="Major",3,IF($H174="Critical",4,""))))</f>
        <v/>
      </c>
      <c r="J174" s="16" t="n"/>
      <c r="K174" s="16" t="n"/>
      <c r="L174" s="15">
        <f>IF(OR($G174="Exact TP",$G174="Equivalent TP"),1,0)</f>
        <v/>
      </c>
      <c r="M174" s="15">
        <f>IF(OR($G174="FP Extra",$G174="Harmful FP"),1,0)</f>
        <v/>
      </c>
      <c r="N174" s="15">
        <f>IF(OR($G174="FN",$G174="Partial"),1,0)</f>
        <v/>
      </c>
      <c r="O174" s="15">
        <f>IF($L174=1,$I174,0)</f>
        <v/>
      </c>
      <c r="P174" s="15">
        <f>IF($M174=1,$I174,0)</f>
        <v/>
      </c>
      <c r="Q174" s="15">
        <f>IF($N174=1,$I174,0)</f>
        <v/>
      </c>
      <c r="R174" s="20" t="n"/>
      <c r="S174" s="20" t="n"/>
      <c r="T174" s="20" t="n"/>
    </row>
    <row r="175" ht="18.75" customHeight="1">
      <c r="A175" s="12" t="n"/>
      <c r="B175" s="12" t="n"/>
      <c r="C175" s="12" t="n"/>
      <c r="D175" s="12" t="n"/>
      <c r="E175" s="12" t="n"/>
      <c r="F175" s="12" t="n"/>
      <c r="G175" s="12" t="n"/>
      <c r="H175" s="14">
        <f>IFERROR(VLOOKUP($B175,$A$25:$N$54,7,FALSE),"")</f>
        <v/>
      </c>
      <c r="I175" s="15">
        <f>IF($H175="Minor",1,IF($H175="Moderate",2,IF($H175="Major",3,IF($H175="Critical",4,""))))</f>
        <v/>
      </c>
      <c r="J175" s="16" t="n"/>
      <c r="K175" s="16" t="n"/>
      <c r="L175" s="15">
        <f>IF(OR($G175="Exact TP",$G175="Equivalent TP"),1,0)</f>
        <v/>
      </c>
      <c r="M175" s="15">
        <f>IF(OR($G175="FP Extra",$G175="Harmful FP"),1,0)</f>
        <v/>
      </c>
      <c r="N175" s="15">
        <f>IF(OR($G175="FN",$G175="Partial"),1,0)</f>
        <v/>
      </c>
      <c r="O175" s="15">
        <f>IF($L175=1,$I175,0)</f>
        <v/>
      </c>
      <c r="P175" s="15">
        <f>IF($M175=1,$I175,0)</f>
        <v/>
      </c>
      <c r="Q175" s="15">
        <f>IF($N175=1,$I175,0)</f>
        <v/>
      </c>
      <c r="R175" s="20" t="n"/>
      <c r="S175" s="20" t="n"/>
      <c r="T175" s="20" t="n"/>
    </row>
    <row r="176" ht="18.75" customHeight="1">
      <c r="A176" s="12" t="n"/>
      <c r="B176" s="12" t="n"/>
      <c r="C176" s="12" t="n"/>
      <c r="D176" s="12" t="n"/>
      <c r="E176" s="12" t="n"/>
      <c r="F176" s="12" t="n"/>
      <c r="G176" s="12" t="n"/>
      <c r="H176" s="14">
        <f>IFERROR(VLOOKUP($B176,$A$25:$N$54,7,FALSE),"")</f>
        <v/>
      </c>
      <c r="I176" s="15">
        <f>IF($H176="Minor",1,IF($H176="Moderate",2,IF($H176="Major",3,IF($H176="Critical",4,""))))</f>
        <v/>
      </c>
      <c r="J176" s="16" t="n"/>
      <c r="K176" s="16" t="n"/>
      <c r="L176" s="15">
        <f>IF(OR($G176="Exact TP",$G176="Equivalent TP"),1,0)</f>
        <v/>
      </c>
      <c r="M176" s="15">
        <f>IF(OR($G176="FP Extra",$G176="Harmful FP"),1,0)</f>
        <v/>
      </c>
      <c r="N176" s="15">
        <f>IF(OR($G176="FN",$G176="Partial"),1,0)</f>
        <v/>
      </c>
      <c r="O176" s="15">
        <f>IF($L176=1,$I176,0)</f>
        <v/>
      </c>
      <c r="P176" s="15">
        <f>IF($M176=1,$I176,0)</f>
        <v/>
      </c>
      <c r="Q176" s="15">
        <f>IF($N176=1,$I176,0)</f>
        <v/>
      </c>
      <c r="R176" s="20" t="n"/>
      <c r="S176" s="20" t="n"/>
      <c r="T176" s="20" t="n"/>
    </row>
    <row r="177" ht="18.75" customHeight="1">
      <c r="A177" s="12" t="n"/>
      <c r="B177" s="12" t="n"/>
      <c r="C177" s="12" t="n"/>
      <c r="D177" s="12" t="n"/>
      <c r="E177" s="12" t="n"/>
      <c r="F177" s="12" t="n"/>
      <c r="G177" s="12" t="n"/>
      <c r="H177" s="14">
        <f>IFERROR(VLOOKUP($B177,$A$25:$N$54,7,FALSE),"")</f>
        <v/>
      </c>
      <c r="I177" s="15">
        <f>IF($H177="Minor",1,IF($H177="Moderate",2,IF($H177="Major",3,IF($H177="Critical",4,""))))</f>
        <v/>
      </c>
      <c r="J177" s="16" t="n"/>
      <c r="K177" s="16" t="n"/>
      <c r="L177" s="15">
        <f>IF(OR($G177="Exact TP",$G177="Equivalent TP"),1,0)</f>
        <v/>
      </c>
      <c r="M177" s="15">
        <f>IF(OR($G177="FP Extra",$G177="Harmful FP"),1,0)</f>
        <v/>
      </c>
      <c r="N177" s="15">
        <f>IF(OR($G177="FN",$G177="Partial"),1,0)</f>
        <v/>
      </c>
      <c r="O177" s="15">
        <f>IF($L177=1,$I177,0)</f>
        <v/>
      </c>
      <c r="P177" s="15">
        <f>IF($M177=1,$I177,0)</f>
        <v/>
      </c>
      <c r="Q177" s="15">
        <f>IF($N177=1,$I177,0)</f>
        <v/>
      </c>
      <c r="R177" s="20" t="n"/>
      <c r="S177" s="20" t="n"/>
      <c r="T177" s="20" t="n"/>
    </row>
    <row r="178" ht="18.75" customHeight="1">
      <c r="A178" s="12" t="n"/>
      <c r="B178" s="12" t="n"/>
      <c r="C178" s="12" t="n"/>
      <c r="D178" s="12" t="n"/>
      <c r="E178" s="12" t="n"/>
      <c r="F178" s="12" t="n"/>
      <c r="G178" s="12" t="n"/>
      <c r="H178" s="14">
        <f>IFERROR(VLOOKUP($B178,$A$25:$N$54,7,FALSE),"")</f>
        <v/>
      </c>
      <c r="I178" s="15">
        <f>IF($H178="Minor",1,IF($H178="Moderate",2,IF($H178="Major",3,IF($H178="Critical",4,""))))</f>
        <v/>
      </c>
      <c r="J178" s="16" t="n"/>
      <c r="K178" s="16" t="n"/>
      <c r="L178" s="15">
        <f>IF(OR($G178="Exact TP",$G178="Equivalent TP"),1,0)</f>
        <v/>
      </c>
      <c r="M178" s="15">
        <f>IF(OR($G178="FP Extra",$G178="Harmful FP"),1,0)</f>
        <v/>
      </c>
      <c r="N178" s="15">
        <f>IF(OR($G178="FN",$G178="Partial"),1,0)</f>
        <v/>
      </c>
      <c r="O178" s="15">
        <f>IF($L178=1,$I178,0)</f>
        <v/>
      </c>
      <c r="P178" s="15">
        <f>IF($M178=1,$I178,0)</f>
        <v/>
      </c>
      <c r="Q178" s="15">
        <f>IF($N178=1,$I178,0)</f>
        <v/>
      </c>
      <c r="R178" s="20" t="n"/>
      <c r="S178" s="20" t="n"/>
      <c r="T178" s="20" t="n"/>
    </row>
    <row r="179" ht="18.75" customHeight="1">
      <c r="A179" s="12" t="n"/>
      <c r="B179" s="12" t="n"/>
      <c r="C179" s="12" t="n"/>
      <c r="D179" s="12" t="n"/>
      <c r="E179" s="12" t="n"/>
      <c r="F179" s="12" t="n"/>
      <c r="G179" s="12" t="n"/>
      <c r="H179" s="14">
        <f>IFERROR(VLOOKUP($B179,$A$25:$N$54,7,FALSE),"")</f>
        <v/>
      </c>
      <c r="I179" s="15">
        <f>IF($H179="Minor",1,IF($H179="Moderate",2,IF($H179="Major",3,IF($H179="Critical",4,""))))</f>
        <v/>
      </c>
      <c r="J179" s="16" t="n"/>
      <c r="K179" s="16" t="n"/>
      <c r="L179" s="15">
        <f>IF(OR($G179="Exact TP",$G179="Equivalent TP"),1,0)</f>
        <v/>
      </c>
      <c r="M179" s="15">
        <f>IF(OR($G179="FP Extra",$G179="Harmful FP"),1,0)</f>
        <v/>
      </c>
      <c r="N179" s="15">
        <f>IF(OR($G179="FN",$G179="Partial"),1,0)</f>
        <v/>
      </c>
      <c r="O179" s="15">
        <f>IF($L179=1,$I179,0)</f>
        <v/>
      </c>
      <c r="P179" s="15">
        <f>IF($M179=1,$I179,0)</f>
        <v/>
      </c>
      <c r="Q179" s="15">
        <f>IF($N179=1,$I179,0)</f>
        <v/>
      </c>
      <c r="R179" s="20" t="n"/>
      <c r="S179" s="20" t="n"/>
      <c r="T179" s="20" t="n"/>
    </row>
    <row r="180" ht="18.75" customHeight="1">
      <c r="A180" s="12" t="n"/>
      <c r="B180" s="12" t="n"/>
      <c r="C180" s="12" t="n"/>
      <c r="D180" s="12" t="n"/>
      <c r="E180" s="12" t="n"/>
      <c r="F180" s="12" t="n"/>
      <c r="G180" s="12" t="n"/>
      <c r="H180" s="14">
        <f>IFERROR(VLOOKUP($B180,$A$25:$N$54,7,FALSE),"")</f>
        <v/>
      </c>
      <c r="I180" s="15">
        <f>IF($H180="Minor",1,IF($H180="Moderate",2,IF($H180="Major",3,IF($H180="Critical",4,""))))</f>
        <v/>
      </c>
      <c r="J180" s="16" t="n"/>
      <c r="K180" s="16" t="n"/>
      <c r="L180" s="15">
        <f>IF(OR($G180="Exact TP",$G180="Equivalent TP"),1,0)</f>
        <v/>
      </c>
      <c r="M180" s="15">
        <f>IF(OR($G180="FP Extra",$G180="Harmful FP"),1,0)</f>
        <v/>
      </c>
      <c r="N180" s="15">
        <f>IF(OR($G180="FN",$G180="Partial"),1,0)</f>
        <v/>
      </c>
      <c r="O180" s="15">
        <f>IF($L180=1,$I180,0)</f>
        <v/>
      </c>
      <c r="P180" s="15">
        <f>IF($M180=1,$I180,0)</f>
        <v/>
      </c>
      <c r="Q180" s="15">
        <f>IF($N180=1,$I180,0)</f>
        <v/>
      </c>
      <c r="R180" s="20" t="n"/>
      <c r="S180" s="20" t="n"/>
      <c r="T180" s="20" t="n"/>
    </row>
    <row r="181" ht="18.75" customHeight="1">
      <c r="A181" s="12" t="n"/>
      <c r="B181" s="12" t="n"/>
      <c r="C181" s="12" t="n"/>
      <c r="D181" s="12" t="n"/>
      <c r="E181" s="12" t="n"/>
      <c r="F181" s="12" t="n"/>
      <c r="G181" s="12" t="n"/>
      <c r="H181" s="14">
        <f>IFERROR(VLOOKUP($B181,$A$25:$N$54,7,FALSE),"")</f>
        <v/>
      </c>
      <c r="I181" s="15">
        <f>IF($H181="Minor",1,IF($H181="Moderate",2,IF($H181="Major",3,IF($H181="Critical",4,""))))</f>
        <v/>
      </c>
      <c r="J181" s="16" t="n"/>
      <c r="K181" s="16" t="n"/>
      <c r="L181" s="15">
        <f>IF(OR($G181="Exact TP",$G181="Equivalent TP"),1,0)</f>
        <v/>
      </c>
      <c r="M181" s="15">
        <f>IF(OR($G181="FP Extra",$G181="Harmful FP"),1,0)</f>
        <v/>
      </c>
      <c r="N181" s="15">
        <f>IF(OR($G181="FN",$G181="Partial"),1,0)</f>
        <v/>
      </c>
      <c r="O181" s="15">
        <f>IF($L181=1,$I181,0)</f>
        <v/>
      </c>
      <c r="P181" s="15">
        <f>IF($M181=1,$I181,0)</f>
        <v/>
      </c>
      <c r="Q181" s="15">
        <f>IF($N181=1,$I181,0)</f>
        <v/>
      </c>
      <c r="R181" s="20" t="n"/>
      <c r="S181" s="20" t="n"/>
      <c r="T181" s="20" t="n"/>
    </row>
    <row r="182" ht="18.75" customHeight="1">
      <c r="A182" s="12" t="n"/>
      <c r="B182" s="12" t="n"/>
      <c r="C182" s="12" t="n"/>
      <c r="D182" s="12" t="n"/>
      <c r="E182" s="12" t="n"/>
      <c r="F182" s="12" t="n"/>
      <c r="G182" s="12" t="n"/>
      <c r="H182" s="14">
        <f>IFERROR(VLOOKUP($B182,$A$25:$N$54,7,FALSE),"")</f>
        <v/>
      </c>
      <c r="I182" s="15">
        <f>IF($H182="Minor",1,IF($H182="Moderate",2,IF($H182="Major",3,IF($H182="Critical",4,""))))</f>
        <v/>
      </c>
      <c r="J182" s="16" t="n"/>
      <c r="K182" s="16" t="n"/>
      <c r="L182" s="15">
        <f>IF(OR($G182="Exact TP",$G182="Equivalent TP"),1,0)</f>
        <v/>
      </c>
      <c r="M182" s="15">
        <f>IF(OR($G182="FP Extra",$G182="Harmful FP"),1,0)</f>
        <v/>
      </c>
      <c r="N182" s="15">
        <f>IF(OR($G182="FN",$G182="Partial"),1,0)</f>
        <v/>
      </c>
      <c r="O182" s="15">
        <f>IF($L182=1,$I182,0)</f>
        <v/>
      </c>
      <c r="P182" s="15">
        <f>IF($M182=1,$I182,0)</f>
        <v/>
      </c>
      <c r="Q182" s="15">
        <f>IF($N182=1,$I182,0)</f>
        <v/>
      </c>
      <c r="R182" s="20" t="n"/>
      <c r="S182" s="20" t="n"/>
      <c r="T182" s="20" t="n"/>
    </row>
    <row r="183" ht="18.75" customHeight="1">
      <c r="A183" s="12" t="n"/>
      <c r="B183" s="12" t="n"/>
      <c r="C183" s="12" t="n"/>
      <c r="D183" s="12" t="n"/>
      <c r="E183" s="12" t="n"/>
      <c r="F183" s="12" t="n"/>
      <c r="G183" s="12" t="n"/>
      <c r="H183" s="14">
        <f>IFERROR(VLOOKUP($B183,$A$25:$N$54,7,FALSE),"")</f>
        <v/>
      </c>
      <c r="I183" s="15">
        <f>IF($H183="Minor",1,IF($H183="Moderate",2,IF($H183="Major",3,IF($H183="Critical",4,""))))</f>
        <v/>
      </c>
      <c r="J183" s="16" t="n"/>
      <c r="K183" s="16" t="n"/>
      <c r="L183" s="15">
        <f>IF(OR($G183="Exact TP",$G183="Equivalent TP"),1,0)</f>
        <v/>
      </c>
      <c r="M183" s="15">
        <f>IF(OR($G183="FP Extra",$G183="Harmful FP"),1,0)</f>
        <v/>
      </c>
      <c r="N183" s="15">
        <f>IF(OR($G183="FN",$G183="Partial"),1,0)</f>
        <v/>
      </c>
      <c r="O183" s="15">
        <f>IF($L183=1,$I183,0)</f>
        <v/>
      </c>
      <c r="P183" s="15">
        <f>IF($M183=1,$I183,0)</f>
        <v/>
      </c>
      <c r="Q183" s="15">
        <f>IF($N183=1,$I183,0)</f>
        <v/>
      </c>
      <c r="R183" s="20" t="n"/>
      <c r="S183" s="20" t="n"/>
      <c r="T183" s="20" t="n"/>
    </row>
    <row r="184" ht="18.75" customHeight="1">
      <c r="A184" s="12" t="n"/>
      <c r="B184" s="12" t="n"/>
      <c r="C184" s="12" t="n"/>
      <c r="D184" s="12" t="n"/>
      <c r="E184" s="12" t="n"/>
      <c r="F184" s="12" t="n"/>
      <c r="G184" s="12" t="n"/>
      <c r="H184" s="14">
        <f>IFERROR(VLOOKUP($B184,$A$25:$N$54,7,FALSE),"")</f>
        <v/>
      </c>
      <c r="I184" s="15">
        <f>IF($H184="Minor",1,IF($H184="Moderate",2,IF($H184="Major",3,IF($H184="Critical",4,""))))</f>
        <v/>
      </c>
      <c r="J184" s="16" t="n"/>
      <c r="K184" s="16" t="n"/>
      <c r="L184" s="15">
        <f>IF(OR($G184="Exact TP",$G184="Equivalent TP"),1,0)</f>
        <v/>
      </c>
      <c r="M184" s="15">
        <f>IF(OR($G184="FP Extra",$G184="Harmful FP"),1,0)</f>
        <v/>
      </c>
      <c r="N184" s="15">
        <f>IF(OR($G184="FN",$G184="Partial"),1,0)</f>
        <v/>
      </c>
      <c r="O184" s="15">
        <f>IF($L184=1,$I184,0)</f>
        <v/>
      </c>
      <c r="P184" s="15">
        <f>IF($M184=1,$I184,0)</f>
        <v/>
      </c>
      <c r="Q184" s="15">
        <f>IF($N184=1,$I184,0)</f>
        <v/>
      </c>
      <c r="R184" s="20" t="n"/>
      <c r="S184" s="20" t="n"/>
      <c r="T184" s="20" t="n"/>
    </row>
    <row r="185" ht="18.75" customHeight="1">
      <c r="A185" s="12" t="n"/>
      <c r="B185" s="12" t="n"/>
      <c r="C185" s="12" t="n"/>
      <c r="D185" s="12" t="n"/>
      <c r="E185" s="12" t="n"/>
      <c r="F185" s="12" t="n"/>
      <c r="G185" s="12" t="n"/>
      <c r="H185" s="14">
        <f>IFERROR(VLOOKUP($B185,$A$25:$N$54,7,FALSE),"")</f>
        <v/>
      </c>
      <c r="I185" s="15">
        <f>IF($H185="Minor",1,IF($H185="Moderate",2,IF($H185="Major",3,IF($H185="Critical",4,""))))</f>
        <v/>
      </c>
      <c r="J185" s="16" t="n"/>
      <c r="K185" s="16" t="n"/>
      <c r="L185" s="15">
        <f>IF(OR($G185="Exact TP",$G185="Equivalent TP"),1,0)</f>
        <v/>
      </c>
      <c r="M185" s="15">
        <f>IF(OR($G185="FP Extra",$G185="Harmful FP"),1,0)</f>
        <v/>
      </c>
      <c r="N185" s="15">
        <f>IF(OR($G185="FN",$G185="Partial"),1,0)</f>
        <v/>
      </c>
      <c r="O185" s="15">
        <f>IF($L185=1,$I185,0)</f>
        <v/>
      </c>
      <c r="P185" s="15">
        <f>IF($M185=1,$I185,0)</f>
        <v/>
      </c>
      <c r="Q185" s="15">
        <f>IF($N185=1,$I185,0)</f>
        <v/>
      </c>
      <c r="R185" s="20" t="n"/>
      <c r="S185" s="20" t="n"/>
      <c r="T185" s="20" t="n"/>
    </row>
    <row r="186" ht="18.75" customHeight="1">
      <c r="A186" s="12" t="n"/>
      <c r="B186" s="12" t="n"/>
      <c r="C186" s="12" t="n"/>
      <c r="D186" s="12" t="n"/>
      <c r="E186" s="12" t="n"/>
      <c r="F186" s="12" t="n"/>
      <c r="G186" s="12" t="n"/>
      <c r="H186" s="14">
        <f>IFERROR(VLOOKUP($B186,$A$25:$N$54,7,FALSE),"")</f>
        <v/>
      </c>
      <c r="I186" s="15">
        <f>IF($H186="Minor",1,IF($H186="Moderate",2,IF($H186="Major",3,IF($H186="Critical",4,""))))</f>
        <v/>
      </c>
      <c r="J186" s="16" t="n"/>
      <c r="K186" s="16" t="n"/>
      <c r="L186" s="15">
        <f>IF(OR($G186="Exact TP",$G186="Equivalent TP"),1,0)</f>
        <v/>
      </c>
      <c r="M186" s="15">
        <f>IF(OR($G186="FP Extra",$G186="Harmful FP"),1,0)</f>
        <v/>
      </c>
      <c r="N186" s="15">
        <f>IF(OR($G186="FN",$G186="Partial"),1,0)</f>
        <v/>
      </c>
      <c r="O186" s="15">
        <f>IF($L186=1,$I186,0)</f>
        <v/>
      </c>
      <c r="P186" s="15">
        <f>IF($M186=1,$I186,0)</f>
        <v/>
      </c>
      <c r="Q186" s="15">
        <f>IF($N186=1,$I186,0)</f>
        <v/>
      </c>
      <c r="R186" s="20" t="n"/>
      <c r="S186" s="20" t="n"/>
      <c r="T186" s="20" t="n"/>
    </row>
    <row r="187" ht="18.75" customHeight="1">
      <c r="A187" s="12" t="n"/>
      <c r="B187" s="12" t="n"/>
      <c r="C187" s="12" t="n"/>
      <c r="D187" s="12" t="n"/>
      <c r="E187" s="12" t="n"/>
      <c r="F187" s="12" t="n"/>
      <c r="G187" s="12" t="n"/>
      <c r="H187" s="14">
        <f>IFERROR(VLOOKUP($B187,$A$25:$N$54,7,FALSE),"")</f>
        <v/>
      </c>
      <c r="I187" s="15">
        <f>IF($H187="Minor",1,IF($H187="Moderate",2,IF($H187="Major",3,IF($H187="Critical",4,""))))</f>
        <v/>
      </c>
      <c r="J187" s="16" t="n"/>
      <c r="K187" s="16" t="n"/>
      <c r="L187" s="15">
        <f>IF(OR($G187="Exact TP",$G187="Equivalent TP"),1,0)</f>
        <v/>
      </c>
      <c r="M187" s="15">
        <f>IF(OR($G187="FP Extra",$G187="Harmful FP"),1,0)</f>
        <v/>
      </c>
      <c r="N187" s="15">
        <f>IF(OR($G187="FN",$G187="Partial"),1,0)</f>
        <v/>
      </c>
      <c r="O187" s="15">
        <f>IF($L187=1,$I187,0)</f>
        <v/>
      </c>
      <c r="P187" s="15">
        <f>IF($M187=1,$I187,0)</f>
        <v/>
      </c>
      <c r="Q187" s="15">
        <f>IF($N187=1,$I187,0)</f>
        <v/>
      </c>
      <c r="R187" s="20" t="n"/>
      <c r="S187" s="20" t="n"/>
      <c r="T187" s="20" t="n"/>
    </row>
    <row r="188" ht="18.75" customHeight="1">
      <c r="A188" s="12" t="n"/>
      <c r="B188" s="12" t="n"/>
      <c r="C188" s="12" t="n"/>
      <c r="D188" s="12" t="n"/>
      <c r="E188" s="12" t="n"/>
      <c r="F188" s="12" t="n"/>
      <c r="G188" s="12" t="n"/>
      <c r="H188" s="14">
        <f>IFERROR(VLOOKUP($B188,$A$25:$N$54,7,FALSE),"")</f>
        <v/>
      </c>
      <c r="I188" s="15">
        <f>IF($H188="Minor",1,IF($H188="Moderate",2,IF($H188="Major",3,IF($H188="Critical",4,""))))</f>
        <v/>
      </c>
      <c r="J188" s="16" t="n"/>
      <c r="K188" s="16" t="n"/>
      <c r="L188" s="15">
        <f>IF(OR($G188="Exact TP",$G188="Equivalent TP"),1,0)</f>
        <v/>
      </c>
      <c r="M188" s="15">
        <f>IF(OR($G188="FP Extra",$G188="Harmful FP"),1,0)</f>
        <v/>
      </c>
      <c r="N188" s="15">
        <f>IF(OR($G188="FN",$G188="Partial"),1,0)</f>
        <v/>
      </c>
      <c r="O188" s="15">
        <f>IF($L188=1,$I188,0)</f>
        <v/>
      </c>
      <c r="P188" s="15">
        <f>IF($M188=1,$I188,0)</f>
        <v/>
      </c>
      <c r="Q188" s="15">
        <f>IF($N188=1,$I188,0)</f>
        <v/>
      </c>
      <c r="R188" s="20" t="n"/>
      <c r="S188" s="20" t="n"/>
      <c r="T188" s="20" t="n"/>
    </row>
    <row r="189" ht="18.75" customHeight="1">
      <c r="A189" s="12" t="n"/>
      <c r="B189" s="12" t="n"/>
      <c r="C189" s="12" t="n"/>
      <c r="D189" s="12" t="n"/>
      <c r="E189" s="12" t="n"/>
      <c r="F189" s="12" t="n"/>
      <c r="G189" s="12" t="n"/>
      <c r="H189" s="14">
        <f>IFERROR(VLOOKUP($B189,$A$25:$N$54,7,FALSE),"")</f>
        <v/>
      </c>
      <c r="I189" s="15">
        <f>IF($H189="Minor",1,IF($H189="Moderate",2,IF($H189="Major",3,IF($H189="Critical",4,""))))</f>
        <v/>
      </c>
      <c r="J189" s="16" t="n"/>
      <c r="K189" s="16" t="n"/>
      <c r="L189" s="15">
        <f>IF(OR($G189="Exact TP",$G189="Equivalent TP"),1,0)</f>
        <v/>
      </c>
      <c r="M189" s="15">
        <f>IF(OR($G189="FP Extra",$G189="Harmful FP"),1,0)</f>
        <v/>
      </c>
      <c r="N189" s="15">
        <f>IF(OR($G189="FN",$G189="Partial"),1,0)</f>
        <v/>
      </c>
      <c r="O189" s="15">
        <f>IF($L189=1,$I189,0)</f>
        <v/>
      </c>
      <c r="P189" s="15">
        <f>IF($M189=1,$I189,0)</f>
        <v/>
      </c>
      <c r="Q189" s="15">
        <f>IF($N189=1,$I189,0)</f>
        <v/>
      </c>
      <c r="R189" s="20" t="n"/>
      <c r="S189" s="20" t="n"/>
      <c r="T189" s="20" t="n"/>
    </row>
    <row r="190" ht="18.75" customHeight="1">
      <c r="A190" s="12" t="n"/>
      <c r="B190" s="12" t="n"/>
      <c r="C190" s="12" t="n"/>
      <c r="D190" s="12" t="n"/>
      <c r="E190" s="12" t="n"/>
      <c r="F190" s="12" t="n"/>
      <c r="G190" s="12" t="n"/>
      <c r="H190" s="14">
        <f>IFERROR(VLOOKUP($B190,$A$25:$N$54,7,FALSE),"")</f>
        <v/>
      </c>
      <c r="I190" s="15">
        <f>IF($H190="Minor",1,IF($H190="Moderate",2,IF($H190="Major",3,IF($H190="Critical",4,""))))</f>
        <v/>
      </c>
      <c r="J190" s="16" t="n"/>
      <c r="K190" s="16" t="n"/>
      <c r="L190" s="15">
        <f>IF(OR($G190="Exact TP",$G190="Equivalent TP"),1,0)</f>
        <v/>
      </c>
      <c r="M190" s="15">
        <f>IF(OR($G190="FP Extra",$G190="Harmful FP"),1,0)</f>
        <v/>
      </c>
      <c r="N190" s="15">
        <f>IF(OR($G190="FN",$G190="Partial"),1,0)</f>
        <v/>
      </c>
      <c r="O190" s="15">
        <f>IF($L190=1,$I190,0)</f>
        <v/>
      </c>
      <c r="P190" s="15">
        <f>IF($M190=1,$I190,0)</f>
        <v/>
      </c>
      <c r="Q190" s="15">
        <f>IF($N190=1,$I190,0)</f>
        <v/>
      </c>
      <c r="R190" s="20" t="n"/>
      <c r="S190" s="20" t="n"/>
      <c r="T190" s="20" t="n"/>
    </row>
    <row r="191" ht="18.75" customHeight="1">
      <c r="A191" s="12" t="n"/>
      <c r="B191" s="12" t="n"/>
      <c r="C191" s="12" t="n"/>
      <c r="D191" s="12" t="n"/>
      <c r="E191" s="12" t="n"/>
      <c r="F191" s="12" t="n"/>
      <c r="G191" s="12" t="n"/>
      <c r="H191" s="14">
        <f>IFERROR(VLOOKUP($B191,$A$25:$N$54,7,FALSE),"")</f>
        <v/>
      </c>
      <c r="I191" s="15">
        <f>IF($H191="Minor",1,IF($H191="Moderate",2,IF($H191="Major",3,IF($H191="Critical",4,""))))</f>
        <v/>
      </c>
      <c r="J191" s="16" t="n"/>
      <c r="K191" s="16" t="n"/>
      <c r="L191" s="15">
        <f>IF(OR($G191="Exact TP",$G191="Equivalent TP"),1,0)</f>
        <v/>
      </c>
      <c r="M191" s="15">
        <f>IF(OR($G191="FP Extra",$G191="Harmful FP"),1,0)</f>
        <v/>
      </c>
      <c r="N191" s="15">
        <f>IF(OR($G191="FN",$G191="Partial"),1,0)</f>
        <v/>
      </c>
      <c r="O191" s="15">
        <f>IF($L191=1,$I191,0)</f>
        <v/>
      </c>
      <c r="P191" s="15">
        <f>IF($M191=1,$I191,0)</f>
        <v/>
      </c>
      <c r="Q191" s="15">
        <f>IF($N191=1,$I191,0)</f>
        <v/>
      </c>
      <c r="R191" s="20" t="n"/>
      <c r="S191" s="20" t="n"/>
      <c r="T191" s="20" t="n"/>
    </row>
    <row r="192" ht="18.75" customHeight="1">
      <c r="A192" s="12" t="n"/>
      <c r="B192" s="12" t="n"/>
      <c r="C192" s="12" t="n"/>
      <c r="D192" s="12" t="n"/>
      <c r="E192" s="12" t="n"/>
      <c r="F192" s="12" t="n"/>
      <c r="G192" s="12" t="n"/>
      <c r="H192" s="14">
        <f>IFERROR(VLOOKUP($B192,$A$25:$N$54,7,FALSE),"")</f>
        <v/>
      </c>
      <c r="I192" s="15">
        <f>IF($H192="Minor",1,IF($H192="Moderate",2,IF($H192="Major",3,IF($H192="Critical",4,""))))</f>
        <v/>
      </c>
      <c r="J192" s="16" t="n"/>
      <c r="K192" s="16" t="n"/>
      <c r="L192" s="15">
        <f>IF(OR($G192="Exact TP",$G192="Equivalent TP"),1,0)</f>
        <v/>
      </c>
      <c r="M192" s="15">
        <f>IF(OR($G192="FP Extra",$G192="Harmful FP"),1,0)</f>
        <v/>
      </c>
      <c r="N192" s="15">
        <f>IF(OR($G192="FN",$G192="Partial"),1,0)</f>
        <v/>
      </c>
      <c r="O192" s="15">
        <f>IF($L192=1,$I192,0)</f>
        <v/>
      </c>
      <c r="P192" s="15">
        <f>IF($M192=1,$I192,0)</f>
        <v/>
      </c>
      <c r="Q192" s="15">
        <f>IF($N192=1,$I192,0)</f>
        <v/>
      </c>
      <c r="R192" s="20" t="n"/>
      <c r="S192" s="20" t="n"/>
      <c r="T192" s="20" t="n"/>
    </row>
    <row r="193" ht="18.75" customHeight="1">
      <c r="A193" s="12" t="n"/>
      <c r="B193" s="12" t="n"/>
      <c r="C193" s="12" t="n"/>
      <c r="D193" s="12" t="n"/>
      <c r="E193" s="12" t="n"/>
      <c r="F193" s="12" t="n"/>
      <c r="G193" s="12" t="n"/>
      <c r="H193" s="14">
        <f>IFERROR(VLOOKUP($B193,$A$25:$N$54,7,FALSE),"")</f>
        <v/>
      </c>
      <c r="I193" s="15">
        <f>IF($H193="Minor",1,IF($H193="Moderate",2,IF($H193="Major",3,IF($H193="Critical",4,""))))</f>
        <v/>
      </c>
      <c r="J193" s="16" t="n"/>
      <c r="K193" s="16" t="n"/>
      <c r="L193" s="15">
        <f>IF(OR($G193="Exact TP",$G193="Equivalent TP"),1,0)</f>
        <v/>
      </c>
      <c r="M193" s="15">
        <f>IF(OR($G193="FP Extra",$G193="Harmful FP"),1,0)</f>
        <v/>
      </c>
      <c r="N193" s="15">
        <f>IF(OR($G193="FN",$G193="Partial"),1,0)</f>
        <v/>
      </c>
      <c r="O193" s="15">
        <f>IF($L193=1,$I193,0)</f>
        <v/>
      </c>
      <c r="P193" s="15">
        <f>IF($M193=1,$I193,0)</f>
        <v/>
      </c>
      <c r="Q193" s="15">
        <f>IF($N193=1,$I193,0)</f>
        <v/>
      </c>
      <c r="R193" s="20" t="n"/>
      <c r="S193" s="20" t="n"/>
      <c r="T193" s="20" t="n"/>
    </row>
    <row r="194" ht="18.75" customHeight="1">
      <c r="A194" s="12" t="n"/>
      <c r="B194" s="12" t="n"/>
      <c r="C194" s="12" t="n"/>
      <c r="D194" s="12" t="n"/>
      <c r="E194" s="12" t="n"/>
      <c r="F194" s="12" t="n"/>
      <c r="G194" s="12" t="n"/>
      <c r="H194" s="14">
        <f>IFERROR(VLOOKUP($B194,$A$25:$N$54,7,FALSE),"")</f>
        <v/>
      </c>
      <c r="I194" s="15">
        <f>IF($H194="Minor",1,IF($H194="Moderate",2,IF($H194="Major",3,IF($H194="Critical",4,""))))</f>
        <v/>
      </c>
      <c r="J194" s="16" t="n"/>
      <c r="K194" s="16" t="n"/>
      <c r="L194" s="15">
        <f>IF(OR($G194="Exact TP",$G194="Equivalent TP"),1,0)</f>
        <v/>
      </c>
      <c r="M194" s="15">
        <f>IF(OR($G194="FP Extra",$G194="Harmful FP"),1,0)</f>
        <v/>
      </c>
      <c r="N194" s="15">
        <f>IF(OR($G194="FN",$G194="Partial"),1,0)</f>
        <v/>
      </c>
      <c r="O194" s="15">
        <f>IF($L194=1,$I194,0)</f>
        <v/>
      </c>
      <c r="P194" s="15">
        <f>IF($M194=1,$I194,0)</f>
        <v/>
      </c>
      <c r="Q194" s="15">
        <f>IF($N194=1,$I194,0)</f>
        <v/>
      </c>
      <c r="R194" s="20" t="n"/>
      <c r="S194" s="20" t="n"/>
      <c r="T194" s="20" t="n"/>
    </row>
    <row r="195" ht="18.75" customHeight="1">
      <c r="A195" s="12" t="n"/>
      <c r="B195" s="12" t="n"/>
      <c r="C195" s="12" t="n"/>
      <c r="D195" s="12" t="n"/>
      <c r="E195" s="12" t="n"/>
      <c r="F195" s="12" t="n"/>
      <c r="G195" s="12" t="n"/>
      <c r="H195" s="14">
        <f>IFERROR(VLOOKUP($B195,$A$25:$N$54,7,FALSE),"")</f>
        <v/>
      </c>
      <c r="I195" s="15">
        <f>IF($H195="Minor",1,IF($H195="Moderate",2,IF($H195="Major",3,IF($H195="Critical",4,""))))</f>
        <v/>
      </c>
      <c r="J195" s="16" t="n"/>
      <c r="K195" s="16" t="n"/>
      <c r="L195" s="15">
        <f>IF(OR($G195="Exact TP",$G195="Equivalent TP"),1,0)</f>
        <v/>
      </c>
      <c r="M195" s="15">
        <f>IF(OR($G195="FP Extra",$G195="Harmful FP"),1,0)</f>
        <v/>
      </c>
      <c r="N195" s="15">
        <f>IF(OR($G195="FN",$G195="Partial"),1,0)</f>
        <v/>
      </c>
      <c r="O195" s="15">
        <f>IF($L195=1,$I195,0)</f>
        <v/>
      </c>
      <c r="P195" s="15">
        <f>IF($M195=1,$I195,0)</f>
        <v/>
      </c>
      <c r="Q195" s="15">
        <f>IF($N195=1,$I195,0)</f>
        <v/>
      </c>
      <c r="R195" s="20" t="n"/>
      <c r="S195" s="20" t="n"/>
      <c r="T195" s="20" t="n"/>
    </row>
    <row r="196" ht="18.75" customHeight="1">
      <c r="A196" s="12" t="n"/>
      <c r="B196" s="12" t="n"/>
      <c r="C196" s="12" t="n"/>
      <c r="D196" s="12" t="n"/>
      <c r="E196" s="12" t="n"/>
      <c r="F196" s="12" t="n"/>
      <c r="G196" s="12" t="n"/>
      <c r="H196" s="14">
        <f>IFERROR(VLOOKUP($B196,$A$25:$N$54,7,FALSE),"")</f>
        <v/>
      </c>
      <c r="I196" s="15">
        <f>IF($H196="Minor",1,IF($H196="Moderate",2,IF($H196="Major",3,IF($H196="Critical",4,""))))</f>
        <v/>
      </c>
      <c r="J196" s="16" t="n"/>
      <c r="K196" s="16" t="n"/>
      <c r="L196" s="15">
        <f>IF(OR($G196="Exact TP",$G196="Equivalent TP"),1,0)</f>
        <v/>
      </c>
      <c r="M196" s="15">
        <f>IF(OR($G196="FP Extra",$G196="Harmful FP"),1,0)</f>
        <v/>
      </c>
      <c r="N196" s="15">
        <f>IF(OR($G196="FN",$G196="Partial"),1,0)</f>
        <v/>
      </c>
      <c r="O196" s="15">
        <f>IF($L196=1,$I196,0)</f>
        <v/>
      </c>
      <c r="P196" s="15">
        <f>IF($M196=1,$I196,0)</f>
        <v/>
      </c>
      <c r="Q196" s="15">
        <f>IF($N196=1,$I196,0)</f>
        <v/>
      </c>
      <c r="R196" s="20" t="n"/>
      <c r="S196" s="20" t="n"/>
      <c r="T196" s="20" t="n"/>
    </row>
    <row r="197" ht="18.75" customHeight="1">
      <c r="A197" s="12" t="n"/>
      <c r="B197" s="12" t="n"/>
      <c r="C197" s="12" t="n"/>
      <c r="D197" s="12" t="n"/>
      <c r="E197" s="12" t="n"/>
      <c r="F197" s="12" t="n"/>
      <c r="G197" s="12" t="n"/>
      <c r="H197" s="14">
        <f>IFERROR(VLOOKUP($B197,$A$25:$N$54,7,FALSE),"")</f>
        <v/>
      </c>
      <c r="I197" s="15">
        <f>IF($H197="Minor",1,IF($H197="Moderate",2,IF($H197="Major",3,IF($H197="Critical",4,""))))</f>
        <v/>
      </c>
      <c r="J197" s="16" t="n"/>
      <c r="K197" s="16" t="n"/>
      <c r="L197" s="15">
        <f>IF(OR($G197="Exact TP",$G197="Equivalent TP"),1,0)</f>
        <v/>
      </c>
      <c r="M197" s="15">
        <f>IF(OR($G197="FP Extra",$G197="Harmful FP"),1,0)</f>
        <v/>
      </c>
      <c r="N197" s="15">
        <f>IF(OR($G197="FN",$G197="Partial"),1,0)</f>
        <v/>
      </c>
      <c r="O197" s="15">
        <f>IF($L197=1,$I197,0)</f>
        <v/>
      </c>
      <c r="P197" s="15">
        <f>IF($M197=1,$I197,0)</f>
        <v/>
      </c>
      <c r="Q197" s="15">
        <f>IF($N197=1,$I197,0)</f>
        <v/>
      </c>
      <c r="R197" s="20" t="n"/>
      <c r="S197" s="20" t="n"/>
      <c r="T197" s="20" t="n"/>
    </row>
    <row r="198" ht="18.75" customHeight="1">
      <c r="A198" s="12" t="n"/>
      <c r="B198" s="12" t="n"/>
      <c r="C198" s="12" t="n"/>
      <c r="D198" s="12" t="n"/>
      <c r="E198" s="12" t="n"/>
      <c r="F198" s="12" t="n"/>
      <c r="G198" s="12" t="n"/>
      <c r="H198" s="14">
        <f>IFERROR(VLOOKUP($B198,$A$25:$N$54,7,FALSE),"")</f>
        <v/>
      </c>
      <c r="I198" s="15">
        <f>IF($H198="Minor",1,IF($H198="Moderate",2,IF($H198="Major",3,IF($H198="Critical",4,""))))</f>
        <v/>
      </c>
      <c r="J198" s="16" t="n"/>
      <c r="K198" s="16" t="n"/>
      <c r="L198" s="15">
        <f>IF(OR($G198="Exact TP",$G198="Equivalent TP"),1,0)</f>
        <v/>
      </c>
      <c r="M198" s="15">
        <f>IF(OR($G198="FP Extra",$G198="Harmful FP"),1,0)</f>
        <v/>
      </c>
      <c r="N198" s="15">
        <f>IF(OR($G198="FN",$G198="Partial"),1,0)</f>
        <v/>
      </c>
      <c r="O198" s="15">
        <f>IF($L198=1,$I198,0)</f>
        <v/>
      </c>
      <c r="P198" s="15">
        <f>IF($M198=1,$I198,0)</f>
        <v/>
      </c>
      <c r="Q198" s="15">
        <f>IF($N198=1,$I198,0)</f>
        <v/>
      </c>
      <c r="R198" s="20" t="n"/>
      <c r="S198" s="20" t="n"/>
      <c r="T198" s="20" t="n"/>
    </row>
    <row r="199" ht="18.75" customHeight="1">
      <c r="A199" s="12" t="n"/>
      <c r="B199" s="12" t="n"/>
      <c r="C199" s="12" t="n"/>
      <c r="D199" s="12" t="n"/>
      <c r="E199" s="12" t="n"/>
      <c r="F199" s="12" t="n"/>
      <c r="G199" s="12" t="n"/>
      <c r="H199" s="14">
        <f>IFERROR(VLOOKUP($B199,$A$25:$N$54,7,FALSE),"")</f>
        <v/>
      </c>
      <c r="I199" s="15">
        <f>IF($H199="Minor",1,IF($H199="Moderate",2,IF($H199="Major",3,IF($H199="Critical",4,""))))</f>
        <v/>
      </c>
      <c r="J199" s="16" t="n"/>
      <c r="K199" s="16" t="n"/>
      <c r="L199" s="15">
        <f>IF(OR($G199="Exact TP",$G199="Equivalent TP"),1,0)</f>
        <v/>
      </c>
      <c r="M199" s="15">
        <f>IF(OR($G199="FP Extra",$G199="Harmful FP"),1,0)</f>
        <v/>
      </c>
      <c r="N199" s="15">
        <f>IF(OR($G199="FN",$G199="Partial"),1,0)</f>
        <v/>
      </c>
      <c r="O199" s="15">
        <f>IF($L199=1,$I199,0)</f>
        <v/>
      </c>
      <c r="P199" s="15">
        <f>IF($M199=1,$I199,0)</f>
        <v/>
      </c>
      <c r="Q199" s="15">
        <f>IF($N199=1,$I199,0)</f>
        <v/>
      </c>
      <c r="R199" s="20" t="n"/>
      <c r="S199" s="20" t="n"/>
      <c r="T199" s="20" t="n"/>
    </row>
    <row r="200" ht="18.75" customHeight="1">
      <c r="A200" s="12" t="n"/>
      <c r="B200" s="12" t="n"/>
      <c r="C200" s="12" t="n"/>
      <c r="D200" s="12" t="n"/>
      <c r="E200" s="12" t="n"/>
      <c r="F200" s="12" t="n"/>
      <c r="G200" s="12" t="n"/>
      <c r="H200" s="14">
        <f>IFERROR(VLOOKUP($B200,$A$25:$N$54,7,FALSE),"")</f>
        <v/>
      </c>
      <c r="I200" s="15">
        <f>IF($H200="Minor",1,IF($H200="Moderate",2,IF($H200="Major",3,IF($H200="Critical",4,""))))</f>
        <v/>
      </c>
      <c r="J200" s="16" t="n"/>
      <c r="K200" s="16" t="n"/>
      <c r="L200" s="15">
        <f>IF(OR($G200="Exact TP",$G200="Equivalent TP"),1,0)</f>
        <v/>
      </c>
      <c r="M200" s="15">
        <f>IF(OR($G200="FP Extra",$G200="Harmful FP"),1,0)</f>
        <v/>
      </c>
      <c r="N200" s="15">
        <f>IF(OR($G200="FN",$G200="Partial"),1,0)</f>
        <v/>
      </c>
      <c r="O200" s="15">
        <f>IF($L200=1,$I200,0)</f>
        <v/>
      </c>
      <c r="P200" s="15">
        <f>IF($M200=1,$I200,0)</f>
        <v/>
      </c>
      <c r="Q200" s="15">
        <f>IF($N200=1,$I200,0)</f>
        <v/>
      </c>
      <c r="R200" s="20" t="n"/>
      <c r="S200" s="20" t="n"/>
      <c r="T200" s="20" t="n"/>
    </row>
    <row r="201" ht="18.75" customHeight="1">
      <c r="A201" s="12" t="n"/>
      <c r="B201" s="12" t="n"/>
      <c r="C201" s="12" t="n"/>
      <c r="D201" s="12" t="n"/>
      <c r="E201" s="12" t="n"/>
      <c r="F201" s="12" t="n"/>
      <c r="G201" s="12" t="n"/>
      <c r="H201" s="14">
        <f>IFERROR(VLOOKUP($B201,$A$25:$N$54,7,FALSE),"")</f>
        <v/>
      </c>
      <c r="I201" s="15">
        <f>IF($H201="Minor",1,IF($H201="Moderate",2,IF($H201="Major",3,IF($H201="Critical",4,""))))</f>
        <v/>
      </c>
      <c r="J201" s="16" t="n"/>
      <c r="K201" s="16" t="n"/>
      <c r="L201" s="15">
        <f>IF(OR($G201="Exact TP",$G201="Equivalent TP"),1,0)</f>
        <v/>
      </c>
      <c r="M201" s="15">
        <f>IF(OR($G201="FP Extra",$G201="Harmful FP"),1,0)</f>
        <v/>
      </c>
      <c r="N201" s="15">
        <f>IF(OR($G201="FN",$G201="Partial"),1,0)</f>
        <v/>
      </c>
      <c r="O201" s="15">
        <f>IF($L201=1,$I201,0)</f>
        <v/>
      </c>
      <c r="P201" s="15">
        <f>IF($M201=1,$I201,0)</f>
        <v/>
      </c>
      <c r="Q201" s="15">
        <f>IF($N201=1,$I201,0)</f>
        <v/>
      </c>
      <c r="R201" s="20" t="n"/>
      <c r="S201" s="20" t="n"/>
      <c r="T201" s="20" t="n"/>
    </row>
    <row r="202" ht="18.75" customHeight="1">
      <c r="A202" s="12" t="n"/>
      <c r="B202" s="12" t="n"/>
      <c r="C202" s="12" t="n"/>
      <c r="D202" s="12" t="n"/>
      <c r="E202" s="12" t="n"/>
      <c r="F202" s="12" t="n"/>
      <c r="G202" s="12" t="n"/>
      <c r="H202" s="14">
        <f>IFERROR(VLOOKUP($B202,$A$25:$N$54,7,FALSE),"")</f>
        <v/>
      </c>
      <c r="I202" s="15">
        <f>IF($H202="Minor",1,IF($H202="Moderate",2,IF($H202="Major",3,IF($H202="Critical",4,""))))</f>
        <v/>
      </c>
      <c r="J202" s="16" t="n"/>
      <c r="K202" s="16" t="n"/>
      <c r="L202" s="15">
        <f>IF(OR($G202="Exact TP",$G202="Equivalent TP"),1,0)</f>
        <v/>
      </c>
      <c r="M202" s="15">
        <f>IF(OR($G202="FP Extra",$G202="Harmful FP"),1,0)</f>
        <v/>
      </c>
      <c r="N202" s="15">
        <f>IF(OR($G202="FN",$G202="Partial"),1,0)</f>
        <v/>
      </c>
      <c r="O202" s="15">
        <f>IF($L202=1,$I202,0)</f>
        <v/>
      </c>
      <c r="P202" s="15">
        <f>IF($M202=1,$I202,0)</f>
        <v/>
      </c>
      <c r="Q202" s="15">
        <f>IF($N202=1,$I202,0)</f>
        <v/>
      </c>
      <c r="R202" s="20" t="n"/>
      <c r="S202" s="20" t="n"/>
      <c r="T202" s="20" t="n"/>
    </row>
    <row r="203" ht="18.75" customHeight="1">
      <c r="A203" s="12" t="n"/>
      <c r="B203" s="12" t="n"/>
      <c r="C203" s="12" t="n"/>
      <c r="D203" s="12" t="n"/>
      <c r="E203" s="12" t="n"/>
      <c r="F203" s="12" t="n"/>
      <c r="G203" s="12" t="n"/>
      <c r="H203" s="14">
        <f>IFERROR(VLOOKUP($B203,$A$25:$N$54,7,FALSE),"")</f>
        <v/>
      </c>
      <c r="I203" s="15">
        <f>IF($H203="Minor",1,IF($H203="Moderate",2,IF($H203="Major",3,IF($H203="Critical",4,""))))</f>
        <v/>
      </c>
      <c r="J203" s="16" t="n"/>
      <c r="K203" s="16" t="n"/>
      <c r="L203" s="15">
        <f>IF(OR($G203="Exact TP",$G203="Equivalent TP"),1,0)</f>
        <v/>
      </c>
      <c r="M203" s="15">
        <f>IF(OR($G203="FP Extra",$G203="Harmful FP"),1,0)</f>
        <v/>
      </c>
      <c r="N203" s="15">
        <f>IF(OR($G203="FN",$G203="Partial"),1,0)</f>
        <v/>
      </c>
      <c r="O203" s="15">
        <f>IF($L203=1,$I203,0)</f>
        <v/>
      </c>
      <c r="P203" s="15">
        <f>IF($M203=1,$I203,0)</f>
        <v/>
      </c>
      <c r="Q203" s="15">
        <f>IF($N203=1,$I203,0)</f>
        <v/>
      </c>
      <c r="R203" s="20" t="n"/>
      <c r="S203" s="20" t="n"/>
      <c r="T203" s="20" t="n"/>
    </row>
    <row r="204" ht="18.75" customHeight="1">
      <c r="A204" s="12" t="n"/>
      <c r="B204" s="12" t="n"/>
      <c r="C204" s="12" t="n"/>
      <c r="D204" s="12" t="n"/>
      <c r="E204" s="12" t="n"/>
      <c r="F204" s="12" t="n"/>
      <c r="G204" s="12" t="n"/>
      <c r="H204" s="14">
        <f>IFERROR(VLOOKUP($B204,$A$25:$N$54,7,FALSE),"")</f>
        <v/>
      </c>
      <c r="I204" s="15">
        <f>IF($H204="Minor",1,IF($H204="Moderate",2,IF($H204="Major",3,IF($H204="Critical",4,""))))</f>
        <v/>
      </c>
      <c r="J204" s="16" t="n"/>
      <c r="K204" s="16" t="n"/>
      <c r="L204" s="15">
        <f>IF(OR($G204="Exact TP",$G204="Equivalent TP"),1,0)</f>
        <v/>
      </c>
      <c r="M204" s="15">
        <f>IF(OR($G204="FP Extra",$G204="Harmful FP"),1,0)</f>
        <v/>
      </c>
      <c r="N204" s="15">
        <f>IF(OR($G204="FN",$G204="Partial"),1,0)</f>
        <v/>
      </c>
      <c r="O204" s="15">
        <f>IF($L204=1,$I204,0)</f>
        <v/>
      </c>
      <c r="P204" s="15">
        <f>IF($M204=1,$I204,0)</f>
        <v/>
      </c>
      <c r="Q204" s="15">
        <f>IF($N204=1,$I204,0)</f>
        <v/>
      </c>
      <c r="R204" s="20" t="n"/>
      <c r="S204" s="20" t="n"/>
      <c r="T204" s="20" t="n"/>
    </row>
    <row r="205" ht="18.75" customHeight="1">
      <c r="A205" s="12" t="n"/>
      <c r="B205" s="12" t="n"/>
      <c r="C205" s="12" t="n"/>
      <c r="D205" s="12" t="n"/>
      <c r="E205" s="12" t="n"/>
      <c r="F205" s="12" t="n"/>
      <c r="G205" s="12" t="n"/>
      <c r="H205" s="14">
        <f>IFERROR(VLOOKUP($B205,$A$25:$N$54,7,FALSE),"")</f>
        <v/>
      </c>
      <c r="I205" s="15">
        <f>IF($H205="Minor",1,IF($H205="Moderate",2,IF($H205="Major",3,IF($H205="Critical",4,""))))</f>
        <v/>
      </c>
      <c r="J205" s="16" t="n"/>
      <c r="K205" s="16" t="n"/>
      <c r="L205" s="15">
        <f>IF(OR($G205="Exact TP",$G205="Equivalent TP"),1,0)</f>
        <v/>
      </c>
      <c r="M205" s="15">
        <f>IF(OR($G205="FP Extra",$G205="Harmful FP"),1,0)</f>
        <v/>
      </c>
      <c r="N205" s="15">
        <f>IF(OR($G205="FN",$G205="Partial"),1,0)</f>
        <v/>
      </c>
      <c r="O205" s="15">
        <f>IF($L205=1,$I205,0)</f>
        <v/>
      </c>
      <c r="P205" s="15">
        <f>IF($M205=1,$I205,0)</f>
        <v/>
      </c>
      <c r="Q205" s="15">
        <f>IF($N205=1,$I205,0)</f>
        <v/>
      </c>
      <c r="R205" s="20" t="n"/>
      <c r="S205" s="20" t="n"/>
      <c r="T205" s="20" t="n"/>
    </row>
    <row r="206" ht="18.75" customHeight="1">
      <c r="A206" s="12" t="n"/>
      <c r="B206" s="12" t="n"/>
      <c r="C206" s="12" t="n"/>
      <c r="D206" s="12" t="n"/>
      <c r="E206" s="12" t="n"/>
      <c r="F206" s="12" t="n"/>
      <c r="G206" s="12" t="n"/>
      <c r="H206" s="14">
        <f>IFERROR(VLOOKUP($B206,$A$25:$N$54,7,FALSE),"")</f>
        <v/>
      </c>
      <c r="I206" s="15">
        <f>IF($H206="Minor",1,IF($H206="Moderate",2,IF($H206="Major",3,IF($H206="Critical",4,""))))</f>
        <v/>
      </c>
      <c r="J206" s="16" t="n"/>
      <c r="K206" s="16" t="n"/>
      <c r="L206" s="15">
        <f>IF(OR($G206="Exact TP",$G206="Equivalent TP"),1,0)</f>
        <v/>
      </c>
      <c r="M206" s="15">
        <f>IF(OR($G206="FP Extra",$G206="Harmful FP"),1,0)</f>
        <v/>
      </c>
      <c r="N206" s="15">
        <f>IF(OR($G206="FN",$G206="Partial"),1,0)</f>
        <v/>
      </c>
      <c r="O206" s="15">
        <f>IF($L206=1,$I206,0)</f>
        <v/>
      </c>
      <c r="P206" s="15">
        <f>IF($M206=1,$I206,0)</f>
        <v/>
      </c>
      <c r="Q206" s="15">
        <f>IF($N206=1,$I206,0)</f>
        <v/>
      </c>
      <c r="R206" s="20" t="n"/>
      <c r="S206" s="20" t="n"/>
      <c r="T206" s="20" t="n"/>
    </row>
    <row r="207" ht="18.75" customHeight="1">
      <c r="A207" s="12" t="n"/>
      <c r="B207" s="12" t="n"/>
      <c r="C207" s="12" t="n"/>
      <c r="D207" s="12" t="n"/>
      <c r="E207" s="12" t="n"/>
      <c r="F207" s="12" t="n"/>
      <c r="G207" s="12" t="n"/>
      <c r="H207" s="14">
        <f>IFERROR(VLOOKUP($B207,$A$25:$N$54,7,FALSE),"")</f>
        <v/>
      </c>
      <c r="I207" s="15">
        <f>IF($H207="Minor",1,IF($H207="Moderate",2,IF($H207="Major",3,IF($H207="Critical",4,""))))</f>
        <v/>
      </c>
      <c r="J207" s="16" t="n"/>
      <c r="K207" s="16" t="n"/>
      <c r="L207" s="15">
        <f>IF(OR($G207="Exact TP",$G207="Equivalent TP"),1,0)</f>
        <v/>
      </c>
      <c r="M207" s="15">
        <f>IF(OR($G207="FP Extra",$G207="Harmful FP"),1,0)</f>
        <v/>
      </c>
      <c r="N207" s="15">
        <f>IF(OR($G207="FN",$G207="Partial"),1,0)</f>
        <v/>
      </c>
      <c r="O207" s="15">
        <f>IF($L207=1,$I207,0)</f>
        <v/>
      </c>
      <c r="P207" s="15">
        <f>IF($M207=1,$I207,0)</f>
        <v/>
      </c>
      <c r="Q207" s="15">
        <f>IF($N207=1,$I207,0)</f>
        <v/>
      </c>
      <c r="R207" s="20" t="n"/>
      <c r="S207" s="20" t="n"/>
      <c r="T207" s="20" t="n"/>
    </row>
    <row r="208" ht="18.75" customHeight="1">
      <c r="A208" s="12" t="n"/>
      <c r="B208" s="12" t="n"/>
      <c r="C208" s="12" t="n"/>
      <c r="D208" s="12" t="n"/>
      <c r="E208" s="12" t="n"/>
      <c r="F208" s="12" t="n"/>
      <c r="G208" s="12" t="n"/>
      <c r="H208" s="14">
        <f>IFERROR(VLOOKUP($B208,$A$25:$N$54,7,FALSE),"")</f>
        <v/>
      </c>
      <c r="I208" s="15">
        <f>IF($H208="Minor",1,IF($H208="Moderate",2,IF($H208="Major",3,IF($H208="Critical",4,""))))</f>
        <v/>
      </c>
      <c r="J208" s="16" t="n"/>
      <c r="K208" s="16" t="n"/>
      <c r="L208" s="15">
        <f>IF(OR($G208="Exact TP",$G208="Equivalent TP"),1,0)</f>
        <v/>
      </c>
      <c r="M208" s="15">
        <f>IF(OR($G208="FP Extra",$G208="Harmful FP"),1,0)</f>
        <v/>
      </c>
      <c r="N208" s="15">
        <f>IF(OR($G208="FN",$G208="Partial"),1,0)</f>
        <v/>
      </c>
      <c r="O208" s="15">
        <f>IF($L208=1,$I208,0)</f>
        <v/>
      </c>
      <c r="P208" s="15">
        <f>IF($M208=1,$I208,0)</f>
        <v/>
      </c>
      <c r="Q208" s="15">
        <f>IF($N208=1,$I208,0)</f>
        <v/>
      </c>
      <c r="R208" s="20" t="n"/>
      <c r="S208" s="20" t="n"/>
      <c r="T208" s="20" t="n"/>
    </row>
    <row r="209" ht="18.75" customHeight="1">
      <c r="A209" s="12" t="n"/>
      <c r="B209" s="12" t="n"/>
      <c r="C209" s="12" t="n"/>
      <c r="D209" s="12" t="n"/>
      <c r="E209" s="12" t="n"/>
      <c r="F209" s="12" t="n"/>
      <c r="G209" s="12" t="n"/>
      <c r="H209" s="14">
        <f>IFERROR(VLOOKUP($B209,$A$25:$N$54,7,FALSE),"")</f>
        <v/>
      </c>
      <c r="I209" s="15">
        <f>IF($H209="Minor",1,IF($H209="Moderate",2,IF($H209="Major",3,IF($H209="Critical",4,""))))</f>
        <v/>
      </c>
      <c r="J209" s="16" t="n"/>
      <c r="K209" s="16" t="n"/>
      <c r="L209" s="15">
        <f>IF(OR($G209="Exact TP",$G209="Equivalent TP"),1,0)</f>
        <v/>
      </c>
      <c r="M209" s="15">
        <f>IF(OR($G209="FP Extra",$G209="Harmful FP"),1,0)</f>
        <v/>
      </c>
      <c r="N209" s="15">
        <f>IF(OR($G209="FN",$G209="Partial"),1,0)</f>
        <v/>
      </c>
      <c r="O209" s="15">
        <f>IF($L209=1,$I209,0)</f>
        <v/>
      </c>
      <c r="P209" s="15">
        <f>IF($M209=1,$I209,0)</f>
        <v/>
      </c>
      <c r="Q209" s="15">
        <f>IF($N209=1,$I209,0)</f>
        <v/>
      </c>
      <c r="R209" s="20" t="n"/>
      <c r="S209" s="20" t="n"/>
      <c r="T209" s="20" t="n"/>
    </row>
    <row r="210" ht="18.75" customHeight="1">
      <c r="A210" s="12" t="n"/>
      <c r="B210" s="12" t="n"/>
      <c r="C210" s="12" t="n"/>
      <c r="D210" s="12" t="n"/>
      <c r="E210" s="12" t="n"/>
      <c r="F210" s="12" t="n"/>
      <c r="G210" s="12" t="n"/>
      <c r="H210" s="14">
        <f>IFERROR(VLOOKUP($B210,$A$25:$N$54,7,FALSE),"")</f>
        <v/>
      </c>
      <c r="I210" s="15">
        <f>IF($H210="Minor",1,IF($H210="Moderate",2,IF($H210="Major",3,IF($H210="Critical",4,""))))</f>
        <v/>
      </c>
      <c r="J210" s="16" t="n"/>
      <c r="K210" s="16" t="n"/>
      <c r="L210" s="15">
        <f>IF(OR($G210="Exact TP",$G210="Equivalent TP"),1,0)</f>
        <v/>
      </c>
      <c r="M210" s="15">
        <f>IF(OR($G210="FP Extra",$G210="Harmful FP"),1,0)</f>
        <v/>
      </c>
      <c r="N210" s="15">
        <f>IF(OR($G210="FN",$G210="Partial"),1,0)</f>
        <v/>
      </c>
      <c r="O210" s="15">
        <f>IF($L210=1,$I210,0)</f>
        <v/>
      </c>
      <c r="P210" s="15">
        <f>IF($M210=1,$I210,0)</f>
        <v/>
      </c>
      <c r="Q210" s="15">
        <f>IF($N210=1,$I210,0)</f>
        <v/>
      </c>
      <c r="R210" s="20" t="n"/>
      <c r="S210" s="20" t="n"/>
      <c r="T210" s="20" t="n"/>
    </row>
    <row r="211" ht="18.75" customHeight="1">
      <c r="A211" s="20" t="n"/>
      <c r="B211" s="20" t="n"/>
      <c r="C211" s="21" t="n"/>
      <c r="D211" s="21" t="n"/>
      <c r="E211" s="20" t="n"/>
      <c r="F211" s="21" t="n"/>
      <c r="G211" s="21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</row>
    <row r="212" ht="18.75" customHeight="1">
      <c r="A212" s="20" t="n"/>
      <c r="B212" s="20" t="n"/>
      <c r="C212" s="21" t="n"/>
      <c r="D212" s="21" t="n"/>
      <c r="E212" s="20" t="n"/>
      <c r="F212" s="21" t="n"/>
      <c r="G212" s="21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</row>
    <row r="213" ht="18.75" customHeight="1">
      <c r="A213" s="1" t="inlineStr">
        <is>
          <t>7. Behavioral and Quality Evaluation by Treatment</t>
        </is>
      </c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2" t="n"/>
      <c r="Q213" s="20" t="n"/>
      <c r="R213" s="20" t="n"/>
      <c r="S213" s="20" t="n"/>
      <c r="T213" s="20" t="n"/>
    </row>
    <row r="214" ht="18.75" customFormat="1" customHeight="1" s="4">
      <c r="A214" s="8" t="inlineStr">
        <is>
          <t>Treatment</t>
        </is>
      </c>
      <c r="B214" s="8" t="inlineStr">
        <is>
          <t>Build Status</t>
        </is>
      </c>
      <c r="C214" s="8" t="inlineStr">
        <is>
          <t>Tests Total</t>
        </is>
      </c>
      <c r="D214" s="8" t="inlineStr">
        <is>
          <t>Tests Passed</t>
        </is>
      </c>
      <c r="E214" s="8" t="inlineStr">
        <is>
          <t>Test Pass Rate</t>
        </is>
      </c>
      <c r="F214" s="8" t="inlineStr">
        <is>
          <t>Behavior Score</t>
        </is>
      </c>
      <c r="G214" s="8" t="inlineStr">
        <is>
          <t>Runtime Issues</t>
        </is>
      </c>
      <c r="H214" s="8" t="inlineStr">
        <is>
          <t>Smells Before</t>
        </is>
      </c>
      <c r="I214" s="8" t="inlineStr">
        <is>
          <t>Smells After</t>
        </is>
      </c>
      <c r="J214" s="8" t="inlineStr">
        <is>
          <t>Smell Red.%</t>
        </is>
      </c>
      <c r="K214" s="8" t="inlineStr">
        <is>
          <t>Complexity Before</t>
        </is>
      </c>
      <c r="L214" s="8" t="inlineStr">
        <is>
          <t>Complexity After</t>
        </is>
      </c>
      <c r="M214" s="8" t="inlineStr">
        <is>
          <t>Complexity Red.%</t>
        </is>
      </c>
      <c r="N214" s="8" t="inlineStr">
        <is>
          <t>MI Before</t>
        </is>
      </c>
      <c r="O214" s="8" t="inlineStr">
        <is>
          <t>MI After</t>
        </is>
      </c>
      <c r="P214" s="8" t="inlineStr">
        <is>
          <t>MI Change</t>
        </is>
      </c>
      <c r="Q214" s="8" t="inlineStr">
        <is>
          <t>Repair Effort (hrs)</t>
        </is>
      </c>
      <c r="R214" s="8" t="inlineStr">
        <is>
          <t>Integration Readiness</t>
        </is>
      </c>
      <c r="S214" s="8" t="inlineStr">
        <is>
          <t>Notes</t>
        </is>
      </c>
      <c r="T214" s="21" t="n"/>
    </row>
    <row r="215" ht="18.75" customHeight="1">
      <c r="A215" s="6" t="inlineStr">
        <is>
          <t>AI-Assisted</t>
        </is>
      </c>
      <c r="B215" s="12" t="n"/>
      <c r="C215" s="12" t="n"/>
      <c r="D215" s="12" t="n"/>
      <c r="E215" s="17">
        <f>IFERROR(D215/C215,"")</f>
        <v/>
      </c>
      <c r="F215" s="18" t="n"/>
      <c r="G215" s="12" t="n"/>
      <c r="H215" s="12" t="n"/>
      <c r="I215" s="12" t="n"/>
      <c r="J215" s="17">
        <f>IFERROR((H215-I215)/H215,"")</f>
        <v/>
      </c>
      <c r="K215" s="12" t="n"/>
      <c r="L215" s="12" t="n"/>
      <c r="M215" s="17">
        <f>IFERROR((K215-L215)/K215,"")</f>
        <v/>
      </c>
      <c r="N215" s="12" t="n"/>
      <c r="O215" s="12" t="n"/>
      <c r="P215" s="19">
        <f>IFERROR(O215-N215,"")</f>
        <v/>
      </c>
      <c r="Q215" s="18" t="n"/>
      <c r="R215" s="12" t="n"/>
      <c r="S215" s="12" t="n"/>
      <c r="T215" s="20" t="n"/>
    </row>
    <row r="216" ht="18.75" customHeight="1">
      <c r="A216" s="6" t="inlineStr">
        <is>
          <t>Auto Tool A</t>
        </is>
      </c>
      <c r="B216" s="12" t="n"/>
      <c r="C216" s="12" t="n"/>
      <c r="D216" s="12" t="n"/>
      <c r="E216" s="17">
        <f>IFERROR(D216/C216,"")</f>
        <v/>
      </c>
      <c r="F216" s="18" t="n"/>
      <c r="G216" s="12" t="n"/>
      <c r="H216" s="12" t="n"/>
      <c r="I216" s="12" t="n"/>
      <c r="J216" s="17">
        <f>IFERROR((H216-I216)/H216,"")</f>
        <v/>
      </c>
      <c r="K216" s="12" t="n"/>
      <c r="L216" s="12" t="n"/>
      <c r="M216" s="17">
        <f>IFERROR((K216-L216)/K216,"")</f>
        <v/>
      </c>
      <c r="N216" s="12" t="n"/>
      <c r="O216" s="12" t="n"/>
      <c r="P216" s="19">
        <f>IFERROR(O216-N216,"")</f>
        <v/>
      </c>
      <c r="Q216" s="18" t="n"/>
      <c r="R216" s="12" t="n"/>
      <c r="S216" s="12" t="n"/>
      <c r="T216" s="20" t="n"/>
    </row>
    <row r="217" ht="18.75" customHeight="1">
      <c r="A217" s="6" t="inlineStr">
        <is>
          <t>Auto Tool B</t>
        </is>
      </c>
      <c r="B217" s="12" t="n"/>
      <c r="C217" s="12" t="n"/>
      <c r="D217" s="12" t="n"/>
      <c r="E217" s="17">
        <f>IFERROR(D217/C217,"")</f>
        <v/>
      </c>
      <c r="F217" s="18" t="n"/>
      <c r="G217" s="12" t="n"/>
      <c r="H217" s="12" t="n"/>
      <c r="I217" s="12" t="n"/>
      <c r="J217" s="17">
        <f>IFERROR((H217-I217)/H217,"")</f>
        <v/>
      </c>
      <c r="K217" s="12" t="n"/>
      <c r="L217" s="12" t="n"/>
      <c r="M217" s="17">
        <f>IFERROR((K217-L217)/K217,"")</f>
        <v/>
      </c>
      <c r="N217" s="12" t="n"/>
      <c r="O217" s="12" t="n"/>
      <c r="P217" s="19">
        <f>IFERROR(O217-N217,"")</f>
        <v/>
      </c>
      <c r="Q217" s="18" t="n"/>
      <c r="R217" s="12" t="n"/>
      <c r="S217" s="12" t="n"/>
      <c r="T217" s="20" t="n"/>
    </row>
    <row r="218" ht="18.75" customHeight="1">
      <c r="A218" s="6" t="inlineStr">
        <is>
          <t>Auto Tool C</t>
        </is>
      </c>
      <c r="B218" s="12" t="n"/>
      <c r="C218" s="12" t="n"/>
      <c r="D218" s="12" t="n"/>
      <c r="E218" s="17">
        <f>IFERROR(D218/C218,"")</f>
        <v/>
      </c>
      <c r="F218" s="18" t="n"/>
      <c r="G218" s="12" t="n"/>
      <c r="H218" s="12" t="n"/>
      <c r="I218" s="12" t="n"/>
      <c r="J218" s="17">
        <f>IFERROR((H218-I218)/H218,"")</f>
        <v/>
      </c>
      <c r="K218" s="12" t="n"/>
      <c r="L218" s="12" t="n"/>
      <c r="M218" s="17">
        <f>IFERROR((K218-L218)/K218,"")</f>
        <v/>
      </c>
      <c r="N218" s="12" t="n"/>
      <c r="O218" s="12" t="n"/>
      <c r="P218" s="19">
        <f>IFERROR(O218-N218,"")</f>
        <v/>
      </c>
      <c r="Q218" s="18" t="n"/>
      <c r="R218" s="12" t="n"/>
      <c r="S218" s="12" t="n"/>
      <c r="T218" s="20" t="n"/>
    </row>
    <row r="219" ht="18.75" customHeight="1">
      <c r="A219" s="20" t="n"/>
      <c r="B219" s="20" t="n"/>
      <c r="C219" s="21" t="n"/>
      <c r="D219" s="21" t="n"/>
      <c r="E219" s="20" t="n"/>
      <c r="F219" s="21" t="n"/>
      <c r="G219" s="21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</row>
    <row r="220" ht="18.75" customHeight="1">
      <c r="A220" s="20" t="n"/>
      <c r="B220" s="20" t="n"/>
      <c r="C220" s="21" t="n"/>
      <c r="D220" s="21" t="n"/>
      <c r="E220" s="20" t="n"/>
      <c r="F220" s="21" t="n"/>
      <c r="G220" s="21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</row>
    <row r="221" ht="18.75" customHeight="1">
      <c r="A221" s="20" t="n"/>
      <c r="B221" s="20" t="n"/>
      <c r="C221" s="21" t="n"/>
      <c r="D221" s="21" t="n"/>
      <c r="E221" s="20" t="n"/>
      <c r="F221" s="21" t="n"/>
      <c r="G221" s="21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</row>
    <row r="222" ht="18.75" customHeight="1">
      <c r="A222" s="1" t="inlineStr">
        <is>
          <t>8. Representative Examples / Notes</t>
        </is>
      </c>
      <c r="B222" s="41" t="n"/>
      <c r="C222" s="41" t="n"/>
      <c r="D222" s="41" t="n"/>
      <c r="E222" s="41" t="n"/>
      <c r="F222" s="41" t="n"/>
      <c r="G222" s="41" t="n"/>
      <c r="H222" s="42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</row>
    <row r="223" ht="18.75" customFormat="1" customHeight="1" s="4">
      <c r="A223" s="8" t="inlineStr">
        <is>
          <t>Treatment</t>
        </is>
      </c>
      <c r="B223" s="8" t="inlineStr">
        <is>
          <t>RR_ID</t>
        </is>
      </c>
      <c r="C223" s="8" t="inlineStr">
        <is>
          <t>GA_ID</t>
        </is>
      </c>
      <c r="D223" s="8" t="inlineStr">
        <is>
          <t>Short Label</t>
        </is>
      </c>
      <c r="E223" s="8" t="inlineStr">
        <is>
          <t>Why Representative</t>
        </is>
      </c>
      <c r="F223" s="8" t="inlineStr">
        <is>
          <t>Outcome Summary</t>
        </is>
      </c>
      <c r="G223" s="8" t="inlineStr">
        <is>
          <t>Code Pointer / Diff Ref</t>
        </is>
      </c>
      <c r="H223" s="8" t="inlineStr">
        <is>
          <t>Notes</t>
        </is>
      </c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</row>
    <row r="224" ht="18.75" customFormat="1" customHeight="1" s="4">
      <c r="A224" s="12" t="n"/>
      <c r="B224" s="13" t="n"/>
      <c r="C224" s="12" t="n"/>
      <c r="D224" s="13" t="n"/>
      <c r="E224" s="12" t="n"/>
      <c r="F224" s="13" t="n"/>
      <c r="G224" s="12" t="n"/>
      <c r="H224" s="13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</row>
    <row r="225" ht="18.75" customFormat="1" customHeight="1" s="4">
      <c r="A225" s="12" t="n"/>
      <c r="B225" s="13" t="n"/>
      <c r="C225" s="12" t="n"/>
      <c r="D225" s="13" t="n"/>
      <c r="E225" s="12" t="n"/>
      <c r="F225" s="13" t="n"/>
      <c r="G225" s="12" t="n"/>
      <c r="H225" s="13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</row>
    <row r="226" ht="18.75" customFormat="1" customHeight="1" s="4">
      <c r="A226" s="12" t="n"/>
      <c r="B226" s="13" t="n"/>
      <c r="C226" s="12" t="n"/>
      <c r="D226" s="13" t="n"/>
      <c r="E226" s="12" t="n"/>
      <c r="F226" s="13" t="n"/>
      <c r="G226" s="12" t="n"/>
      <c r="H226" s="13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</row>
    <row r="227" ht="18.75" customFormat="1" customHeight="1" s="4">
      <c r="A227" s="12" t="n"/>
      <c r="B227" s="13" t="n"/>
      <c r="C227" s="12" t="n"/>
      <c r="D227" s="13" t="n"/>
      <c r="E227" s="12" t="n"/>
      <c r="F227" s="13" t="n"/>
      <c r="G227" s="12" t="n"/>
      <c r="H227" s="13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</row>
    <row r="228" ht="18.75" customFormat="1" customHeight="1" s="4">
      <c r="A228" s="12" t="n"/>
      <c r="B228" s="13" t="n"/>
      <c r="C228" s="12" t="n"/>
      <c r="D228" s="13" t="n"/>
      <c r="E228" s="12" t="n"/>
      <c r="F228" s="13" t="n"/>
      <c r="G228" s="12" t="n"/>
      <c r="H228" s="13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</row>
    <row r="229" ht="18.75" customFormat="1" customHeight="1" s="4">
      <c r="A229" s="12" t="n"/>
      <c r="B229" s="13" t="n"/>
      <c r="C229" s="12" t="n"/>
      <c r="D229" s="13" t="n"/>
      <c r="E229" s="12" t="n"/>
      <c r="F229" s="13" t="n"/>
      <c r="G229" s="12" t="n"/>
      <c r="H229" s="13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</row>
    <row r="230" ht="18.75" customFormat="1" customHeight="1" s="4">
      <c r="A230" s="12" t="n"/>
      <c r="B230" s="13" t="n"/>
      <c r="C230" s="12" t="n"/>
      <c r="D230" s="13" t="n"/>
      <c r="E230" s="12" t="n"/>
      <c r="F230" s="13" t="n"/>
      <c r="G230" s="12" t="n"/>
      <c r="H230" s="13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</row>
  </sheetData>
  <mergeCells count="9">
    <mergeCell ref="A1:T1"/>
    <mergeCell ref="A89:Q89"/>
    <mergeCell ref="H4:T4"/>
    <mergeCell ref="A14:J14"/>
    <mergeCell ref="A57:K57"/>
    <mergeCell ref="A222:H222"/>
    <mergeCell ref="A4:F4"/>
    <mergeCell ref="A23:N23"/>
    <mergeCell ref="A213:P2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2026-03-26T10:04:46Z</dcterms:created>
  <dcterms:modified xsi:type="dcterms:W3CDTF">2026-03-26T19:14:10Z</dcterms:modified>
</cp:coreProperties>
</file>