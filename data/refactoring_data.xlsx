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4"/>
  </bookViews>
  <sheets>
    <sheet name="Lists" sheetId="1" r:id="rId1"/>
    <sheet name="Overview" sheetId="2" r:id="rId2"/>
    <sheet name="Data_Dictionary" sheetId="3" r:id="rId3"/>
    <sheet name="Module_M1" sheetId="4" r:id="rId4"/>
    <sheet name="Module_M2" sheetId="5" r:id="rId5"/>
    <sheet name="Module_M3" sheetId="6" r:id="rId6"/>
    <sheet name="Module_M4" sheetId="7" r:id="rId7"/>
    <sheet name="Module_M5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<sst xmlns="http://schemas.openxmlformats.org/spreadsheetml/2006/main" count="1727" uniqueCount="514">
  <si>
    <t>AI-Assisted</t>
  </si>
  <si>
    <t>Minor</t>
  </si>
  <si>
    <t>Statement</t>
  </si>
  <si>
    <t>Local</t>
  </si>
  <si>
    <t>Low</t>
  </si>
  <si>
    <t>Local Code</t>
  </si>
  <si>
    <t>Yes</t>
  </si>
  <si>
    <t>Exact Match</t>
  </si>
  <si>
    <t>Exact TP</t>
  </si>
  <si>
    <t>Pass</t>
  </si>
  <si>
    <t>Merge Ready</t>
  </si>
  <si>
    <t>Strong</t>
  </si>
  <si>
    <t>Long Method</t>
  </si>
  <si>
    <t>Extract Method</t>
  </si>
  <si>
    <t>Readability</t>
  </si>
  <si>
    <t>Auto Tool A</t>
  </si>
  <si>
    <t>Moderate</t>
  </si>
  <si>
    <t>Method</t>
  </si>
  <si>
    <t>Intra-file</t>
  </si>
  <si>
    <t>Medium</t>
  </si>
  <si>
    <t>Framework</t>
  </si>
  <si>
    <t>No</t>
  </si>
  <si>
    <t>Equivalent Match</t>
  </si>
  <si>
    <t>Equivalent TP</t>
  </si>
  <si>
    <t>Fail</t>
  </si>
  <si>
    <t>Minor Fixes</t>
  </si>
  <si>
    <t>Adequate</t>
  </si>
  <si>
    <t>God Class</t>
  </si>
  <si>
    <t>Move Method</t>
  </si>
  <si>
    <t>Maintainability</t>
  </si>
  <si>
    <t>Auto Tool B</t>
  </si>
  <si>
    <t>Major</t>
  </si>
  <si>
    <t>Class</t>
  </si>
  <si>
    <t>Inter-class</t>
  </si>
  <si>
    <t>High</t>
  </si>
  <si>
    <t>Workflow</t>
  </si>
  <si>
    <t>Partial Match</t>
  </si>
  <si>
    <t>Partial</t>
  </si>
  <si>
    <t>Major Rework</t>
  </si>
  <si>
    <t>Weak</t>
  </si>
  <si>
    <t>Duplicated Code</t>
  </si>
  <si>
    <t>Rename</t>
  </si>
  <si>
    <t>Modularity</t>
  </si>
  <si>
    <t>Auto Tool C</t>
  </si>
  <si>
    <t>Critical</t>
  </si>
  <si>
    <t>File</t>
  </si>
  <si>
    <t>Inter-layer</t>
  </si>
  <si>
    <t>Business Rules</t>
  </si>
  <si>
    <t>Missed</t>
  </si>
  <si>
    <t>FN</t>
  </si>
  <si>
    <t>Reject</t>
  </si>
  <si>
    <t>Misleading</t>
  </si>
  <si>
    <t>Feature Envy</t>
  </si>
  <si>
    <t>Extract Class</t>
  </si>
  <si>
    <t>Reusability</t>
  </si>
  <si>
    <t>Cross-file</t>
  </si>
  <si>
    <t>Cross-module</t>
  </si>
  <si>
    <t>Mixed</t>
  </si>
  <si>
    <t>Extra Change</t>
  </si>
  <si>
    <t>FP Extra</t>
  </si>
  <si>
    <t>Fat View</t>
  </si>
  <si>
    <t>Split Responsibility</t>
  </si>
  <si>
    <t>Testability</t>
  </si>
  <si>
    <t>Cross-layer</t>
  </si>
  <si>
    <t>Harmful Deviation</t>
  </si>
  <si>
    <t>Harmful FP</t>
  </si>
  <si>
    <t>Fat Model</t>
  </si>
  <si>
    <t>Remove Duplication</t>
  </si>
  <si>
    <t>Architecture Conformance</t>
  </si>
  <si>
    <t>Scattered Validation</t>
  </si>
  <si>
    <t>Simplify Conditional</t>
  </si>
  <si>
    <t>Performance Safety</t>
  </si>
  <si>
    <t>Query Logic Duplication</t>
  </si>
  <si>
    <t>Extract Service</t>
  </si>
  <si>
    <t>Layer Violation</t>
  </si>
  <si>
    <t>Move Query to Manager/QuerySet</t>
  </si>
  <si>
    <t>Naming / Readability</t>
  </si>
  <si>
    <t>Consolidate Validation</t>
  </si>
  <si>
    <t>Other</t>
  </si>
  <si>
    <t>Reorganize Module Boundary</t>
  </si>
  <si>
    <t>Fusion ERP Refactoring Study — Data Collection Workbook</t>
  </si>
  <si>
    <t>Purpose</t>
  </si>
  <si>
    <t>Use this workbook to collect module-wise data for the paper "AI-Assisted vs Autonomous Django Refactoring: A Reference-Based Empirical Study on Enterprise ERP Modules."</t>
  </si>
  <si>
    <t>How to use</t>
  </si>
  <si>
    <t>1. Fill the blue-font cells in each module sheet.</t>
  </si>
  <si>
    <t>2. Keep one row per reference refactoring obligation in the Reference Registry section.</t>
  </si>
  <si>
    <t>3. Keep one row per generated action in the Generated Actions section.</t>
  </si>
  <si>
    <t>4. In Matching &amp; Scoring, enter one row per treatment × reference item comparison (or accepted equivalent).</t>
  </si>
  <si>
    <t>5. The summary box calculates strict TP / FP / FN, precision, recall, F1, and weighted F1 automatically.</t>
  </si>
  <si>
    <t>6. By default, Partial is counted as FN for strict scoring. You can revise the policy later in analysis if needed.</t>
  </si>
  <si>
    <t>7. Replace workbook notes and placeholders with measured values only; do not overwrite formulas.</t>
  </si>
  <si>
    <t>Sheet map</t>
  </si>
  <si>
    <t>Data_Dictionary</t>
  </si>
  <si>
    <t>Column definitions, coding guide, and scoring policy.</t>
  </si>
  <si>
    <t>Module_M1 ... Module_M5</t>
  </si>
  <si>
    <t>Module-specific data entry sheets with integrated formulas.</t>
  </si>
  <si>
    <t>Scoring policy</t>
  </si>
  <si>
    <t>Strict TP = Exact TP + Equivalent TP; Strict FP = FP Extra + Harmful FP; Strict FN = FN + Partial.</t>
  </si>
  <si>
    <t>Weighted F1 uses Severity weights: Minor=1, Moderate=2, Major=3, Critical=4.</t>
  </si>
  <si>
    <t>Behavior score is user-entered on a 0–3 scale in the Behavioral &amp; Quality section.</t>
  </si>
  <si>
    <t>Example workbook note</t>
  </si>
  <si>
    <t>Module_M1 is pre-filled with realistic fabricated example data to guide data entry. Replace only after duplicating patterns into real module sheets.</t>
  </si>
  <si>
    <t>Data Dictionary and Coding Guide</t>
  </si>
  <si>
    <t>Section</t>
  </si>
  <si>
    <t>Field</t>
  </si>
  <si>
    <t>Meaning / how to use</t>
  </si>
  <si>
    <t>Module Metadata</t>
  </si>
  <si>
    <t>Complexity Level</t>
  </si>
  <si>
    <t>Use Low / Medium / High or a finer research label consistent with the manuscript.</t>
  </si>
  <si>
    <t>Treatment Run Log</t>
  </si>
  <si>
    <t>Human Iterations</t>
  </si>
  <si>
    <t>For AI-Assisted only: number of prompt/repair interaction rounds. Use 0 for autonomous runs.</t>
  </si>
  <si>
    <t>Reference Registry</t>
  </si>
  <si>
    <t>RR_ID</t>
  </si>
  <si>
    <t>Unique reference refactoring ID, e.g., M1-RR-01.</t>
  </si>
  <si>
    <t>Issue Type</t>
  </si>
  <si>
    <t>Use the dropdown or a manuscript-consistent extension.</t>
  </si>
  <si>
    <t>Refactoring Type</t>
  </si>
  <si>
    <t>Use the expected transformation type.</t>
  </si>
  <si>
    <t>Severity</t>
  </si>
  <si>
    <t>Minor / Moderate / Major / Critical.</t>
  </si>
  <si>
    <t>Context Dependence</t>
  </si>
  <si>
    <t>Local Code / Framework / Workflow / Business Rules / Mixed.</t>
  </si>
  <si>
    <t>Generated Actions</t>
  </si>
  <si>
    <t>GA_ID</t>
  </si>
  <si>
    <t>Unique generated action ID, e.g., M1-AIA-GA-01.</t>
  </si>
  <si>
    <t>Rationale Quality</t>
  </si>
  <si>
    <t>Strong / Adequate / Weak / Misleading.</t>
  </si>
  <si>
    <t>Matching &amp; Scoring</t>
  </si>
  <si>
    <t>Final Class</t>
  </si>
  <si>
    <t>Exact TP / Equivalent TP / Partial / FN / FP Extra / Harmful FP.</t>
  </si>
  <si>
    <t>Auto-filled from RR_ID via lookup; do not overwrite unless the RR_ID is wrong.</t>
  </si>
  <si>
    <t>TP / FP / FN flags</t>
  </si>
  <si>
    <t>Auto-computed strict scoring flags.</t>
  </si>
  <si>
    <t>Behavioral &amp; Quality</t>
  </si>
  <si>
    <t>Behavior Score</t>
  </si>
  <si>
    <t>0=broken, 1=major issues, 2=minor issues, 3=preserved.</t>
  </si>
  <si>
    <t>Smell Reduction %</t>
  </si>
  <si>
    <t>Auto-computed from Smells Before and Smells After.</t>
  </si>
  <si>
    <t>Integration Readiness</t>
  </si>
  <si>
    <t>Merge Ready / Minor Fixes / Major Rework / Reject.</t>
  </si>
  <si>
    <t>Module_M1 — Data Collection Sheet</t>
  </si>
  <si>
    <t>Blue-font cells are for input. Black-font cells contain formulas. Replace placeholders only where appropriate.</t>
  </si>
  <si>
    <t>1. Module Metadata</t>
  </si>
  <si>
    <t>2. Auto-Calculated Summary by Treatment</t>
  </si>
  <si>
    <t>Module ID</t>
  </si>
  <si>
    <t>M1</t>
  </si>
  <si>
    <t>Treatment</t>
  </si>
  <si>
    <t>TP</t>
  </si>
  <si>
    <t>FP</t>
  </si>
  <si>
    <t>Precision</t>
  </si>
  <si>
    <t>Recall</t>
  </si>
  <si>
    <t>F1</t>
  </si>
  <si>
    <t>Weighted F1</t>
  </si>
  <si>
    <t>Smell Red.%</t>
  </si>
  <si>
    <t>Integration</t>
  </si>
  <si>
    <t>Module Name</t>
  </si>
  <si>
    <t>Complaint Management System</t>
  </si>
  <si>
    <t>Functional Area</t>
  </si>
  <si>
    <t>Campus complaint lifecycle: lodging, assignment, resolution, feedback</t>
  </si>
  <si>
    <t>Approx. LOC</t>
  </si>
  <si>
    <t>Python Files</t>
  </si>
  <si>
    <t>Initial Smell Count</t>
  </si>
  <si>
    <t>Evaluator(s)</t>
  </si>
  <si>
    <t>Claude Opus 4 structural audit</t>
  </si>
  <si>
    <t>3. Treatment Run Log</t>
  </si>
  <si>
    <t>Tool / Workflow</t>
  </si>
  <si>
    <t>Model Version</t>
  </si>
  <si>
    <t>Prompt Template</t>
  </si>
  <si>
    <t>Run Date</t>
  </si>
  <si>
    <t>Output ID</t>
  </si>
  <si>
    <t>Files Changed</t>
  </si>
  <si>
    <t>LOC Changed</t>
  </si>
  <si>
    <t>Build Status</t>
  </si>
  <si>
    <t>Human-guided Claude Code workflow</t>
  </si>
  <si>
    <t>Claude Opus 4.6</t>
  </si>
  <si>
    <t>RefactorPrompt_v1.0</t>
  </si>
  <si>
    <t>2026-03-26</t>
  </si>
  <si>
    <t>M1_AIA_v1</t>
  </si>
  <si>
    <t>Autonomous tool A</t>
  </si>
  <si>
    <t>Tool-A-2026.1</t>
  </si>
  <si>
    <t>2026-03-24</t>
  </si>
  <si>
    <t>M1_ATA_v1</t>
  </si>
  <si>
    <t>Autonomous tool B</t>
  </si>
  <si>
    <t>Tool-B-2026.1</t>
  </si>
  <si>
    <t>M1_ATB_v1</t>
  </si>
  <si>
    <t>Autonomous tool C</t>
  </si>
  <si>
    <t>Tool-C-2026.1</t>
  </si>
  <si>
    <t>M1_ATC_v1</t>
  </si>
  <si>
    <t>4. Reference Refactoring Registry</t>
  </si>
  <si>
    <t>Location</t>
  </si>
  <si>
    <t>Issue Description</t>
  </si>
  <si>
    <t>Intent</t>
  </si>
  <si>
    <t>Granularity</t>
  </si>
  <si>
    <t>Dependency Scope</t>
  </si>
  <si>
    <t>Behavioral Risk</t>
  </si>
  <si>
    <t>Mandatory?</t>
  </si>
  <si>
    <t>Acceptable Alternatives</t>
  </si>
  <si>
    <t>Notes</t>
  </si>
  <si>
    <t>RR-01</t>
  </si>
  <si>
    <t>models.py:AreaChoices</t>
  </si>
  <si>
    <t>Area choices defined as plain tuples in Constants class instead of Django TextChoices enum</t>
  </si>
  <si>
    <t>Other (non-idiomatic choices definition)</t>
  </si>
  <si>
    <t/>
  </si>
  <si>
    <t>Backward-compat Constants alias preserves existing references</t>
  </si>
  <si>
    <t>RR-02</t>
  </si>
  <si>
    <t>models.py:ComplaintTypeChoices</t>
  </si>
  <si>
    <t>Complaint type choices defined as plain tuples instead of Django TextChoices enum</t>
  </si>
  <si>
    <t>RR-03</t>
  </si>
  <si>
    <t>models.py:ComplaintStatus</t>
  </si>
  <si>
    <t>Complaint status values hard-coded as raw integers with no semantic meaning</t>
  </si>
  <si>
    <t>Other (magic numbers)</t>
  </si>
  <si>
    <t>Module-level constants dict</t>
  </si>
  <si>
    <t>IntegerChoices ensures DB values unchanged</t>
  </si>
  <si>
    <t>RR-04</t>
  </si>
  <si>
    <t>models.py:StudentComplain.Meta</t>
  </si>
  <si>
    <t>Inner class declared as lowercase class meta causing Django to silently ignore db_table</t>
  </si>
  <si>
    <t>Fixes silent misconfiguration</t>
  </si>
  <si>
    <t>RR-05</t>
  </si>
  <si>
    <t>services.py:forward_complaint_to_service_provider</t>
  </si>
  <si>
    <t>Direct ExtraInfo.objects.get() call bypasses selector layer</t>
  </si>
  <si>
    <t>New selector get_extrainfo_by_id created</t>
  </si>
  <si>
    <t>RR-06</t>
  </si>
  <si>
    <t>services.py:generate_report</t>
  </si>
  <si>
    <t>get_object_or_404(Caretaker) call in service bypasses selector layer</t>
  </si>
  <si>
    <t>get_object_or_404 inappropriate outside view layer; new selector get_caretaker_by_extrainfo created</t>
  </si>
  <si>
    <t>RR-07</t>
  </si>
  <si>
    <t>get_object_or_404(Warden) call in service bypasses selector layer</t>
  </si>
  <si>
    <t>New selector get_warden_by_extrainfo created</t>
  </si>
  <si>
    <t>RR-08</t>
  </si>
  <si>
    <t>services.py:get_complaints_for_user</t>
  </si>
  <si>
    <t>Direct StudentComplain.objects.none() call bypasses selector layer</t>
  </si>
  <si>
    <t>Direct objects.none() in services</t>
  </si>
  <si>
    <t>New selector get_empty_complaints_queryset created</t>
  </si>
  <si>
    <t>RR-09</t>
  </si>
  <si>
    <t>services.py:get_complaint_detail_for_api</t>
  </si>
  <si>
    <t>Direct ExtraInfo.objects.get(user=) call bypasses selector layer</t>
  </si>
  <si>
    <t>Reuses selector get_extrainfo_by_id from RR-05</t>
  </si>
  <si>
    <t>RR-10</t>
  </si>
  <si>
    <t>services.py:lodge_complaint</t>
  </si>
  <si>
    <t>Complaint status set using hard-coded integer 0 instead of named constant</t>
  </si>
  <si>
    <t>Other (magic number)</t>
  </si>
  <si>
    <t>Other (replace magic number with enum constant)</t>
  </si>
  <si>
    <t>Module-level constant</t>
  </si>
  <si>
    <t>RR-11</t>
  </si>
  <si>
    <t>Complaint status set using hard-coded integer 1 instead of named constant</t>
  </si>
  <si>
    <t>RR-12</t>
  </si>
  <si>
    <t>services.py:resolve_complaint</t>
  </si>
  <si>
    <t>Complaint status set using hard-coded integers 2 and 3 instead of named constants</t>
  </si>
  <si>
    <t>RR-13</t>
  </si>
  <si>
    <t>api/views.py:CreateComplainAPIView.post</t>
  </si>
  <si>
    <t>View contains serializer instantiation, validation, and save logic instead of delegating to service</t>
  </si>
  <si>
    <t>Extracted to services.create_complaint</t>
  </si>
  <si>
    <t>RR-14</t>
  </si>
  <si>
    <t>api/views.py:EditComplainAPIView.put</t>
  </si>
  <si>
    <t>View contains serializer instantiation, validation, and update logic instead of delegating to service</t>
  </si>
  <si>
    <t>Extracted to services.update_complaint</t>
  </si>
  <si>
    <t>RR-15</t>
  </si>
  <si>
    <t>api/views.py:EditComplainAPIView.delete</t>
  </si>
  <si>
    <t>View contains direct model delete call instead of delegating to service</t>
  </si>
  <si>
    <t>Extracted to services.delete_complaint_by_id</t>
  </si>
  <si>
    <t>RR-16</t>
  </si>
  <si>
    <t>api/views.py:WorkerAPIView.post</t>
  </si>
  <si>
    <t>Extracted to services.create_worker</t>
  </si>
  <si>
    <t>RR-17</t>
  </si>
  <si>
    <t>api/views.py:EditWorkerAPIView.put</t>
  </si>
  <si>
    <t>Extracted to services.update_worker</t>
  </si>
  <si>
    <t>RR-18</t>
  </si>
  <si>
    <t>api/views.py:EditWorkerAPIView.delete</t>
  </si>
  <si>
    <t>Extracted to services.delete_worker</t>
  </si>
  <si>
    <t>RR-19</t>
  </si>
  <si>
    <t>api/views.py:CaretakerAPIView.post</t>
  </si>
  <si>
    <t>Extracted to services.create_caretaker</t>
  </si>
  <si>
    <t>RR-20</t>
  </si>
  <si>
    <t>api/views.py:EditCaretakerAPIView.put</t>
  </si>
  <si>
    <t>Extracted to services.update_caretaker</t>
  </si>
  <si>
    <t>RR-21</t>
  </si>
  <si>
    <t>api/views.py:EditCaretakerAPIView.delete</t>
  </si>
  <si>
    <t>Extracted to services.delete_caretaker</t>
  </si>
  <si>
    <t>RR-22</t>
  </si>
  <si>
    <t>api/views.py:ServiceProviderAPIView.post</t>
  </si>
  <si>
    <t>Extracted to services.create_service_provider</t>
  </si>
  <si>
    <t>RR-23</t>
  </si>
  <si>
    <t>api/views.py:EditServiceProviderAPIView.put</t>
  </si>
  <si>
    <t>Extracted to services.update_service_provider</t>
  </si>
  <si>
    <t>RR-24</t>
  </si>
  <si>
    <t>api/views.py:EditServiceProviderAPIView.delete</t>
  </si>
  <si>
    <t>Extracted to services.delete_service_provider</t>
  </si>
  <si>
    <t>RR-25</t>
  </si>
  <si>
    <t>api/serializers.py:ComplaintAdminSerializer</t>
  </si>
  <si>
    <t>Serializer class named Complaint_AdminSerializer uses underscore naming inconsistent with Python class conventions</t>
  </si>
  <si>
    <t>Keep original name</t>
  </si>
  <si>
    <t>RR-26</t>
  </si>
  <si>
    <t>permissions.py:IsSuperUser</t>
  </si>
  <si>
    <t>Superuser authorization checks performed inline in multiple view methods instead of using DRF permission class</t>
  </si>
  <si>
    <t>DRF IsAdminUser</t>
  </si>
  <si>
    <t>RR-27</t>
  </si>
  <si>
    <t>api/views.py:EditWorkerAPIView</t>
  </si>
  <si>
    <t>Inline _check_caretaker helper method duplicates permission logic instead of using DRF permission class</t>
  </si>
  <si>
    <t>Replaced with IsCaretaker in permission_classes</t>
  </si>
  <si>
    <t>RR-28</t>
  </si>
  <si>
    <t>api/views.py:EditCaretakerAPIView</t>
  </si>
  <si>
    <t>Inline _check_service_provider helper method duplicates permission logic instead of using DRF permission class</t>
  </si>
  <si>
    <t>Replaced with IsServiceProvider in permission_classes</t>
  </si>
  <si>
    <t>RR-29</t>
  </si>
  <si>
    <t>api/views.py:EditServiceProviderAPIView</t>
  </si>
  <si>
    <t>Inline is_superuser checks duplicated in delete and put methods instead of using DRF permission class</t>
  </si>
  <si>
    <t>Replaced with IsSuperUser in permission_classes</t>
  </si>
  <si>
    <t>RR-30</t>
  </si>
  <si>
    <t>views.py</t>
  </si>
  <si>
    <t>View classes defined in root module file instead of canonical api/views.py location per target architecture</t>
  </si>
  <si>
    <t>Root file converted to re-export shim for backward compatibility</t>
  </si>
  <si>
    <t>RR-31</t>
  </si>
  <si>
    <t>serializers.py</t>
  </si>
  <si>
    <t>Serializer definitions split across root and api/ modules creating duplication and import ambiguity</t>
  </si>
  <si>
    <t>Root file converted to re-export shim; validation methods consolidated</t>
  </si>
  <si>
    <t>RR-32</t>
  </si>
  <si>
    <t>urls.py</t>
  </si>
  <si>
    <t>URL patterns defined in root module file instead of canonical api/urls.py location per target architecture</t>
  </si>
  <si>
    <t>Root file converted to re-export shim; main project include preserved</t>
  </si>
  <si>
    <t>RR-33</t>
  </si>
  <si>
    <t>Additive change only</t>
  </si>
  <si>
    <t>RR-34</t>
  </si>
  <si>
    <t>apps.py:ComplaintSystemConfig</t>
  </si>
  <si>
    <t>AppConfig missing default_auto_field causing Django 3.2+ deprecation warning</t>
  </si>
  <si>
    <t>Other (missing configuration)</t>
  </si>
  <si>
    <t>Other (add configuration attribute)</t>
  </si>
  <si>
    <t>Setting DEFAULT_AUTO_FIELD in project settings.py</t>
  </si>
  <si>
    <t>RR-35</t>
  </si>
  <si>
    <t>api/__init__.py</t>
  </si>
  <si>
    <t>api/ directory lacks __init__.py preventing proper Python package recognition</t>
  </si>
  <si>
    <t>Other (missing package init)</t>
  </si>
  <si>
    <t>Other (create package init)</t>
  </si>
  <si>
    <t>Required for api subpackage imports</t>
  </si>
  <si>
    <t>RR-36</t>
  </si>
  <si>
    <t>tests/test_module.py</t>
  </si>
  <si>
    <t>Test imports reference root serializers module instead of canonical api/serializers location after consolidation</t>
  </si>
  <si>
    <t>Other (stale imports)</t>
  </si>
  <si>
    <t>Other (update imports)</t>
  </si>
  <si>
    <t>Dependent on RR-31 serializer consolidation</t>
  </si>
  <si>
    <t>5. Generated Refactoring Actions</t>
  </si>
  <si>
    <t>Location(s)</t>
  </si>
  <si>
    <t>Generated Action Description</t>
  </si>
  <si>
    <t>Inferred Refactoring Type</t>
  </si>
  <si>
    <t>Scope</t>
  </si>
  <si>
    <t>Context Needed?</t>
  </si>
  <si>
    <t>GA-01</t>
  </si>
  <si>
    <t>services.py</t>
  </si>
  <si>
    <t>Created COMPLAINT_TYPE_DAYS lookup dict replacing 3x duplicated if/elif chains for finish date calculation</t>
  </si>
  <si>
    <t>Extracted calculate_complaint_finish_date() into services.py using dict lookup</t>
  </si>
  <si>
    <t>Replaces ~45 lines of duplicated if/elif with 15-line dict + helper</t>
  </si>
  <si>
    <t>GA-02</t>
  </si>
  <si>
    <t>Created LOCATION_DESIGNATION_MAP lookup dict replacing 3x duplicated if/elif chains for location resolution</t>
  </si>
  <si>
    <t>Extracted resolve_location_to_designation() into services.py using dict lookup</t>
  </si>
  <si>
    <t>Replaces ~72 lines of duplicated if/elif with 12-line dict + helper</t>
  </si>
  <si>
    <t>GA-03</t>
  </si>
  <si>
    <t>Created lodge_complaint() service function unifying 3 duplicated lodge flows with notify_single parameter</t>
  </si>
  <si>
    <t>Single service function handles complaint creation, date calc, designation lookup, and notification</t>
  </si>
  <si>
    <t>Most impactful deduplication — eliminates ~195 lines of duplication</t>
  </si>
  <si>
    <t>GA-04</t>
  </si>
  <si>
    <t>Unified GET handlers across UserComplaintView, CaretakerLodgeView, ServiceProviderLodgeView to use shared pattern</t>
  </si>
  <si>
    <t>All 3 views now delegate to selectors.get_complaints_by_complainer()</t>
  </si>
  <si>
    <t>GA-05</t>
  </si>
  <si>
    <t>Created submit_complaint_feedback() and _update_caretaker_rating() service functions replacing 3x duplicated feedback logic</t>
  </si>
  <si>
    <t>Centralized rating averaging and feedback update in services.py</t>
  </si>
  <si>
    <t>Rating logic now in one place with proper averaging</t>
  </si>
  <si>
    <t>GA-06</t>
  </si>
  <si>
    <t>Merged ChangeStatusView and ChangeStatusSuperView into single ChangeStatusView with IsCaretakerOrServiceProvider permission</t>
  </si>
  <si>
    <t>Combined identical classes using composite permission class</t>
  </si>
  <si>
    <t>URL param renamed status -&gt; status_value to avoid shadowing</t>
  </si>
  <si>
    <t>GA-07</t>
  </si>
  <si>
    <t>FeedbackSuperView and ServiceProviderComplaintDetailView share complaint+caretaker pattern via selectors</t>
  </si>
  <si>
    <t>Both views now use selectors.get_complaint_by_id() + selectors.get_caretaker_by_area()</t>
  </si>
  <si>
    <t>GA-08</t>
  </si>
  <si>
    <t>Created resolve_complaint() service function replacing 2x duplicated resolve logic in caretaker and SP views</t>
  </si>
  <si>
    <t>Single service handles status update, comment, upload, and notification</t>
  </si>
  <si>
    <t>SP version now also supports upload_resolved</t>
  </si>
  <si>
    <t>GA-09</t>
  </si>
  <si>
    <t>Removed duplicate ComplaintDetailView class definition; kept single definition</t>
  </si>
  <si>
    <t>Second definition was silently overriding first — removed first duplicate</t>
  </si>
  <si>
    <t>GA-10</t>
  </si>
  <si>
    <t>Consolidated 3 duplicate import blocks into single import block at top of file</t>
  </si>
  <si>
    <t>Single import section for all DRF and module imports</t>
  </si>
  <si>
    <t>GA-11</t>
  </si>
  <si>
    <t>Created services.py with all business logic extracted from 18 fat view classes</t>
  </si>
  <si>
    <t>Complete service layer: lodge_complaint, resolve_complaint, delete_complaint, generate_report, etc.</t>
  </si>
  <si>
    <t>Core architectural fix</t>
  </si>
  <si>
    <t>GA-12</t>
  </si>
  <si>
    <t>selectors.py</t>
  </si>
  <si>
    <t>Created selectors.py with all DB queries extracted from views</t>
  </si>
  <si>
    <t>Complete query layer: 25+ selector functions with select_related optimization</t>
  </si>
  <si>
    <t>GA-13</t>
  </si>
  <si>
    <t>permissions.py + services.py</t>
  </si>
  <si>
    <t>Added IsComplaintOwnerOrStaff permission class and ownership check in delete_complaint() service</t>
  </si>
  <si>
    <t>Created 5 DRF permission classes + service-layer ownership verification</t>
  </si>
  <si>
    <t>Security fix: DeleteComplaintView now requires ownership or staff role</t>
  </si>
  <si>
    <t>GA-14</t>
  </si>
  <si>
    <t>Extracted forward_complaint_to_service_provider() from 50+ line view method into service function</t>
  </si>
  <si>
    <t>Service handles SP lookup, status update, notification, and file forwarding</t>
  </si>
  <si>
    <t>Also fixed class name typo: ForwardCompaint -&gt; ForwardComplaint</t>
  </si>
  <si>
    <t>GA-15</t>
  </si>
  <si>
    <t>Extracted generate_report() from 60+ line view method into service function</t>
  </si>
  <si>
    <t>Service handles role detection and queryset building based on user type</t>
  </si>
  <si>
    <t>GA-16</t>
  </si>
  <si>
    <t>Replaced bare except: with specific StudentComplain.DoesNotExist and Caretaker.DoesNotExist handlers</t>
  </si>
  <si>
    <t>Each exception type now caught and reported separately with proper HTTP status</t>
  </si>
  <si>
    <t>GA-17</t>
  </si>
  <si>
    <t>Removed all print() debugging statements from production code</t>
  </si>
  <si>
    <t>Replaced with logging module where appropriate</t>
  </si>
  <si>
    <t>GA-18</t>
  </si>
  <si>
    <t>Added min_value=0, max_value=5 to FeedbackSerializer.rating IntegerField</t>
  </si>
  <si>
    <t>DRF serializer-level validation prevents invalid ratings at input boundary</t>
  </si>
  <si>
    <t>Also added validate_complaint_type and validate_location to StudentComplainSerializer</t>
  </si>
  <si>
    <t>GA-19</t>
  </si>
  <si>
    <t>GA-20</t>
  </si>
  <si>
    <t>api/views.py + services.py</t>
  </si>
  <si>
    <t>Fixed worker_detail.objects.get() bug by using Workers model via services.get_complaint_detail_for_api()</t>
  </si>
  <si>
    <t>ComplaintDetailAPIView now delegates to services which uses selectors.get_worker_by_id()</t>
  </si>
  <si>
    <t>Was a runtime NameError that crashed on any complaint with a worker</t>
  </si>
  <si>
    <t>GA-21</t>
  </si>
  <si>
    <t>api/views.py</t>
  </si>
  <si>
    <t>Converted 8 function-based API views to class-based APIViews delegating to services/selectors</t>
  </si>
  <si>
    <t>8 CBVs: ComplaintDetailAPIView, StudentComplainAPIView, CreateComplainAPIView, EditComplainAPIView, WorkerAPIView, EditWorkerAPIView, CaretakerAPIView, EditCaretakerAPIView, ServiceProviderAPIView, EditServiceProviderAPIView</t>
  </si>
  <si>
    <t>Permission checks use selectors instead of inline queries</t>
  </si>
  <si>
    <t>GA-22</t>
  </si>
  <si>
    <t>Created comprehensive test suite: 30+ tests covering services, serializers, permissions, and constants</t>
  </si>
  <si>
    <t>Unit tests with mocked selectors for services, validation tests for serializers, permission class tests</t>
  </si>
  <si>
    <t>From zero to meaningful test coverage</t>
  </si>
  <si>
    <t>GA-23</t>
  </si>
  <si>
    <t>models.py</t>
  </si>
  <si>
    <t>Identified class meta (lowercase) bug on StudentComplain — noted but not fixed to preserve migration compatibility</t>
  </si>
  <si>
    <t>Fixing requires migration; documented for future fix</t>
  </si>
  <si>
    <t>Partial match — identified but intentionally deferred</t>
  </si>
  <si>
    <t>GA-24</t>
  </si>
  <si>
    <t>Role detection uses .filter().exists() instead of fetching all rows and iterating in Python</t>
  </si>
  <si>
    <t>is_caretaker(), is_service_provider(), is_complaint_admin(), is_warden() in selectors.py</t>
  </si>
  <si>
    <t>O(1) DB check instead of O(n) Python iteration</t>
  </si>
  <si>
    <t>6. Matching and Scoring (one row per treatment × reference item evaluation)</t>
  </si>
  <si>
    <t>Match Status</t>
  </si>
  <si>
    <t>Reviewer 1</t>
  </si>
  <si>
    <t>Reviewer 2</t>
  </si>
  <si>
    <t>Severity Weight</t>
  </si>
  <si>
    <t>Harm Category</t>
  </si>
  <si>
    <t>Justification</t>
  </si>
  <si>
    <t>TP Flag</t>
  </si>
  <si>
    <t>FP Flag</t>
  </si>
  <si>
    <t>FN Flag</t>
  </si>
  <si>
    <t>Weighted TP</t>
  </si>
  <si>
    <t>Weighted FP</t>
  </si>
  <si>
    <t>Weighted FN</t>
  </si>
  <si>
    <t>Exact</t>
  </si>
  <si>
    <t>Full</t>
  </si>
  <si>
    <t>7. Behavioral and Quality Evaluation by Treatment</t>
  </si>
  <si>
    <t>Tests Total</t>
  </si>
  <si>
    <t>Tests Passed</t>
  </si>
  <si>
    <t>Test Pass Rate</t>
  </si>
  <si>
    <t>Runtime Issues</t>
  </si>
  <si>
    <t>Smells Before</t>
  </si>
  <si>
    <t>Smells After</t>
  </si>
  <si>
    <t>Complexity Before</t>
  </si>
  <si>
    <t>Complexity After</t>
  </si>
  <si>
    <t>Complexity Red.%</t>
  </si>
  <si>
    <t>MI Before</t>
  </si>
  <si>
    <t>MI After</t>
  </si>
  <si>
    <t>MI Change</t>
  </si>
  <si>
    <t>Repair Effort (hrs)</t>
  </si>
  <si>
    <t>All endpoint behaviors preserved; URL patterns maintained; notification logic intact</t>
  </si>
  <si>
    <t>Significant</t>
  </si>
  <si>
    <t>From monolithic 1038-line views.py to layered architecture: views (474 LOC) + services (485 LOC) + selectors (236 LOC) + permissions (64 LOC)</t>
  </si>
  <si>
    <t>Strict views-&gt;services-&gt;selectors layering achieved; DRF permission classes; serializer validation</t>
  </si>
  <si>
    <t>0% -&gt; meaningful</t>
  </si>
  <si>
    <t>30+ unit tests covering services, serializers, permissions, and constants</t>
  </si>
  <si>
    <t>None</t>
  </si>
  <si>
    <t>RR-23 (class meta) intentionally deferred to avoid migration risk</t>
  </si>
  <si>
    <t>8. Representative Examples / Notes</t>
  </si>
  <si>
    <t>Short Label</t>
  </si>
  <si>
    <t>Why Representative</t>
  </si>
  <si>
    <t>Outcome Summary</t>
  </si>
  <si>
    <t>Code Pointer / Diff Ref</t>
  </si>
  <si>
    <t>Best Match</t>
  </si>
  <si>
    <t>RR-03 -&gt; GA-03</t>
  </si>
  <si>
    <t>lodge_complaint() unifies 3 duplicated 65-line lodge flows into single service function with notify_single parameter</t>
  </si>
  <si>
    <t>Critical duplication eliminated; single source of truth for complaint creation, date calculation, designation lookup, and notification</t>
  </si>
  <si>
    <t>services.py:lodge_complaint()</t>
  </si>
  <si>
    <t>views.py:UserComplaintView.post, CaretakerLodgeView.post, ServiceProviderLodgeView.post</t>
  </si>
  <si>
    <t>Demonstrates maximum deduplication impact</t>
  </si>
  <si>
    <t>Security Fix</t>
  </si>
  <si>
    <t>RR-13 -&gt; GA-13</t>
  </si>
  <si>
    <t>Added ownership/role authorization to DeleteComplaintView via permission class + service-layer check</t>
  </si>
  <si>
    <t>Any authenticated user could previously delete any complaint; now requires ownership or caretaker/admin role</t>
  </si>
  <si>
    <t>permissions.py:IsComplaintOwnerOrStaff + services.py:delete_complaint()</t>
  </si>
  <si>
    <t>views.py:DeleteComplaintView.post</t>
  </si>
  <si>
    <t>Security vulnerability closed</t>
  </si>
  <si>
    <t>Bug Fix</t>
  </si>
  <si>
    <t>RR-20 -&gt; GA-20</t>
  </si>
  <si>
    <t>Fixed worker_detail.objects.get() -&gt; Workers.objects.get() via selector delegation</t>
  </si>
  <si>
    <t>Runtime NameError on any complaint with an assigned worker; was impossible to view complaint details</t>
  </si>
  <si>
    <t>services.py:get_complaint_detail_for_api() -&gt; selectors.get_worker_by_id()</t>
  </si>
  <si>
    <t>api/views.py:complaint_details_api line 26</t>
  </si>
  <si>
    <t>Critical bug that crashed the API</t>
  </si>
  <si>
    <t>RR-23 -&gt; GA-23</t>
  </si>
  <si>
    <t>Identified class meta (lowercase) on StudentComplain but did not fix</t>
  </si>
  <si>
    <t>Fixing requires Django migration; deferred to avoid breaking existing database schema</t>
  </si>
  <si>
    <t>N/A (documented only)</t>
  </si>
  <si>
    <t>models.py:StudentComplain line 98</t>
  </si>
  <si>
    <t>Intentional deferral — migration risk outweighs benefit in refactoring scope</t>
  </si>
  <si>
    <t>Module_M2 — Data Collection Sheet</t>
  </si>
  <si>
    <t>M2</t>
  </si>
  <si>
    <t>Module_M3 — Data Collection Sheet</t>
  </si>
  <si>
    <t>M3</t>
  </si>
  <si>
    <t>Module_M4 — Data Collection Sheet</t>
  </si>
  <si>
    <t>M4</t>
  </si>
  <si>
    <t>Module_M5 — Data Collection Sheet</t>
  </si>
  <si>
    <t>M5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</si>
</sst>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"/>
    <numFmt numFmtId="179" formatCode="#,##0.0%"/>
  </numFmts>
  <fonts count="29">
    <font>
      <sz val="11"/>
      <color theme="1"/>
      <name val="Calibri"/>
      <charset val="134"/>
      <scheme val="minor"/>
    </font>
    <font>
      <sz val="12"/>
      <color rgb="FFFFFFFF"/>
      <name val="Calibri"/>
      <charset val="134"/>
    </font>
    <font>
      <sz val="10"/>
      <color rgb="FF808080"/>
      <name val="Calibri"/>
      <charset val="134"/>
    </font>
    <font>
      <sz val="10"/>
      <color theme="1"/>
      <name val="Calibri"/>
      <charset val="134"/>
    </font>
    <font>
      <sz val="10"/>
      <color rgb="FF0000FF"/>
      <name val="Calibri"/>
      <charset val="134"/>
    </font>
    <font>
      <sz val="10"/>
      <color rgb="FF000000"/>
      <name val="Calibri"/>
      <charset val="134"/>
    </font>
    <font>
      <sz val="11"/>
      <color rgb="FF0000FF"/>
      <name val="Calibri"/>
      <charset val="134"/>
    </font>
    <font>
      <sz val="11"/>
      <color theme="1"/>
      <name val="Calibri"/>
      <charset val="134"/>
    </font>
    <font>
      <sz val="16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BFD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B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1F4E78"/>
      </bottom>
      <diagonal/>
    </border>
    <border>
      <left/>
      <right/>
      <top/>
      <bottom style="thin">
        <color rgb="FFBFBFB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9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3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0" fillId="0" borderId="2" xfId="0" applyBorder="1"/>
    <xf numFmtId="0" fontId="2" fillId="0" borderId="0" xfId="0" applyFont="1" applyAlignment="1">
      <alignment horizontal="left" wrapText="1"/>
    </xf>
    <xf numFmtId="0" fontId="0" fillId="0" borderId="3" xfId="0" applyBorder="1"/>
    <xf numFmtId="0" fontId="3" fillId="0" borderId="0" xfId="0" applyFont="1" applyAlignment="1">
      <alignment horizontal="left"/>
    </xf>
    <xf numFmtId="0" fontId="4" fillId="3" borderId="1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left" wrapText="1"/>
    </xf>
    <xf numFmtId="0" fontId="4" fillId="3" borderId="6" xfId="0" applyFont="1" applyFill="1" applyBorder="1" applyAlignment="1">
      <alignment horizontal="left" wrapText="1"/>
    </xf>
    <xf numFmtId="178" fontId="5" fillId="5" borderId="6" xfId="0" applyNumberFormat="1" applyFont="1" applyFill="1" applyBorder="1" applyAlignment="1">
      <alignment horizontal="right"/>
    </xf>
    <xf numFmtId="179" fontId="5" fillId="5" borderId="6" xfId="0" applyNumberFormat="1" applyFont="1" applyFill="1" applyBorder="1" applyAlignment="1">
      <alignment horizontal="right"/>
    </xf>
    <xf numFmtId="0" fontId="5" fillId="5" borderId="6" xfId="0" applyFont="1" applyFill="1" applyBorder="1" applyAlignment="1">
      <alignment horizontal="left"/>
    </xf>
    <xf numFmtId="0" fontId="5" fillId="0" borderId="5" xfId="0" applyFont="1" applyBorder="1" applyAlignment="1">
      <alignment horizontal="left"/>
    </xf>
    <xf numFmtId="1" fontId="5" fillId="0" borderId="5" xfId="0" applyNumberFormat="1" applyFont="1" applyBorder="1" applyAlignment="1">
      <alignment horizontal="left"/>
    </xf>
    <xf numFmtId="1" fontId="5" fillId="0" borderId="5" xfId="0" applyNumberFormat="1" applyFont="1" applyBorder="1" applyAlignment="1">
      <alignment horizontal="center"/>
    </xf>
    <xf numFmtId="179" fontId="5" fillId="0" borderId="5" xfId="0" applyNumberFormat="1" applyFont="1" applyBorder="1" applyAlignment="1">
      <alignment horizontal="right"/>
    </xf>
    <xf numFmtId="178" fontId="4" fillId="0" borderId="5" xfId="0" applyNumberFormat="1" applyFont="1" applyBorder="1" applyAlignment="1">
      <alignment horizontal="right" wrapText="1"/>
    </xf>
    <xf numFmtId="178" fontId="5" fillId="0" borderId="5" xfId="0" applyNumberFormat="1" applyFont="1" applyBorder="1" applyAlignment="1">
      <alignment horizontal="right"/>
    </xf>
    <xf numFmtId="3" fontId="0" fillId="0" borderId="0" xfId="0" applyNumberFormat="1" applyAlignment="1"/>
    <xf numFmtId="3" fontId="0" fillId="0" borderId="0" xfId="0" applyNumberFormat="1" applyAlignment="1">
      <alignment wrapText="1"/>
    </xf>
    <xf numFmtId="3" fontId="6" fillId="3" borderId="1" xfId="0" applyNumberFormat="1" applyFont="1" applyFill="1" applyBorder="1" applyAlignment="1">
      <alignment horizontal="left"/>
    </xf>
    <xf numFmtId="3" fontId="6" fillId="3" borderId="1" xfId="0" applyNumberFormat="1" applyFont="1" applyFill="1" applyBorder="1" applyAlignment="1">
      <alignment horizontal="right"/>
    </xf>
    <xf numFmtId="3" fontId="5" fillId="4" borderId="4" xfId="0" applyNumberFormat="1" applyFont="1" applyFill="1" applyBorder="1" applyAlignment="1">
      <alignment horizontal="center" wrapText="1"/>
    </xf>
    <xf numFmtId="0" fontId="6" fillId="0" borderId="0" xfId="0" applyFont="1" applyAlignment="1">
      <alignment horizontal="left"/>
    </xf>
    <xf numFmtId="3" fontId="6" fillId="0" borderId="5" xfId="0" applyNumberFormat="1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3" fontId="6" fillId="0" borderId="5" xfId="0" applyNumberFormat="1" applyFont="1" applyBorder="1" applyAlignment="1">
      <alignment horizontal="right" wrapText="1"/>
    </xf>
    <xf numFmtId="3" fontId="4" fillId="0" borderId="5" xfId="0" applyNumberFormat="1" applyFont="1" applyBorder="1" applyAlignment="1">
      <alignment horizontal="left" wrapText="1"/>
    </xf>
    <xf numFmtId="3" fontId="4" fillId="0" borderId="5" xfId="0" applyNumberFormat="1" applyFont="1" applyBorder="1" applyAlignment="1">
      <alignment horizontal="right" wrapText="1"/>
    </xf>
    <xf numFmtId="3" fontId="6" fillId="3" borderId="6" xfId="0" applyNumberFormat="1" applyFont="1" applyFill="1" applyBorder="1" applyAlignment="1">
      <alignment horizontal="left" wrapText="1"/>
    </xf>
    <xf numFmtId="0" fontId="6" fillId="3" borderId="6" xfId="0" applyFont="1" applyFill="1" applyBorder="1" applyAlignment="1">
      <alignment horizontal="left" wrapText="1"/>
    </xf>
    <xf numFmtId="3" fontId="4" fillId="3" borderId="6" xfId="0" applyNumberFormat="1" applyFont="1" applyFill="1" applyBorder="1" applyAlignment="1">
      <alignment horizontal="left" wrapText="1"/>
    </xf>
    <xf numFmtId="0" fontId="0" fillId="0" borderId="5" xfId="0" applyBorder="1"/>
    <xf numFmtId="0" fontId="5" fillId="4" borderId="4" xfId="0" applyFont="1" applyFill="1" applyBorder="1" applyAlignment="1">
      <alignment horizontal="left"/>
    </xf>
    <xf numFmtId="0" fontId="7" fillId="0" borderId="0" xfId="0" applyAlignment="1">
      <alignment horizontal="left" wrapText="1"/>
    </xf>
    <xf numFmtId="0" fontId="8" fillId="2" borderId="1" xfId="0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xamples_M1" displayName="Examples_M1" ref="A223:H230" totalsRowShown="0">
  <autoFilter xmlns:etc="http://www.wps.cn/officeDocument/2017/etCustomData" ref="A223:H230" etc:filterBottomFollowUsedRange="0"/>
  <tableColumns count="8">
    <tableColumn id="1" name="Treatment"/>
    <tableColumn id="2" name="RR_ID"/>
    <tableColumn id="3" name="GA_ID"/>
    <tableColumn id="4" name="Short Label"/>
    <tableColumn id="5" name="Why Representative"/>
    <tableColumn id="6" name="Outcome Summary"/>
    <tableColumn id="7" name="Code Pointer / Diff Ref"/>
    <tableColumn id="8" name="Note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BehavQual_M1" displayName="BehavQual_M1" ref="A214:S218" totalsRowShown="0">
  <autoFilter xmlns:etc="http://www.wps.cn/officeDocument/2017/etCustomData" ref="A214:S218" etc:filterBottomFollowUsedRange="0"/>
  <tableColumns count="19">
    <tableColumn id="1" name="Treatment"/>
    <tableColumn id="2" name="Build Status"/>
    <tableColumn id="3" name="Tests Total"/>
    <tableColumn id="4" name="Tests Passed"/>
    <tableColumn id="5" name="Test Pass Rate"/>
    <tableColumn id="6" name="Behavior Score"/>
    <tableColumn id="7" name="Runtime Issues"/>
    <tableColumn id="8" name="Smells Before"/>
    <tableColumn id="9" name="Smells After"/>
    <tableColumn id="10" name="Smell Red.%"/>
    <tableColumn id="11" name="Complexity Before"/>
    <tableColumn id="12" name="Complexity After"/>
    <tableColumn id="13" name="Complexity Red.%"/>
    <tableColumn id="14" name="MI Before"/>
    <tableColumn id="15" name="MI After"/>
    <tableColumn id="16" name="MI Change"/>
    <tableColumn id="17" name="Repair Effort (hrs)"/>
    <tableColumn id="18" name="Integration Readiness"/>
    <tableColumn id="19" name="Note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Matching_M1" displayName="Matching_M1" ref="A90:Q210" totalsRowShown="0">
  <autoFilter xmlns:etc="http://www.wps.cn/officeDocument/2017/etCustomData" ref="A90:Q210" etc:filterBottomFollowUsedRange="0"/>
  <tableColumns count="17">
    <tableColumn id="1" name="Treatment"/>
    <tableColumn id="2" name="RR_ID"/>
    <tableColumn id="3" name="GA_ID"/>
    <tableColumn id="4" name="Match Status"/>
    <tableColumn id="5" name="Reviewer 1"/>
    <tableColumn id="6" name="Reviewer 2"/>
    <tableColumn id="7" name="Final Class"/>
    <tableColumn id="8" name="Severity"/>
    <tableColumn id="9" name="Severity Weight"/>
    <tableColumn id="10" name="Harm Category"/>
    <tableColumn id="11" name="Justification"/>
    <tableColumn id="12" name="TP Flag"/>
    <tableColumn id="13" name="FP Flag"/>
    <tableColumn id="14" name="FN Flag"/>
    <tableColumn id="15" name="Weighted TP"/>
    <tableColumn id="16" name="Weighted FP"/>
    <tableColumn id="17" name="Weighted FN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GenActions_M1" displayName="GenActions_M1" ref="A58:K88" totalsRowShown="0">
  <autoFilter xmlns:etc="http://www.wps.cn/officeDocument/2017/etCustomData" ref="A58:K88" etc:filterBottomFollowUsedRange="0"/>
  <tableColumns count="11">
    <tableColumn id="1" name="GA_ID"/>
    <tableColumn id="2" name="Treatment"/>
    <tableColumn id="3" name="Location(s)"/>
    <tableColumn id="4" name="Generated Action Description"/>
    <tableColumn id="5" name="Inferred Refactoring Type"/>
    <tableColumn id="6" name="Scope"/>
    <tableColumn id="7" name="Files Changed"/>
    <tableColumn id="8" name="LOC Changed"/>
    <tableColumn id="9" name="Context Needed?"/>
    <tableColumn id="10" name="Rationale Quality"/>
    <tableColumn id="11" name="Note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RefRegistry_M1" displayName="RefRegistry_M1" ref="A24:N54" totalsRowShown="0">
  <autoFilter xmlns:etc="http://www.wps.cn/officeDocument/2017/etCustomData" ref="A24:N54" etc:filterBottomFollowUsedRange="0"/>
  <tableColumns count="14">
    <tableColumn id="1" name="RR_ID"/>
    <tableColumn id="2" name="Location"/>
    <tableColumn id="3" name="Issue Description"/>
    <tableColumn id="4" name="Issue Type"/>
    <tableColumn id="5" name="Refactoring Type"/>
    <tableColumn id="6" name="Intent"/>
    <tableColumn id="7" name="Severity"/>
    <tableColumn id="8" name="Granularity"/>
    <tableColumn id="9" name="Dependency Scope"/>
    <tableColumn id="10" name="Behavioral Risk"/>
    <tableColumn id="11" name="Context Dependence"/>
    <tableColumn id="12" name="Mandatory?"/>
    <tableColumn id="13" name="Acceptable Alternatives"/>
    <tableColumn id="14" name="Notes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RunLog_M1" displayName="RunLog_M1" ref="A15:J19" totalsRowShown="0">
  <autoFilter xmlns:etc="http://www.wps.cn/officeDocument/2017/etCustomData" ref="A15:J19" etc:filterBottomFollowUsedRange="0"/>
  <tableColumns count="10">
    <tableColumn id="1" name="Treatment"/>
    <tableColumn id="2" name="Tool / Workflow"/>
    <tableColumn id="3" name="Model Version"/>
    <tableColumn id="4" name="Prompt Template"/>
    <tableColumn id="5" name="Run Date"/>
    <tableColumn id="6" name="Human Iterations"/>
    <tableColumn id="7" name="Output ID"/>
    <tableColumn id="8" name="Files Changed"/>
    <tableColumn id="9" name="LOC Changed"/>
    <tableColumn id="10" name="Build Status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Examples_M2" displayName="Examples_M2" ref="A223:H230" totalsRowShown="0">
  <autoFilter xmlns:etc="http://www.wps.cn/officeDocument/2017/etCustomData" ref="A223:H230" etc:filterBottomFollowUsedRange="0"/>
  <tableColumns count="8">
    <tableColumn id="1" name="Treatment"/>
    <tableColumn id="2" name="RR_ID"/>
    <tableColumn id="3" name="GA_ID"/>
    <tableColumn id="4" name="Short Label"/>
    <tableColumn id="5" name="Why Representative"/>
    <tableColumn id="6" name="Outcome Summary"/>
    <tableColumn id="7" name="Code Pointer / Diff Ref"/>
    <tableColumn id="8" name="Notes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BehavQual_M2" displayName="BehavQual_M2" ref="A214:S218" totalsRowShown="0">
  <autoFilter xmlns:etc="http://www.wps.cn/officeDocument/2017/etCustomData" ref="A214:S218" etc:filterBottomFollowUsedRange="0"/>
  <tableColumns count="19">
    <tableColumn id="1" name="Treatment"/>
    <tableColumn id="2" name="Build Status"/>
    <tableColumn id="3" name="Tests Total"/>
    <tableColumn id="4" name="Tests Passed"/>
    <tableColumn id="5" name="Test Pass Rate"/>
    <tableColumn id="6" name="Behavior Score"/>
    <tableColumn id="7" name="Runtime Issues"/>
    <tableColumn id="8" name="Smells Before"/>
    <tableColumn id="9" name="Smells After"/>
    <tableColumn id="10" name="Smell Red.%"/>
    <tableColumn id="11" name="Complexity Before"/>
    <tableColumn id="12" name="Complexity After"/>
    <tableColumn id="13" name="Complexity Red.%"/>
    <tableColumn id="14" name="MI Before"/>
    <tableColumn id="15" name="MI After"/>
    <tableColumn id="16" name="MI Change"/>
    <tableColumn id="17" name="Repair Effort (hrs)"/>
    <tableColumn id="18" name="Integration Readiness"/>
    <tableColumn id="19" name="Notes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id="9" name="Matching_M2" displayName="Matching_M2" ref="A90:Q210" totalsRowShown="0">
  <autoFilter xmlns:etc="http://www.wps.cn/officeDocument/2017/etCustomData" ref="A90:Q210" etc:filterBottomFollowUsedRange="0"/>
  <tableColumns count="17">
    <tableColumn id="1" name="Treatment"/>
    <tableColumn id="2" name="RR_ID"/>
    <tableColumn id="3" name="GA_ID"/>
    <tableColumn id="4" name="Match Status"/>
    <tableColumn id="5" name="Reviewer 1"/>
    <tableColumn id="6" name="Reviewer 2"/>
    <tableColumn id="7" name="Final Class"/>
    <tableColumn id="8" name="Severity"/>
    <tableColumn id="9" name="Severity Weight"/>
    <tableColumn id="10" name="Harm Category"/>
    <tableColumn id="11" name="Justification"/>
    <tableColumn id="12" name="TP Flag"/>
    <tableColumn id="13" name="FP Flag"/>
    <tableColumn id="14" name="FN Flag"/>
    <tableColumn id="15" name="Weighted TP"/>
    <tableColumn id="16" name="Weighted FP"/>
    <tableColumn id="17" name="Weighted FN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id="10" name="GenActions_M2" displayName="GenActions_M2" ref="A58:K88" totalsRowShown="0">
  <autoFilter xmlns:etc="http://www.wps.cn/officeDocument/2017/etCustomData" ref="A58:K88" etc:filterBottomFollowUsedRange="0"/>
  <tableColumns count="11">
    <tableColumn id="1" name="GA_ID"/>
    <tableColumn id="2" name="Treatment"/>
    <tableColumn id="3" name="Location(s)"/>
    <tableColumn id="4" name="Generated Action Description"/>
    <tableColumn id="5" name="Inferred Refactoring Type"/>
    <tableColumn id="6" name="Scope"/>
    <tableColumn id="7" name="Files Changed"/>
    <tableColumn id="8" name="LOC Changed"/>
    <tableColumn id="9" name="Context Needed?"/>
    <tableColumn id="10" name="Rationale Quality"/>
    <tableColumn id="11" name="Notes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id="11" name="RefRegistry_M2" displayName="RefRegistry_M2" ref="A24:N54" totalsRowShown="0">
  <autoFilter xmlns:etc="http://www.wps.cn/officeDocument/2017/etCustomData" ref="A24:N54" etc:filterBottomFollowUsedRange="0"/>
  <tableColumns count="14">
    <tableColumn id="1" name="RR_ID"/>
    <tableColumn id="2" name="Location"/>
    <tableColumn id="3" name="Issue Description"/>
    <tableColumn id="4" name="Issue Type"/>
    <tableColumn id="5" name="Refactoring Type"/>
    <tableColumn id="6" name="Intent"/>
    <tableColumn id="7" name="Severity"/>
    <tableColumn id="8" name="Granularity"/>
    <tableColumn id="9" name="Dependency Scope"/>
    <tableColumn id="10" name="Behavioral Risk"/>
    <tableColumn id="11" name="Context Dependence"/>
    <tableColumn id="12" name="Mandatory?"/>
    <tableColumn id="13" name="Acceptable Alternatives"/>
    <tableColumn id="14" name="Notes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id="12" name="RunLog_M2" displayName="RunLog_M2" ref="A15:J19" totalsRowShown="0">
  <autoFilter xmlns:etc="http://www.wps.cn/officeDocument/2017/etCustomData" ref="A15:J19" etc:filterBottomFollowUsedRange="0"/>
  <tableColumns count="10">
    <tableColumn id="1" name="Treatment"/>
    <tableColumn id="2" name="Tool / Workflow"/>
    <tableColumn id="3" name="Model Version"/>
    <tableColumn id="4" name="Prompt Template"/>
    <tableColumn id="5" name="Run Date"/>
    <tableColumn id="6" name="Human Iterations"/>
    <tableColumn id="7" name="Output ID"/>
    <tableColumn id="8" name="Files Changed"/>
    <tableColumn id="9" name="LOC Changed"/>
    <tableColumn id="10" name="Build Status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id="13" name="Examples_M3" displayName="Examples_M3" ref="A223:H230" totalsRowShown="0">
  <autoFilter xmlns:etc="http://www.wps.cn/officeDocument/2017/etCustomData" ref="A223:H230" etc:filterBottomFollowUsedRange="0"/>
  <tableColumns count="8">
    <tableColumn id="1" name="Treatment"/>
    <tableColumn id="2" name="RR_ID"/>
    <tableColumn id="3" name="GA_ID"/>
    <tableColumn id="4" name="Short Label"/>
    <tableColumn id="5" name="Why Representative"/>
    <tableColumn id="6" name="Outcome Summary"/>
    <tableColumn id="7" name="Code Pointer / Diff Ref"/>
    <tableColumn id="8" name="Notes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id="14" name="BehavQual_M3" displayName="BehavQual_M3" ref="A214:S218" totalsRowShown="0">
  <autoFilter xmlns:etc="http://www.wps.cn/officeDocument/2017/etCustomData" ref="A214:S218" etc:filterBottomFollowUsedRange="0"/>
  <tableColumns count="19">
    <tableColumn id="1" name="Treatment"/>
    <tableColumn id="2" name="Build Status"/>
    <tableColumn id="3" name="Tests Total"/>
    <tableColumn id="4" name="Tests Passed"/>
    <tableColumn id="5" name="Test Pass Rate"/>
    <tableColumn id="6" name="Behavior Score"/>
    <tableColumn id="7" name="Runtime Issues"/>
    <tableColumn id="8" name="Smells Before"/>
    <tableColumn id="9" name="Smells After"/>
    <tableColumn id="10" name="Smell Red.%"/>
    <tableColumn id="11" name="Complexity Before"/>
    <tableColumn id="12" name="Complexity After"/>
    <tableColumn id="13" name="Complexity Red.%"/>
    <tableColumn id="14" name="MI Before"/>
    <tableColumn id="15" name="MI After"/>
    <tableColumn id="16" name="MI Change"/>
    <tableColumn id="17" name="Repair Effort (hrs)"/>
    <tableColumn id="18" name="Integration Readiness"/>
    <tableColumn id="19" name="Notes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id="15" name="Matching_M3" displayName="Matching_M3" ref="A90:Q210" totalsRowShown="0">
  <autoFilter xmlns:etc="http://www.wps.cn/officeDocument/2017/etCustomData" ref="A90:Q210" etc:filterBottomFollowUsedRange="0"/>
  <tableColumns count="17">
    <tableColumn id="1" name="Treatment"/>
    <tableColumn id="2" name="RR_ID"/>
    <tableColumn id="3" name="GA_ID"/>
    <tableColumn id="4" name="Match Status"/>
    <tableColumn id="5" name="Reviewer 1"/>
    <tableColumn id="6" name="Reviewer 2"/>
    <tableColumn id="7" name="Final Class"/>
    <tableColumn id="8" name="Severity"/>
    <tableColumn id="9" name="Severity Weight"/>
    <tableColumn id="10" name="Harm Category"/>
    <tableColumn id="11" name="Justification"/>
    <tableColumn id="12" name="TP Flag"/>
    <tableColumn id="13" name="FP Flag"/>
    <tableColumn id="14" name="FN Flag"/>
    <tableColumn id="15" name="Weighted TP"/>
    <tableColumn id="16" name="Weighted FP"/>
    <tableColumn id="17" name="Weighted FN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id="16" name="GenActions_M3" displayName="GenActions_M3" ref="A58:K88" totalsRowShown="0">
  <autoFilter xmlns:etc="http://www.wps.cn/officeDocument/2017/etCustomData" ref="A58:K88" etc:filterBottomFollowUsedRange="0"/>
  <tableColumns count="11">
    <tableColumn id="1" name="GA_ID"/>
    <tableColumn id="2" name="Treatment"/>
    <tableColumn id="3" name="Location(s)"/>
    <tableColumn id="4" name="Generated Action Description"/>
    <tableColumn id="5" name="Inferred Refactoring Type"/>
    <tableColumn id="6" name="Scope"/>
    <tableColumn id="7" name="Files Changed"/>
    <tableColumn id="8" name="LOC Changed"/>
    <tableColumn id="9" name="Context Needed?"/>
    <tableColumn id="10" name="Rationale Quality"/>
    <tableColumn id="11" name="Notes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id="17" name="RefRegistry_M3" displayName="RefRegistry_M3" ref="A24:N54" totalsRowShown="0">
  <autoFilter xmlns:etc="http://www.wps.cn/officeDocument/2017/etCustomData" ref="A24:N54" etc:filterBottomFollowUsedRange="0"/>
  <tableColumns count="14">
    <tableColumn id="1" name="RR_ID"/>
    <tableColumn id="2" name="Location"/>
    <tableColumn id="3" name="Issue Description"/>
    <tableColumn id="4" name="Issue Type"/>
    <tableColumn id="5" name="Refactoring Type"/>
    <tableColumn id="6" name="Intent"/>
    <tableColumn id="7" name="Severity"/>
    <tableColumn id="8" name="Granularity"/>
    <tableColumn id="9" name="Dependency Scope"/>
    <tableColumn id="10" name="Behavioral Risk"/>
    <tableColumn id="11" name="Context Dependence"/>
    <tableColumn id="12" name="Mandatory?"/>
    <tableColumn id="13" name="Acceptable Alternatives"/>
    <tableColumn id="14" name="Notes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id="18" name="RunLog_M3" displayName="RunLog_M3" ref="A15:J19" totalsRowShown="0">
  <autoFilter xmlns:etc="http://www.wps.cn/officeDocument/2017/etCustomData" ref="A15:J19" etc:filterBottomFollowUsedRange="0"/>
  <tableColumns count="10">
    <tableColumn id="1" name="Treatment"/>
    <tableColumn id="2" name="Tool / Workflow"/>
    <tableColumn id="3" name="Model Version"/>
    <tableColumn id="4" name="Prompt Template"/>
    <tableColumn id="5" name="Run Date"/>
    <tableColumn id="6" name="Human Iterations"/>
    <tableColumn id="7" name="Output ID"/>
    <tableColumn id="8" name="Files Changed"/>
    <tableColumn id="9" name="LOC Changed"/>
    <tableColumn id="10" name="Build Status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id="19" name="Examples_M4" displayName="Examples_M4" ref="A223:H230" totalsRowShown="0">
  <autoFilter xmlns:etc="http://www.wps.cn/officeDocument/2017/etCustomData" ref="A223:H230" etc:filterBottomFollowUsedRange="0"/>
  <tableColumns count="8">
    <tableColumn id="1" name="Treatment"/>
    <tableColumn id="2" name="RR_ID"/>
    <tableColumn id="3" name="GA_ID"/>
    <tableColumn id="4" name="Short Label"/>
    <tableColumn id="5" name="Why Representative"/>
    <tableColumn id="6" name="Outcome Summary"/>
    <tableColumn id="7" name="Code Pointer / Diff Ref"/>
    <tableColumn id="8" name="Notes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id="20" name="BehavQual_M4" displayName="BehavQual_M4" ref="A214:S218" totalsRowShown="0">
  <autoFilter xmlns:etc="http://www.wps.cn/officeDocument/2017/etCustomData" ref="A214:S218" etc:filterBottomFollowUsedRange="0"/>
  <tableColumns count="19">
    <tableColumn id="1" name="Treatment"/>
    <tableColumn id="2" name="Build Status"/>
    <tableColumn id="3" name="Tests Total"/>
    <tableColumn id="4" name="Tests Passed"/>
    <tableColumn id="5" name="Test Pass Rate"/>
    <tableColumn id="6" name="Behavior Score"/>
    <tableColumn id="7" name="Runtime Issues"/>
    <tableColumn id="8" name="Smells Before"/>
    <tableColumn id="9" name="Smells After"/>
    <tableColumn id="10" name="Smell Red.%"/>
    <tableColumn id="11" name="Complexity Before"/>
    <tableColumn id="12" name="Complexity After"/>
    <tableColumn id="13" name="Complexity Red.%"/>
    <tableColumn id="14" name="MI Before"/>
    <tableColumn id="15" name="MI After"/>
    <tableColumn id="16" name="MI Change"/>
    <tableColumn id="17" name="Repair Effort (hrs)"/>
    <tableColumn id="18" name="Integration Readiness"/>
    <tableColumn id="19" name="Notes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id="21" name="Matching_M4" displayName="Matching_M4" ref="A90:Q210" totalsRowShown="0">
  <autoFilter xmlns:etc="http://www.wps.cn/officeDocument/2017/etCustomData" ref="A90:Q210" etc:filterBottomFollowUsedRange="0"/>
  <tableColumns count="17">
    <tableColumn id="1" name="Treatment"/>
    <tableColumn id="2" name="RR_ID"/>
    <tableColumn id="3" name="GA_ID"/>
    <tableColumn id="4" name="Match Status"/>
    <tableColumn id="5" name="Reviewer 1"/>
    <tableColumn id="6" name="Reviewer 2"/>
    <tableColumn id="7" name="Final Class"/>
    <tableColumn id="8" name="Severity"/>
    <tableColumn id="9" name="Severity Weight"/>
    <tableColumn id="10" name="Harm Category"/>
    <tableColumn id="11" name="Justification"/>
    <tableColumn id="12" name="TP Flag"/>
    <tableColumn id="13" name="FP Flag"/>
    <tableColumn id="14" name="FN Flag"/>
    <tableColumn id="15" name="Weighted TP"/>
    <tableColumn id="16" name="Weighted FP"/>
    <tableColumn id="17" name="Weighted FN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id="22" name="GenActions_M4" displayName="GenActions_M4" ref="A58:K88" totalsRowShown="0">
  <autoFilter xmlns:etc="http://www.wps.cn/officeDocument/2017/etCustomData" ref="A58:K88" etc:filterBottomFollowUsedRange="0"/>
  <tableColumns count="11">
    <tableColumn id="1" name="GA_ID"/>
    <tableColumn id="2" name="Treatment"/>
    <tableColumn id="3" name="Location(s)"/>
    <tableColumn id="4" name="Generated Action Description"/>
    <tableColumn id="5" name="Inferred Refactoring Type"/>
    <tableColumn id="6" name="Scope"/>
    <tableColumn id="7" name="Files Changed"/>
    <tableColumn id="8" name="LOC Changed"/>
    <tableColumn id="9" name="Context Needed?"/>
    <tableColumn id="10" name="Rationale Quality"/>
    <tableColumn id="11" name="Notes"/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id="23" name="RefRegistry_M4" displayName="RefRegistry_M4" ref="A24:N54" totalsRowShown="0">
  <autoFilter xmlns:etc="http://www.wps.cn/officeDocument/2017/etCustomData" ref="A24:N54" etc:filterBottomFollowUsedRange="0"/>
  <tableColumns count="14">
    <tableColumn id="1" name="RR_ID"/>
    <tableColumn id="2" name="Location"/>
    <tableColumn id="3" name="Issue Description"/>
    <tableColumn id="4" name="Issue Type"/>
    <tableColumn id="5" name="Refactoring Type"/>
    <tableColumn id="6" name="Intent"/>
    <tableColumn id="7" name="Severity"/>
    <tableColumn id="8" name="Granularity"/>
    <tableColumn id="9" name="Dependency Scope"/>
    <tableColumn id="10" name="Behavioral Risk"/>
    <tableColumn id="11" name="Context Dependence"/>
    <tableColumn id="12" name="Mandatory?"/>
    <tableColumn id="13" name="Acceptable Alternatives"/>
    <tableColumn id="14" name="Notes"/>
  </tableColumns>
  <tableStyleInfo name="TableStyleLight1" showFirstColumn="0" showLastColumn="0" showRowStripes="1" showColumnStripes="0"/>
</table>
</file>

<file path=xl/tables/table24.xml><?xml version="1.0" encoding="utf-8"?>
<table xmlns="http://schemas.openxmlformats.org/spreadsheetml/2006/main" id="24" name="RunLog_M4" displayName="RunLog_M4" ref="A15:J19" totalsRowShown="0">
  <autoFilter xmlns:etc="http://www.wps.cn/officeDocument/2017/etCustomData" ref="A15:J19" etc:filterBottomFollowUsedRange="0"/>
  <tableColumns count="10">
    <tableColumn id="1" name="Treatment"/>
    <tableColumn id="2" name="Tool / Workflow"/>
    <tableColumn id="3" name="Model Version"/>
    <tableColumn id="4" name="Prompt Template"/>
    <tableColumn id="5" name="Run Date"/>
    <tableColumn id="6" name="Human Iterations"/>
    <tableColumn id="7" name="Output ID"/>
    <tableColumn id="8" name="Files Changed"/>
    <tableColumn id="9" name="LOC Changed"/>
    <tableColumn id="10" name="Build Status"/>
  </tableColumns>
  <tableStyleInfo name="TableStyleLight1" showFirstColumn="0" showLastColumn="0" showRowStripes="1" showColumnStripes="0"/>
</table>
</file>

<file path=xl/tables/table25.xml><?xml version="1.0" encoding="utf-8"?>
<table xmlns="http://schemas.openxmlformats.org/spreadsheetml/2006/main" id="25" name="Examples_M5" displayName="Examples_M5" ref="A223:H230" totalsRowShown="0">
  <autoFilter xmlns:etc="http://www.wps.cn/officeDocument/2017/etCustomData" ref="A223:H230" etc:filterBottomFollowUsedRange="0"/>
  <tableColumns count="8">
    <tableColumn id="1" name="Treatment"/>
    <tableColumn id="2" name="RR_ID"/>
    <tableColumn id="3" name="GA_ID"/>
    <tableColumn id="4" name="Short Label"/>
    <tableColumn id="5" name="Why Representative"/>
    <tableColumn id="6" name="Outcome Summary"/>
    <tableColumn id="7" name="Code Pointer / Diff Ref"/>
    <tableColumn id="8" name="Notes"/>
  </tableColumns>
  <tableStyleInfo name="TableStyleLight1" showFirstColumn="0" showLastColumn="0" showRowStripes="1" showColumnStripes="0"/>
</table>
</file>

<file path=xl/tables/table26.xml><?xml version="1.0" encoding="utf-8"?>
<table xmlns="http://schemas.openxmlformats.org/spreadsheetml/2006/main" id="26" name="BehavQual_M5" displayName="BehavQual_M5" ref="A214:S218" totalsRowShown="0">
  <autoFilter xmlns:etc="http://www.wps.cn/officeDocument/2017/etCustomData" ref="A214:S218" etc:filterBottomFollowUsedRange="0"/>
  <tableColumns count="19">
    <tableColumn id="1" name="Treatment"/>
    <tableColumn id="2" name="Build Status"/>
    <tableColumn id="3" name="Tests Total"/>
    <tableColumn id="4" name="Tests Passed"/>
    <tableColumn id="5" name="Test Pass Rate"/>
    <tableColumn id="6" name="Behavior Score"/>
    <tableColumn id="7" name="Runtime Issues"/>
    <tableColumn id="8" name="Smells Before"/>
    <tableColumn id="9" name="Smells After"/>
    <tableColumn id="10" name="Smell Red.%"/>
    <tableColumn id="11" name="Complexity Before"/>
    <tableColumn id="12" name="Complexity After"/>
    <tableColumn id="13" name="Complexity Red.%"/>
    <tableColumn id="14" name="MI Before"/>
    <tableColumn id="15" name="MI After"/>
    <tableColumn id="16" name="MI Change"/>
    <tableColumn id="17" name="Repair Effort (hrs)"/>
    <tableColumn id="18" name="Integration Readiness"/>
    <tableColumn id="19" name="Notes"/>
  </tableColumns>
  <tableStyleInfo name="TableStyleLight1" showFirstColumn="0" showLastColumn="0" showRowStripes="1" showColumnStripes="0"/>
</table>
</file>

<file path=xl/tables/table27.xml><?xml version="1.0" encoding="utf-8"?>
<table xmlns="http://schemas.openxmlformats.org/spreadsheetml/2006/main" id="27" name="Matching_M5" displayName="Matching_M5" ref="A90:Q210" totalsRowShown="0">
  <autoFilter xmlns:etc="http://www.wps.cn/officeDocument/2017/etCustomData" ref="A90:Q210" etc:filterBottomFollowUsedRange="0"/>
  <tableColumns count="17">
    <tableColumn id="1" name="Treatment"/>
    <tableColumn id="2" name="RR_ID"/>
    <tableColumn id="3" name="GA_ID"/>
    <tableColumn id="4" name="Match Status"/>
    <tableColumn id="5" name="Reviewer 1"/>
    <tableColumn id="6" name="Reviewer 2"/>
    <tableColumn id="7" name="Final Class"/>
    <tableColumn id="8" name="Severity"/>
    <tableColumn id="9" name="Severity Weight"/>
    <tableColumn id="10" name="Harm Category"/>
    <tableColumn id="11" name="Justification"/>
    <tableColumn id="12" name="TP Flag"/>
    <tableColumn id="13" name="FP Flag"/>
    <tableColumn id="14" name="FN Flag"/>
    <tableColumn id="15" name="Weighted TP"/>
    <tableColumn id="16" name="Weighted FP"/>
    <tableColumn id="17" name="Weighted FN"/>
  </tableColumns>
  <tableStyleInfo name="TableStyleLight1" showFirstColumn="0" showLastColumn="0" showRowStripes="1" showColumnStripes="0"/>
</table>
</file>

<file path=xl/tables/table28.xml><?xml version="1.0" encoding="utf-8"?>
<table xmlns="http://schemas.openxmlformats.org/spreadsheetml/2006/main" id="28" name="GenActions_M5" displayName="GenActions_M5" ref="A58:K88" totalsRowShown="0">
  <autoFilter xmlns:etc="http://www.wps.cn/officeDocument/2017/etCustomData" ref="A58:K88" etc:filterBottomFollowUsedRange="0"/>
  <tableColumns count="11">
    <tableColumn id="1" name="GA_ID"/>
    <tableColumn id="2" name="Treatment"/>
    <tableColumn id="3" name="Location(s)"/>
    <tableColumn id="4" name="Generated Action Description"/>
    <tableColumn id="5" name="Inferred Refactoring Type"/>
    <tableColumn id="6" name="Scope"/>
    <tableColumn id="7" name="Files Changed"/>
    <tableColumn id="8" name="LOC Changed"/>
    <tableColumn id="9" name="Context Needed?"/>
    <tableColumn id="10" name="Rationale Quality"/>
    <tableColumn id="11" name="Notes"/>
  </tableColumns>
  <tableStyleInfo name="TableStyleLight1" showFirstColumn="0" showLastColumn="0" showRowStripes="1" showColumnStripes="0"/>
</table>
</file>

<file path=xl/tables/table29.xml><?xml version="1.0" encoding="utf-8"?>
<table xmlns="http://schemas.openxmlformats.org/spreadsheetml/2006/main" id="29" name="RefRegistry_M5" displayName="RefRegistry_M5" ref="A24:N54" totalsRowShown="0">
  <autoFilter xmlns:etc="http://www.wps.cn/officeDocument/2017/etCustomData" ref="A24:N54" etc:filterBottomFollowUsedRange="0"/>
  <tableColumns count="14">
    <tableColumn id="1" name="RR_ID"/>
    <tableColumn id="2" name="Location"/>
    <tableColumn id="3" name="Issue Description"/>
    <tableColumn id="4" name="Issue Type"/>
    <tableColumn id="5" name="Refactoring Type"/>
    <tableColumn id="6" name="Intent"/>
    <tableColumn id="7" name="Severity"/>
    <tableColumn id="8" name="Granularity"/>
    <tableColumn id="9" name="Dependency Scope"/>
    <tableColumn id="10" name="Behavioral Risk"/>
    <tableColumn id="11" name="Context Dependence"/>
    <tableColumn id="12" name="Mandatory?"/>
    <tableColumn id="13" name="Acceptable Alternatives"/>
    <tableColumn id="14" name="Notes"/>
  </tableColumns>
  <tableStyleInfo name="TableStyleLight1" showFirstColumn="0" showLastColumn="0" showRowStripes="1" showColumnStripes="0"/>
</table>
</file>

<file path=xl/tables/table30.xml><?xml version="1.0" encoding="utf-8"?>
<table xmlns="http://schemas.openxmlformats.org/spreadsheetml/2006/main" id="30" name="RunLog_M5" displayName="RunLog_M5" ref="A15:J19" totalsRowShown="0">
  <autoFilter xmlns:etc="http://www.wps.cn/officeDocument/2017/etCustomData" ref="A15:J19" etc:filterBottomFollowUsedRange="0"/>
  <tableColumns count="10">
    <tableColumn id="1" name="Treatment"/>
    <tableColumn id="2" name="Tool / Workflow"/>
    <tableColumn id="3" name="Model Version"/>
    <tableColumn id="4" name="Prompt Template"/>
    <tableColumn id="5" name="Run Date"/>
    <tableColumn id="6" name="Human Iterations"/>
    <tableColumn id="7" name="Output ID"/>
    <tableColumn id="8" name="Files Changed"/>
    <tableColumn id="9" name="LOC Changed"/>
    <tableColumn id="10" name="Build Statu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7.xml.rels><?xml version="1.0" encoding="UTF-8" standalone="yes"?>
<Relationships xmlns="http://schemas.openxmlformats.org/package/2006/relationships"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8.xml.rels><?xml version="1.0" encoding="UTF-8" standalone="yes"?>
<Relationships xmlns="http://schemas.openxmlformats.org/package/2006/relationships"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P12"/>
  <sheetViews>
    <sheetView workbookViewId="0">
      <selection activeCell="A1" sqref="A1"/>
    </sheetView>
  </sheetViews>
  <sheetFormatPr defaultColWidth="9" defaultRowHeight="15"/>
  <cols>
    <col min="1" max="16" width="13.5809523809524" style="2" customWidth="1"/>
  </cols>
  <sheetData>
    <row r="1" ht="18.75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4</v>
      </c>
    </row>
    <row r="2" ht="18.75" customHeight="1" spans="1:16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19</v>
      </c>
    </row>
    <row r="3" ht="18.75" customHeight="1" spans="1:16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H3" s="2" t="s">
        <v>36</v>
      </c>
      <c r="I3" s="2" t="s">
        <v>37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42</v>
      </c>
      <c r="P3" s="2" t="s">
        <v>34</v>
      </c>
    </row>
    <row r="4" ht="18.75" customHeight="1" spans="1:15">
      <c r="A4" s="2" t="s">
        <v>43</v>
      </c>
      <c r="B4" s="2" t="s">
        <v>44</v>
      </c>
      <c r="C4" s="2" t="s">
        <v>45</v>
      </c>
      <c r="D4" s="2" t="s">
        <v>46</v>
      </c>
      <c r="F4" s="2" t="s">
        <v>47</v>
      </c>
      <c r="H4" s="2" t="s">
        <v>48</v>
      </c>
      <c r="I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</row>
    <row r="5" ht="18.75" customHeight="1" spans="3:15">
      <c r="C5" s="2" t="s">
        <v>55</v>
      </c>
      <c r="D5" s="2" t="s">
        <v>56</v>
      </c>
      <c r="F5" s="2" t="s">
        <v>57</v>
      </c>
      <c r="H5" s="2" t="s">
        <v>58</v>
      </c>
      <c r="I5" s="2" t="s">
        <v>59</v>
      </c>
      <c r="M5" s="2" t="s">
        <v>60</v>
      </c>
      <c r="N5" s="2" t="s">
        <v>61</v>
      </c>
      <c r="O5" s="2" t="s">
        <v>62</v>
      </c>
    </row>
    <row r="6" ht="18.75" customHeight="1" spans="3:15">
      <c r="C6" s="2" t="s">
        <v>63</v>
      </c>
      <c r="H6" s="2" t="s">
        <v>64</v>
      </c>
      <c r="I6" s="2" t="s">
        <v>65</v>
      </c>
      <c r="M6" s="2" t="s">
        <v>66</v>
      </c>
      <c r="N6" s="2" t="s">
        <v>67</v>
      </c>
      <c r="O6" s="2" t="s">
        <v>68</v>
      </c>
    </row>
    <row r="7" ht="18.75" customHeight="1" spans="13:15">
      <c r="M7" s="2" t="s">
        <v>69</v>
      </c>
      <c r="N7" s="2" t="s">
        <v>70</v>
      </c>
      <c r="O7" s="2" t="s">
        <v>71</v>
      </c>
    </row>
    <row r="8" ht="18.75" customHeight="1" spans="13:14">
      <c r="M8" s="2" t="s">
        <v>72</v>
      </c>
      <c r="N8" s="2" t="s">
        <v>73</v>
      </c>
    </row>
    <row r="9" ht="18.75" customHeight="1" spans="13:14">
      <c r="M9" s="2" t="s">
        <v>74</v>
      </c>
      <c r="N9" s="2" t="s">
        <v>75</v>
      </c>
    </row>
    <row r="10" ht="18.75" customHeight="1" spans="13:14">
      <c r="M10" s="2" t="s">
        <v>76</v>
      </c>
      <c r="N10" s="2" t="s">
        <v>77</v>
      </c>
    </row>
    <row r="11" ht="18.75" customHeight="1" spans="13:14">
      <c r="M11" s="2" t="s">
        <v>78</v>
      </c>
      <c r="N11" s="2" t="s">
        <v>79</v>
      </c>
    </row>
    <row r="12" ht="18.75" customHeight="1" spans="14:14">
      <c r="N12" s="2" t="s">
        <v>78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J23"/>
  <sheetViews>
    <sheetView workbookViewId="0">
      <selection activeCell="A1" sqref="A1:J1"/>
    </sheetView>
  </sheetViews>
  <sheetFormatPr defaultColWidth="9" defaultRowHeight="15"/>
  <cols>
    <col min="1" max="1" width="22.0095238095238" style="2" customWidth="1"/>
    <col min="2" max="2" width="90.0095238095238" style="1" customWidth="1"/>
    <col min="3" max="10" width="14.0095238095238" style="2" customWidth="1"/>
  </cols>
  <sheetData>
    <row r="1" ht="18.75" customHeight="1" spans="1:10">
      <c r="A1" s="38" t="s">
        <v>80</v>
      </c>
      <c r="B1" s="4"/>
      <c r="C1" s="4"/>
      <c r="D1" s="4"/>
      <c r="E1" s="4"/>
      <c r="F1" s="4"/>
      <c r="G1" s="4"/>
      <c r="H1" s="4"/>
      <c r="I1" s="4"/>
      <c r="J1" s="6"/>
    </row>
    <row r="2" ht="18.75" customHeight="1"/>
    <row r="3" ht="18.75" customHeight="1" spans="1:2">
      <c r="A3" s="7" t="s">
        <v>81</v>
      </c>
      <c r="B3" s="37" t="s">
        <v>82</v>
      </c>
    </row>
    <row r="4" ht="18.75" customHeight="1"/>
    <row r="5" ht="18.75" customHeight="1" spans="1:1">
      <c r="A5" s="7" t="s">
        <v>83</v>
      </c>
    </row>
    <row r="6" s="1" customFormat="1" ht="18.75" customHeight="1" spans="2:2">
      <c r="B6" s="37" t="s">
        <v>84</v>
      </c>
    </row>
    <row r="7" s="1" customFormat="1" ht="18.75" customHeight="1" spans="2:2">
      <c r="B7" s="37" t="s">
        <v>85</v>
      </c>
    </row>
    <row r="8" s="1" customFormat="1" ht="18.75" customHeight="1" spans="2:2">
      <c r="B8" s="37" t="s">
        <v>86</v>
      </c>
    </row>
    <row r="9" s="1" customFormat="1" ht="18.75" customHeight="1" spans="2:2">
      <c r="B9" s="37" t="s">
        <v>87</v>
      </c>
    </row>
    <row r="10" s="1" customFormat="1" ht="18.75" customHeight="1" spans="2:2">
      <c r="B10" s="37" t="s">
        <v>88</v>
      </c>
    </row>
    <row r="11" s="1" customFormat="1" ht="18.75" customHeight="1" spans="2:2">
      <c r="B11" s="37" t="s">
        <v>89</v>
      </c>
    </row>
    <row r="12" s="1" customFormat="1" ht="18.75" customHeight="1" spans="2:2">
      <c r="B12" s="37" t="s">
        <v>90</v>
      </c>
    </row>
    <row r="13" ht="18.75" customHeight="1"/>
    <row r="14" ht="18.75" customHeight="1" spans="1:1">
      <c r="A14" s="7" t="s">
        <v>91</v>
      </c>
    </row>
    <row r="15" ht="18.75" customHeight="1" spans="1:2">
      <c r="A15" s="2" t="s">
        <v>92</v>
      </c>
      <c r="B15" s="1" t="s">
        <v>93</v>
      </c>
    </row>
    <row r="16" ht="18.75" customHeight="1" spans="1:2">
      <c r="A16" s="2" t="s">
        <v>94</v>
      </c>
      <c r="B16" s="1" t="s">
        <v>95</v>
      </c>
    </row>
    <row r="17" ht="18.75" customHeight="1"/>
    <row r="18" ht="18.75" customHeight="1"/>
    <row r="19" ht="18.75" customHeight="1" spans="1:2">
      <c r="A19" s="7" t="s">
        <v>96</v>
      </c>
      <c r="B19" s="1" t="s">
        <v>97</v>
      </c>
    </row>
    <row r="20" ht="18.75" customHeight="1" spans="2:2">
      <c r="B20" s="1" t="s">
        <v>98</v>
      </c>
    </row>
    <row r="21" ht="18.75" customHeight="1" spans="2:2">
      <c r="B21" s="1" t="s">
        <v>99</v>
      </c>
    </row>
    <row r="22" ht="18.75" customHeight="1"/>
    <row r="23" ht="18.75" customHeight="1" spans="1:2">
      <c r="A23" s="2" t="s">
        <v>100</v>
      </c>
      <c r="B23" s="1" t="s">
        <v>101</v>
      </c>
    </row>
  </sheetData>
  <mergeCells count="1">
    <mergeCell ref="A1:J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H18"/>
  <sheetViews>
    <sheetView workbookViewId="0">
      <selection activeCell="A1" sqref="A1:H1"/>
    </sheetView>
  </sheetViews>
  <sheetFormatPr defaultColWidth="9" defaultRowHeight="15" outlineLevelCol="7"/>
  <cols>
    <col min="1" max="1" width="24.0095238095238" style="2" customWidth="1"/>
    <col min="2" max="2" width="28.0095238095238" style="2" customWidth="1"/>
    <col min="3" max="3" width="90.0095238095238" style="2" customWidth="1"/>
    <col min="4" max="8" width="13.5809523809524" style="2" customWidth="1"/>
  </cols>
  <sheetData>
    <row r="1" ht="18.75" customHeight="1" spans="1:8">
      <c r="A1" s="3" t="s">
        <v>102</v>
      </c>
      <c r="B1" s="4"/>
      <c r="C1" s="4"/>
      <c r="D1" s="4"/>
      <c r="E1" s="4"/>
      <c r="F1" s="4"/>
      <c r="G1" s="4"/>
      <c r="H1" s="6"/>
    </row>
    <row r="2" ht="18.75" customHeight="1"/>
    <row r="3" ht="18.75" customHeight="1" spans="1:3">
      <c r="A3" s="36" t="s">
        <v>103</v>
      </c>
      <c r="B3" s="36" t="s">
        <v>104</v>
      </c>
      <c r="C3" s="36" t="s">
        <v>105</v>
      </c>
    </row>
    <row r="4" s="1" customFormat="1" ht="18.75" customHeight="1" spans="1:3">
      <c r="A4" s="1" t="s">
        <v>106</v>
      </c>
      <c r="B4" s="1" t="s">
        <v>107</v>
      </c>
      <c r="C4" s="37" t="s">
        <v>108</v>
      </c>
    </row>
    <row r="5" s="1" customFormat="1" ht="18.75" customHeight="1" spans="1:3">
      <c r="A5" s="1" t="s">
        <v>109</v>
      </c>
      <c r="B5" s="1" t="s">
        <v>110</v>
      </c>
      <c r="C5" s="37" t="s">
        <v>111</v>
      </c>
    </row>
    <row r="6" s="1" customFormat="1" ht="18.75" customHeight="1" spans="1:3">
      <c r="A6" s="1" t="s">
        <v>112</v>
      </c>
      <c r="B6" s="1" t="s">
        <v>113</v>
      </c>
      <c r="C6" s="37" t="s">
        <v>114</v>
      </c>
    </row>
    <row r="7" s="1" customFormat="1" ht="18.75" customHeight="1" spans="1:3">
      <c r="A7" s="1" t="s">
        <v>112</v>
      </c>
      <c r="B7" s="1" t="s">
        <v>115</v>
      </c>
      <c r="C7" s="37" t="s">
        <v>116</v>
      </c>
    </row>
    <row r="8" s="1" customFormat="1" ht="18.75" customHeight="1" spans="1:3">
      <c r="A8" s="1" t="s">
        <v>112</v>
      </c>
      <c r="B8" s="1" t="s">
        <v>117</v>
      </c>
      <c r="C8" s="37" t="s">
        <v>118</v>
      </c>
    </row>
    <row r="9" s="1" customFormat="1" ht="18.75" customHeight="1" spans="1:3">
      <c r="A9" s="1" t="s">
        <v>112</v>
      </c>
      <c r="B9" s="1" t="s">
        <v>119</v>
      </c>
      <c r="C9" s="37" t="s">
        <v>120</v>
      </c>
    </row>
    <row r="10" s="1" customFormat="1" ht="18.75" customHeight="1" spans="1:3">
      <c r="A10" s="1" t="s">
        <v>112</v>
      </c>
      <c r="B10" s="1" t="s">
        <v>121</v>
      </c>
      <c r="C10" s="37" t="s">
        <v>122</v>
      </c>
    </row>
    <row r="11" s="1" customFormat="1" ht="18.75" customHeight="1" spans="1:3">
      <c r="A11" s="1" t="s">
        <v>123</v>
      </c>
      <c r="B11" s="1" t="s">
        <v>124</v>
      </c>
      <c r="C11" s="37" t="s">
        <v>125</v>
      </c>
    </row>
    <row r="12" s="1" customFormat="1" ht="18.75" customHeight="1" spans="1:3">
      <c r="A12" s="1" t="s">
        <v>123</v>
      </c>
      <c r="B12" s="1" t="s">
        <v>126</v>
      </c>
      <c r="C12" s="37" t="s">
        <v>127</v>
      </c>
    </row>
    <row r="13" s="1" customFormat="1" ht="18.75" customHeight="1" spans="1:3">
      <c r="A13" s="1" t="s">
        <v>128</v>
      </c>
      <c r="B13" s="1" t="s">
        <v>129</v>
      </c>
      <c r="C13" s="37" t="s">
        <v>130</v>
      </c>
    </row>
    <row r="14" s="1" customFormat="1" ht="18.75" customHeight="1" spans="1:3">
      <c r="A14" s="1" t="s">
        <v>128</v>
      </c>
      <c r="B14" s="1" t="s">
        <v>119</v>
      </c>
      <c r="C14" s="37" t="s">
        <v>131</v>
      </c>
    </row>
    <row r="15" s="1" customFormat="1" ht="18.75" customHeight="1" spans="1:3">
      <c r="A15" s="1" t="s">
        <v>128</v>
      </c>
      <c r="B15" s="1" t="s">
        <v>132</v>
      </c>
      <c r="C15" s="37" t="s">
        <v>133</v>
      </c>
    </row>
    <row r="16" s="1" customFormat="1" ht="18.75" customHeight="1" spans="1:3">
      <c r="A16" s="1" t="s">
        <v>134</v>
      </c>
      <c r="B16" s="1" t="s">
        <v>135</v>
      </c>
      <c r="C16" s="37" t="s">
        <v>136</v>
      </c>
    </row>
    <row r="17" s="1" customFormat="1" ht="18.75" customHeight="1" spans="1:3">
      <c r="A17" s="1" t="s">
        <v>134</v>
      </c>
      <c r="B17" s="1" t="s">
        <v>137</v>
      </c>
      <c r="C17" s="37" t="s">
        <v>138</v>
      </c>
    </row>
    <row r="18" s="1" customFormat="1" ht="18.75" customHeight="1" spans="1:3">
      <c r="A18" s="1" t="s">
        <v>134</v>
      </c>
      <c r="B18" s="1" t="s">
        <v>139</v>
      </c>
      <c r="C18" s="37" t="s">
        <v>140</v>
      </c>
    </row>
  </sheetData>
  <mergeCells count="1">
    <mergeCell ref="A1:H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T242"/>
  <sheetViews>
    <sheetView workbookViewId="0">
      <selection activeCell="A1" sqref="A1:T1"/>
    </sheetView>
  </sheetViews>
  <sheetFormatPr defaultColWidth="9" defaultRowHeight="15"/>
  <cols>
    <col min="1" max="1" width="18.0095238095238" style="2" customWidth="1"/>
    <col min="2" max="2" width="18.0095238095238" style="21" customWidth="1"/>
    <col min="3" max="3" width="87.5809523809524" style="1" customWidth="1"/>
    <col min="4" max="4" width="24.0095238095238" style="1" customWidth="1"/>
    <col min="5" max="5" width="18.0095238095238" style="2" customWidth="1"/>
    <col min="6" max="6" width="18.0095238095238" style="22" customWidth="1"/>
    <col min="7" max="7" width="14.0095238095238" style="1" customWidth="1"/>
    <col min="8" max="9" width="14.0095238095238" style="2" customWidth="1"/>
    <col min="10" max="11" width="18.0095238095238" style="2" customWidth="1"/>
    <col min="12" max="13" width="14.0095238095238" style="2" customWidth="1"/>
    <col min="14" max="14" width="18.0095238095238" style="2" customWidth="1"/>
    <col min="15" max="20" width="14.0095238095238" style="2" customWidth="1"/>
  </cols>
  <sheetData>
    <row r="1" ht="21.75" customHeight="1" spans="1:20">
      <c r="A1" s="3" t="s">
        <v>141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6"/>
    </row>
    <row r="2" s="1" customFormat="1" ht="82.5" customHeight="1" spans="1:6">
      <c r="A2" s="5" t="s">
        <v>142</v>
      </c>
      <c r="B2" s="22"/>
      <c r="C2" s="1"/>
      <c r="D2" s="1"/>
      <c r="E2" s="1"/>
      <c r="F2" s="22"/>
    </row>
    <row r="3" ht="18.75" customHeight="1"/>
    <row r="4" ht="21.75" customHeight="1" spans="1:20">
      <c r="A4" s="3" t="s">
        <v>143</v>
      </c>
      <c r="B4" s="4"/>
      <c r="C4" s="4"/>
      <c r="D4" s="4"/>
      <c r="E4" s="4"/>
      <c r="F4" s="6"/>
      <c r="H4" s="3" t="s">
        <v>144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6"/>
    </row>
    <row r="5" ht="20.25" customHeight="1" spans="1:19">
      <c r="A5" s="7" t="s">
        <v>145</v>
      </c>
      <c r="B5" s="23" t="s">
        <v>146</v>
      </c>
      <c r="H5" s="9" t="s">
        <v>147</v>
      </c>
      <c r="I5" s="9" t="s">
        <v>148</v>
      </c>
      <c r="J5" s="9" t="s">
        <v>37</v>
      </c>
      <c r="K5" s="9" t="s">
        <v>149</v>
      </c>
      <c r="L5" s="9" t="s">
        <v>49</v>
      </c>
      <c r="M5" s="9" t="s">
        <v>150</v>
      </c>
      <c r="N5" s="9" t="s">
        <v>151</v>
      </c>
      <c r="O5" s="9" t="s">
        <v>152</v>
      </c>
      <c r="P5" s="9" t="s">
        <v>153</v>
      </c>
      <c r="Q5" s="9" t="s">
        <v>135</v>
      </c>
      <c r="R5" s="9" t="s">
        <v>154</v>
      </c>
      <c r="S5" s="9" t="s">
        <v>155</v>
      </c>
    </row>
    <row r="6" ht="20.25" customHeight="1" spans="1:19">
      <c r="A6" s="7" t="s">
        <v>156</v>
      </c>
      <c r="B6" s="23" t="s">
        <v>157</v>
      </c>
      <c r="H6" s="7" t="s">
        <v>0</v>
      </c>
      <c r="I6" s="12">
        <f>SUMIFS($L$89:$L$210,$A$89:$A$210,$H6)</f>
        <v>0</v>
      </c>
      <c r="J6" s="12">
        <f>COUNTIFS($A$89:$A$210,$H6,$G$89:$G$210,"Partial")</f>
        <v>0</v>
      </c>
      <c r="K6" s="12">
        <f>SUMIFS($M$89:$M$210,$A$89:$A$210,$H6)</f>
        <v>0</v>
      </c>
      <c r="L6" s="12">
        <f>SUMIFS($N$89:$N$210,$A$89:$A$210,$H6)</f>
        <v>0</v>
      </c>
      <c r="M6" s="13" t="str">
        <f>IFERROR(I6/(I6+K6),"")</f>
        <v/>
      </c>
      <c r="N6" s="13" t="str">
        <f>IFERROR(I6/(I6+L6),"")</f>
        <v/>
      </c>
      <c r="O6" s="13" t="str">
        <f>IFERROR(2*M6*N6/(M6+N6),"")</f>
        <v/>
      </c>
      <c r="P6" s="13" t="str">
        <f>IFERROR(2*(SUMIFS($O$89:$O$210,$A$89:$A$210,$H6)/(SUMIFS($O$89:$O$210,$A$89:$A$210,$H6)+SUMIFS($P$89:$P$210,$A$89:$A$210,$H6)))*(SUMIFS($O$89:$O$210,$A$89:$A$210,$H6)/(SUMIFS($O$89:$O$210,$A$89:$A$210,$H6)+SUMIFS($Q$89:$Q$210,$A$89:$A$210,$H6)))/((SUMIFS($O$89:$O$210,$A$89:$A$210,$H6)/(SUMIFS($O$89:$O$210,$A$89:$A$210,$H6)+SUMIFS($P$89:$P$210,$A$89:$A$210,$H6)))+(SUMIFS($O$89:$O$210,$A$89:$A$210,$H6)/(SUMIFS($O$89:$O$210,$A$89:$A$210,$H6)+SUMIFS($Q$89:$Q$210,$A$89:$A$210,$H6)))),"")</f>
        <v/>
      </c>
      <c r="Q6" s="12" t="str">
        <f>IFERROR(INDEX($F$215:$F$218,MATCH($H6,$A$215:$A$218,0)),"")</f>
        <v/>
      </c>
      <c r="R6" s="13" t="str">
        <f>IFERROR(INDEX($J$215:$J$218,MATCH($H6,$A$215:$A$218,0)),"")</f>
        <v/>
      </c>
      <c r="S6" s="14" t="str">
        <f>IFERROR(INDEX($R$215:$R$218,MATCH($H6,$A$215:$A$218,0)),"")</f>
        <v/>
      </c>
    </row>
    <row r="7" ht="20.25" customHeight="1" spans="1:19">
      <c r="A7" s="7" t="s">
        <v>158</v>
      </c>
      <c r="B7" s="23" t="s">
        <v>159</v>
      </c>
      <c r="H7" s="7" t="s">
        <v>15</v>
      </c>
      <c r="I7" s="12">
        <f>SUMIFS($L$89:$L$210,$A$89:$A$210,$H7)</f>
        <v>0</v>
      </c>
      <c r="J7" s="12">
        <f>COUNTIFS($A$89:$A$210,$H7,$G$89:$G$210,"Partial")</f>
        <v>0</v>
      </c>
      <c r="K7" s="12">
        <f>SUMIFS($M$89:$M$210,$A$89:$A$210,$H7)</f>
        <v>0</v>
      </c>
      <c r="L7" s="12">
        <f>SUMIFS($N$89:$N$210,$A$89:$A$210,$H7)</f>
        <v>0</v>
      </c>
      <c r="M7" s="13" t="str">
        <f>IFERROR(I7/(I7+K7),"")</f>
        <v/>
      </c>
      <c r="N7" s="13" t="str">
        <f>IFERROR(I7/(I7+L7),"")</f>
        <v/>
      </c>
      <c r="O7" s="13" t="str">
        <f>IFERROR(2*M7*N7/(M7+N7),"")</f>
        <v/>
      </c>
      <c r="P7" s="13" t="str">
        <f>IFERROR(2*(SUMIFS($O$89:$O$210,$A$89:$A$210,$H7)/(SUMIFS($O$89:$O$210,$A$89:$A$210,$H7)+SUMIFS($P$89:$P$210,$A$89:$A$210,$H7)))*(SUMIFS($O$89:$O$210,$A$89:$A$210,$H7)/(SUMIFS($O$89:$O$210,$A$89:$A$210,$H7)+SUMIFS($Q$89:$Q$210,$A$89:$A$210,$H7)))/((SUMIFS($O$89:$O$210,$A$89:$A$210,$H7)/(SUMIFS($O$89:$O$210,$A$89:$A$210,$H7)+SUMIFS($P$89:$P$210,$A$89:$A$210,$H7)))+(SUMIFS($O$89:$O$210,$A$89:$A$210,$H7)/(SUMIFS($O$89:$O$210,$A$89:$A$210,$H7)+SUMIFS($Q$89:$Q$210,$A$89:$A$210,$H7)))),"")</f>
        <v/>
      </c>
      <c r="Q7" s="12" t="str">
        <f>IFERROR(INDEX($F$215:$F$218,MATCH($H7,$A$215:$A$218,0)),"")</f>
        <v/>
      </c>
      <c r="R7" s="13" t="str">
        <f>IFERROR(INDEX($J$215:$J$218,MATCH($H7,$A$215:$A$218,0)),"")</f>
        <v/>
      </c>
      <c r="S7" s="14" t="str">
        <f>IFERROR(INDEX($R$215:$R$218,MATCH($H7,$A$215:$A$218,0)),"")</f>
        <v/>
      </c>
    </row>
    <row r="8" ht="20.25" customHeight="1" spans="1:19">
      <c r="A8" s="7" t="s">
        <v>107</v>
      </c>
      <c r="B8" s="23" t="s">
        <v>19</v>
      </c>
      <c r="H8" s="7" t="s">
        <v>30</v>
      </c>
      <c r="I8" s="12">
        <f>SUMIFS($L$89:$L$210,$A$89:$A$210,$H8)</f>
        <v>0</v>
      </c>
      <c r="J8" s="12">
        <f>COUNTIFS($A$89:$A$210,$H8,$G$89:$G$210,"Partial")</f>
        <v>0</v>
      </c>
      <c r="K8" s="12">
        <f>SUMIFS($M$89:$M$210,$A$89:$A$210,$H8)</f>
        <v>0</v>
      </c>
      <c r="L8" s="12">
        <f>SUMIFS($N$89:$N$210,$A$89:$A$210,$H8)</f>
        <v>0</v>
      </c>
      <c r="M8" s="13" t="str">
        <f>IFERROR(I8/(I8+K8),"")</f>
        <v/>
      </c>
      <c r="N8" s="13" t="str">
        <f>IFERROR(I8/(I8+L8),"")</f>
        <v/>
      </c>
      <c r="O8" s="13" t="str">
        <f>IFERROR(2*M8*N8/(M8+N8),"")</f>
        <v/>
      </c>
      <c r="P8" s="13" t="str">
        <f>IFERROR(2*(SUMIFS($O$89:$O$210,$A$89:$A$210,$H8)/(SUMIFS($O$89:$O$210,$A$89:$A$210,$H8)+SUMIFS($P$89:$P$210,$A$89:$A$210,$H8)))*(SUMIFS($O$89:$O$210,$A$89:$A$210,$H8)/(SUMIFS($O$89:$O$210,$A$89:$A$210,$H8)+SUMIFS($Q$89:$Q$210,$A$89:$A$210,$H8)))/((SUMIFS($O$89:$O$210,$A$89:$A$210,$H8)/(SUMIFS($O$89:$O$210,$A$89:$A$210,$H8)+SUMIFS($P$89:$P$210,$A$89:$A$210,$H8)))+(SUMIFS($O$89:$O$210,$A$89:$A$210,$H8)/(SUMIFS($O$89:$O$210,$A$89:$A$210,$H8)+SUMIFS($Q$89:$Q$210,$A$89:$A$210,$H8)))),"")</f>
        <v/>
      </c>
      <c r="Q8" s="12" t="str">
        <f>IFERROR(INDEX($F$215:$F$218,MATCH($H8,$A$215:$A$218,0)),"")</f>
        <v/>
      </c>
      <c r="R8" s="13" t="str">
        <f>IFERROR(INDEX($J$215:$J$218,MATCH($H8,$A$215:$A$218,0)),"")</f>
        <v/>
      </c>
      <c r="S8" s="14" t="str">
        <f>IFERROR(INDEX($R$215:$R$218,MATCH($H8,$A$215:$A$218,0)),"")</f>
        <v/>
      </c>
    </row>
    <row r="9" ht="20.25" customHeight="1" spans="1:19">
      <c r="A9" s="7" t="s">
        <v>160</v>
      </c>
      <c r="B9" s="24">
        <v>1739</v>
      </c>
      <c r="H9" s="7" t="s">
        <v>43</v>
      </c>
      <c r="I9" s="12">
        <f>SUMIFS($L$89:$L$210,$A$89:$A$210,$H9)</f>
        <v>0</v>
      </c>
      <c r="J9" s="12">
        <f>COUNTIFS($A$89:$A$210,$H9,$G$89:$G$210,"Partial")</f>
        <v>0</v>
      </c>
      <c r="K9" s="12">
        <f>SUMIFS($M$89:$M$210,$A$89:$A$210,$H9)</f>
        <v>0</v>
      </c>
      <c r="L9" s="12">
        <f>SUMIFS($N$89:$N$210,$A$89:$A$210,$H9)</f>
        <v>0</v>
      </c>
      <c r="M9" s="13" t="str">
        <f>IFERROR(I9/(I9+K9),"")</f>
        <v/>
      </c>
      <c r="N9" s="13" t="str">
        <f>IFERROR(I9/(I9+L9),"")</f>
        <v/>
      </c>
      <c r="O9" s="13" t="str">
        <f>IFERROR(2*M9*N9/(M9+N9),"")</f>
        <v/>
      </c>
      <c r="P9" s="13" t="str">
        <f>IFERROR(2*(SUMIFS($O$89:$O$210,$A$89:$A$210,$H9)/(SUMIFS($O$89:$O$210,$A$89:$A$210,$H9)+SUMIFS($P$89:$P$210,$A$89:$A$210,$H9)))*(SUMIFS($O$89:$O$210,$A$89:$A$210,$H9)/(SUMIFS($O$89:$O$210,$A$89:$A$210,$H9)+SUMIFS($Q$89:$Q$210,$A$89:$A$210,$H9)))/((SUMIFS($O$89:$O$210,$A$89:$A$210,$H9)/(SUMIFS($O$89:$O$210,$A$89:$A$210,$H9)+SUMIFS($P$89:$P$210,$A$89:$A$210,$H9)))+(SUMIFS($O$89:$O$210,$A$89:$A$210,$H9)/(SUMIFS($O$89:$O$210,$A$89:$A$210,$H9)+SUMIFS($Q$89:$Q$210,$A$89:$A$210,$H9)))),"")</f>
        <v/>
      </c>
      <c r="Q9" s="12" t="str">
        <f>IFERROR(INDEX($F$215:$F$218,MATCH($H9,$A$215:$A$218,0)),"")</f>
        <v/>
      </c>
      <c r="R9" s="13" t="str">
        <f>IFERROR(INDEX($J$215:$J$218,MATCH($H9,$A$215:$A$218,0)),"")</f>
        <v/>
      </c>
      <c r="S9" s="14" t="str">
        <f>IFERROR(INDEX($R$215:$R$218,MATCH($H9,$A$215:$A$218,0)),"")</f>
        <v/>
      </c>
    </row>
    <row r="10" ht="20.25" customHeight="1" spans="1:2">
      <c r="A10" s="7" t="s">
        <v>161</v>
      </c>
      <c r="B10" s="24">
        <v>13</v>
      </c>
    </row>
    <row r="11" ht="20.25" customHeight="1" spans="1:2">
      <c r="A11" s="7" t="s">
        <v>162</v>
      </c>
      <c r="B11" s="24">
        <v>24</v>
      </c>
    </row>
    <row r="12" ht="20.25" customHeight="1" spans="1:2">
      <c r="A12" s="7" t="s">
        <v>163</v>
      </c>
      <c r="B12" s="23" t="s">
        <v>164</v>
      </c>
    </row>
    <row r="13" ht="18.75" customHeight="1"/>
    <row r="14" ht="21.75" customHeight="1" spans="1:10">
      <c r="A14" s="3" t="s">
        <v>165</v>
      </c>
      <c r="B14" s="4"/>
      <c r="C14" s="4"/>
      <c r="D14" s="4"/>
      <c r="E14" s="4"/>
      <c r="F14" s="4"/>
      <c r="G14" s="4"/>
      <c r="H14" s="4"/>
      <c r="I14" s="4"/>
      <c r="J14" s="6"/>
    </row>
    <row r="15" s="1" customFormat="1" ht="18.75" customHeight="1" spans="1:10">
      <c r="A15" s="9" t="s">
        <v>147</v>
      </c>
      <c r="B15" s="25" t="s">
        <v>166</v>
      </c>
      <c r="C15" s="9" t="s">
        <v>167</v>
      </c>
      <c r="D15" s="9" t="s">
        <v>168</v>
      </c>
      <c r="E15" s="9" t="s">
        <v>169</v>
      </c>
      <c r="F15" s="25" t="s">
        <v>110</v>
      </c>
      <c r="G15" s="9" t="s">
        <v>170</v>
      </c>
      <c r="H15" s="9" t="s">
        <v>171</v>
      </c>
      <c r="I15" s="9" t="s">
        <v>172</v>
      </c>
      <c r="J15" s="9" t="s">
        <v>173</v>
      </c>
    </row>
    <row r="16" ht="49.5" customHeight="1" spans="1:10">
      <c r="A16" s="26" t="s">
        <v>0</v>
      </c>
      <c r="B16" s="27" t="s">
        <v>174</v>
      </c>
      <c r="C16" s="28" t="s">
        <v>175</v>
      </c>
      <c r="D16" s="28" t="s">
        <v>176</v>
      </c>
      <c r="E16" s="28" t="s">
        <v>177</v>
      </c>
      <c r="F16" s="29">
        <v>1</v>
      </c>
      <c r="G16" s="28" t="s">
        <v>178</v>
      </c>
      <c r="H16" s="10"/>
      <c r="I16" s="10"/>
      <c r="J16" s="10"/>
    </row>
    <row r="17" ht="20.25" customHeight="1" spans="1:10">
      <c r="A17" s="26" t="s">
        <v>15</v>
      </c>
      <c r="B17" s="30" t="s">
        <v>179</v>
      </c>
      <c r="C17" s="10" t="s">
        <v>180</v>
      </c>
      <c r="D17" s="10" t="s">
        <v>176</v>
      </c>
      <c r="E17" s="10" t="s">
        <v>181</v>
      </c>
      <c r="F17" s="31">
        <v>0</v>
      </c>
      <c r="G17" s="10" t="s">
        <v>182</v>
      </c>
      <c r="H17" s="10"/>
      <c r="I17" s="10"/>
      <c r="J17" s="10"/>
    </row>
    <row r="18" ht="20.25" customHeight="1" spans="1:10">
      <c r="A18" s="26" t="s">
        <v>30</v>
      </c>
      <c r="B18" s="30" t="s">
        <v>183</v>
      </c>
      <c r="C18" s="10" t="s">
        <v>184</v>
      </c>
      <c r="D18" s="10" t="s">
        <v>176</v>
      </c>
      <c r="E18" s="10" t="s">
        <v>181</v>
      </c>
      <c r="F18" s="31">
        <v>0</v>
      </c>
      <c r="G18" s="10" t="s">
        <v>185</v>
      </c>
      <c r="H18" s="10"/>
      <c r="I18" s="10"/>
      <c r="J18" s="10"/>
    </row>
    <row r="19" ht="20.25" customHeight="1" spans="1:10">
      <c r="A19" s="26" t="s">
        <v>43</v>
      </c>
      <c r="B19" s="30" t="s">
        <v>186</v>
      </c>
      <c r="C19" s="10" t="s">
        <v>187</v>
      </c>
      <c r="D19" s="10" t="s">
        <v>176</v>
      </c>
      <c r="E19" s="10" t="s">
        <v>181</v>
      </c>
      <c r="F19" s="31">
        <v>0</v>
      </c>
      <c r="G19" s="10" t="s">
        <v>188</v>
      </c>
      <c r="H19" s="10"/>
      <c r="I19" s="10"/>
      <c r="J19" s="10"/>
    </row>
    <row r="20" ht="18.75" customHeight="1"/>
    <row r="21" ht="18.75" customHeight="1"/>
    <row r="22" ht="18.75" customHeight="1"/>
    <row r="23" ht="21.75" customHeight="1" spans="1:14">
      <c r="A23" s="3" t="s">
        <v>189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6"/>
    </row>
    <row r="24" s="1" customFormat="1" ht="31.5" customHeight="1" spans="1:14">
      <c r="A24" s="9" t="s">
        <v>113</v>
      </c>
      <c r="B24" s="25" t="s">
        <v>190</v>
      </c>
      <c r="C24" s="9" t="s">
        <v>191</v>
      </c>
      <c r="D24" s="9" t="s">
        <v>115</v>
      </c>
      <c r="E24" s="9" t="s">
        <v>117</v>
      </c>
      <c r="F24" s="25" t="s">
        <v>192</v>
      </c>
      <c r="G24" s="9" t="s">
        <v>119</v>
      </c>
      <c r="H24" s="9" t="s">
        <v>193</v>
      </c>
      <c r="I24" s="9" t="s">
        <v>194</v>
      </c>
      <c r="J24" s="9" t="s">
        <v>195</v>
      </c>
      <c r="K24" s="9" t="s">
        <v>121</v>
      </c>
      <c r="L24" s="9" t="s">
        <v>196</v>
      </c>
      <c r="M24" s="9" t="s">
        <v>197</v>
      </c>
      <c r="N24" s="9" t="s">
        <v>198</v>
      </c>
    </row>
    <row r="25" s="1" customFormat="1" ht="92.25" customHeight="1" spans="1:14">
      <c r="A25" s="28" t="s">
        <v>199</v>
      </c>
      <c r="B25" s="32" t="s">
        <v>200</v>
      </c>
      <c r="C25" s="28" t="s">
        <v>201</v>
      </c>
      <c r="D25" s="33" t="s">
        <v>202</v>
      </c>
      <c r="E25" s="28" t="s">
        <v>53</v>
      </c>
      <c r="F25" s="32" t="s">
        <v>68</v>
      </c>
      <c r="G25" s="28" t="s">
        <v>16</v>
      </c>
      <c r="H25" s="33" t="s">
        <v>32</v>
      </c>
      <c r="I25" s="28" t="s">
        <v>33</v>
      </c>
      <c r="J25" s="33" t="s">
        <v>4</v>
      </c>
      <c r="K25" s="28" t="s">
        <v>20</v>
      </c>
      <c r="L25" s="33" t="s">
        <v>6</v>
      </c>
      <c r="M25" s="28" t="s">
        <v>203</v>
      </c>
      <c r="N25" s="33" t="s">
        <v>204</v>
      </c>
    </row>
    <row r="26" s="1" customFormat="1" ht="91.5" customHeight="1" spans="1:14">
      <c r="A26" s="28" t="s">
        <v>205</v>
      </c>
      <c r="B26" s="32" t="s">
        <v>206</v>
      </c>
      <c r="C26" s="28" t="s">
        <v>207</v>
      </c>
      <c r="D26" s="33" t="s">
        <v>202</v>
      </c>
      <c r="E26" s="28" t="s">
        <v>53</v>
      </c>
      <c r="F26" s="32" t="s">
        <v>68</v>
      </c>
      <c r="G26" s="28" t="s">
        <v>16</v>
      </c>
      <c r="H26" s="33" t="s">
        <v>32</v>
      </c>
      <c r="I26" s="28" t="s">
        <v>33</v>
      </c>
      <c r="J26" s="33" t="s">
        <v>4</v>
      </c>
      <c r="K26" s="28" t="s">
        <v>20</v>
      </c>
      <c r="L26" s="33" t="s">
        <v>6</v>
      </c>
      <c r="M26" s="28" t="s">
        <v>203</v>
      </c>
      <c r="N26" s="33" t="s">
        <v>204</v>
      </c>
    </row>
    <row r="27" s="1" customFormat="1" ht="91.5" customHeight="1" spans="1:14">
      <c r="A27" s="28" t="s">
        <v>208</v>
      </c>
      <c r="B27" s="32" t="s">
        <v>209</v>
      </c>
      <c r="C27" s="28" t="s">
        <v>210</v>
      </c>
      <c r="D27" s="33" t="s">
        <v>211</v>
      </c>
      <c r="E27" s="28" t="s">
        <v>53</v>
      </c>
      <c r="F27" s="32" t="s">
        <v>14</v>
      </c>
      <c r="G27" s="28" t="s">
        <v>16</v>
      </c>
      <c r="H27" s="33" t="s">
        <v>32</v>
      </c>
      <c r="I27" s="28" t="s">
        <v>33</v>
      </c>
      <c r="J27" s="33" t="s">
        <v>4</v>
      </c>
      <c r="K27" s="28" t="s">
        <v>47</v>
      </c>
      <c r="L27" s="33" t="s">
        <v>6</v>
      </c>
      <c r="M27" s="28" t="s">
        <v>212</v>
      </c>
      <c r="N27" s="33" t="s">
        <v>213</v>
      </c>
    </row>
    <row r="28" s="1" customFormat="1" ht="91.5" customHeight="1" spans="1:14">
      <c r="A28" s="28" t="s">
        <v>214</v>
      </c>
      <c r="B28" s="32" t="s">
        <v>215</v>
      </c>
      <c r="C28" s="28" t="s">
        <v>216</v>
      </c>
      <c r="D28" s="33" t="s">
        <v>76</v>
      </c>
      <c r="E28" s="28" t="s">
        <v>41</v>
      </c>
      <c r="F28" s="32" t="s">
        <v>68</v>
      </c>
      <c r="G28" s="28" t="s">
        <v>31</v>
      </c>
      <c r="H28" s="33" t="s">
        <v>2</v>
      </c>
      <c r="I28" s="28" t="s">
        <v>3</v>
      </c>
      <c r="J28" s="33" t="s">
        <v>19</v>
      </c>
      <c r="K28" s="28" t="s">
        <v>20</v>
      </c>
      <c r="L28" s="33" t="s">
        <v>6</v>
      </c>
      <c r="M28" s="28" t="s">
        <v>203</v>
      </c>
      <c r="N28" s="33" t="s">
        <v>217</v>
      </c>
    </row>
    <row r="29" s="1" customFormat="1" ht="105.75" customHeight="1" spans="1:14">
      <c r="A29" s="28" t="s">
        <v>218</v>
      </c>
      <c r="B29" s="32" t="s">
        <v>219</v>
      </c>
      <c r="C29" s="28" t="s">
        <v>220</v>
      </c>
      <c r="D29" s="33" t="s">
        <v>74</v>
      </c>
      <c r="E29" s="28" t="s">
        <v>75</v>
      </c>
      <c r="F29" s="32" t="s">
        <v>68</v>
      </c>
      <c r="G29" s="28" t="s">
        <v>16</v>
      </c>
      <c r="H29" s="33" t="s">
        <v>2</v>
      </c>
      <c r="I29" s="28" t="s">
        <v>46</v>
      </c>
      <c r="J29" s="33" t="s">
        <v>4</v>
      </c>
      <c r="K29" s="28" t="s">
        <v>5</v>
      </c>
      <c r="L29" s="33" t="s">
        <v>6</v>
      </c>
      <c r="M29" s="28" t="s">
        <v>203</v>
      </c>
      <c r="N29" s="33" t="s">
        <v>221</v>
      </c>
    </row>
    <row r="30" s="1" customFormat="1" ht="77.25" customHeight="1" spans="1:14">
      <c r="A30" s="28" t="s">
        <v>222</v>
      </c>
      <c r="B30" s="32" t="s">
        <v>223</v>
      </c>
      <c r="C30" s="28" t="s">
        <v>224</v>
      </c>
      <c r="D30" s="33" t="s">
        <v>74</v>
      </c>
      <c r="E30" s="28" t="s">
        <v>75</v>
      </c>
      <c r="F30" s="32" t="s">
        <v>68</v>
      </c>
      <c r="G30" s="28" t="s">
        <v>16</v>
      </c>
      <c r="H30" s="33" t="s">
        <v>2</v>
      </c>
      <c r="I30" s="28" t="s">
        <v>46</v>
      </c>
      <c r="J30" s="33" t="s">
        <v>4</v>
      </c>
      <c r="K30" s="28" t="s">
        <v>5</v>
      </c>
      <c r="L30" s="33" t="s">
        <v>6</v>
      </c>
      <c r="M30" s="28" t="s">
        <v>203</v>
      </c>
      <c r="N30" s="33" t="s">
        <v>225</v>
      </c>
    </row>
    <row r="31" s="1" customFormat="1" ht="77.25" customHeight="1" spans="1:14">
      <c r="A31" s="28" t="s">
        <v>226</v>
      </c>
      <c r="B31" s="32" t="s">
        <v>223</v>
      </c>
      <c r="C31" s="28" t="s">
        <v>227</v>
      </c>
      <c r="D31" s="33" t="s">
        <v>74</v>
      </c>
      <c r="E31" s="28" t="s">
        <v>75</v>
      </c>
      <c r="F31" s="32" t="s">
        <v>68</v>
      </c>
      <c r="G31" s="28" t="s">
        <v>16</v>
      </c>
      <c r="H31" s="33" t="s">
        <v>2</v>
      </c>
      <c r="I31" s="28" t="s">
        <v>46</v>
      </c>
      <c r="J31" s="33" t="s">
        <v>4</v>
      </c>
      <c r="K31" s="28" t="s">
        <v>5</v>
      </c>
      <c r="L31" s="33" t="s">
        <v>6</v>
      </c>
      <c r="M31" s="28" t="s">
        <v>203</v>
      </c>
      <c r="N31" s="33" t="s">
        <v>228</v>
      </c>
    </row>
    <row r="32" s="1" customFormat="1" ht="77.25" customHeight="1" spans="1:14">
      <c r="A32" s="28" t="s">
        <v>229</v>
      </c>
      <c r="B32" s="32" t="s">
        <v>230</v>
      </c>
      <c r="C32" s="28" t="s">
        <v>231</v>
      </c>
      <c r="D32" s="33" t="s">
        <v>74</v>
      </c>
      <c r="E32" s="28" t="s">
        <v>75</v>
      </c>
      <c r="F32" s="32" t="s">
        <v>68</v>
      </c>
      <c r="G32" s="28" t="s">
        <v>1</v>
      </c>
      <c r="H32" s="33" t="s">
        <v>2</v>
      </c>
      <c r="I32" s="28" t="s">
        <v>46</v>
      </c>
      <c r="J32" s="33" t="s">
        <v>4</v>
      </c>
      <c r="K32" s="28" t="s">
        <v>5</v>
      </c>
      <c r="L32" s="33" t="s">
        <v>21</v>
      </c>
      <c r="M32" s="28" t="s">
        <v>232</v>
      </c>
      <c r="N32" s="33" t="s">
        <v>233</v>
      </c>
    </row>
    <row r="33" s="1" customFormat="1" ht="77.25" customHeight="1" spans="1:14">
      <c r="A33" s="28" t="s">
        <v>234</v>
      </c>
      <c r="B33" s="32" t="s">
        <v>235</v>
      </c>
      <c r="C33" s="28" t="s">
        <v>236</v>
      </c>
      <c r="D33" s="33" t="s">
        <v>74</v>
      </c>
      <c r="E33" s="28" t="s">
        <v>75</v>
      </c>
      <c r="F33" s="32" t="s">
        <v>68</v>
      </c>
      <c r="G33" s="28" t="s">
        <v>16</v>
      </c>
      <c r="H33" s="33" t="s">
        <v>2</v>
      </c>
      <c r="I33" s="28" t="s">
        <v>46</v>
      </c>
      <c r="J33" s="33" t="s">
        <v>4</v>
      </c>
      <c r="K33" s="28" t="s">
        <v>5</v>
      </c>
      <c r="L33" s="33" t="s">
        <v>6</v>
      </c>
      <c r="M33" s="28" t="s">
        <v>203</v>
      </c>
      <c r="N33" s="33" t="s">
        <v>237</v>
      </c>
    </row>
    <row r="34" s="1" customFormat="1" ht="77.25" customHeight="1" spans="1:14">
      <c r="A34" s="28" t="s">
        <v>238</v>
      </c>
      <c r="B34" s="32" t="s">
        <v>239</v>
      </c>
      <c r="C34" s="28" t="s">
        <v>240</v>
      </c>
      <c r="D34" s="33" t="s">
        <v>241</v>
      </c>
      <c r="E34" s="28" t="s">
        <v>242</v>
      </c>
      <c r="F34" s="32" t="s">
        <v>14</v>
      </c>
      <c r="G34" s="28" t="s">
        <v>1</v>
      </c>
      <c r="H34" s="33" t="s">
        <v>2</v>
      </c>
      <c r="I34" s="28" t="s">
        <v>3</v>
      </c>
      <c r="J34" s="33" t="s">
        <v>4</v>
      </c>
      <c r="K34" s="28" t="s">
        <v>47</v>
      </c>
      <c r="L34" s="33" t="s">
        <v>21</v>
      </c>
      <c r="M34" s="28" t="s">
        <v>243</v>
      </c>
      <c r="N34" s="33" t="s">
        <v>203</v>
      </c>
    </row>
    <row r="35" s="1" customFormat="1" ht="18.75" customHeight="1" spans="1:14">
      <c r="A35" s="28" t="s">
        <v>244</v>
      </c>
      <c r="B35" s="32" t="s">
        <v>219</v>
      </c>
      <c r="C35" s="28" t="s">
        <v>245</v>
      </c>
      <c r="D35" s="33" t="s">
        <v>241</v>
      </c>
      <c r="E35" s="28" t="s">
        <v>242</v>
      </c>
      <c r="F35" s="32" t="s">
        <v>14</v>
      </c>
      <c r="G35" s="28" t="s">
        <v>1</v>
      </c>
      <c r="H35" s="33" t="s">
        <v>2</v>
      </c>
      <c r="I35" s="28" t="s">
        <v>3</v>
      </c>
      <c r="J35" s="33" t="s">
        <v>4</v>
      </c>
      <c r="K35" s="28" t="s">
        <v>47</v>
      </c>
      <c r="L35" s="33" t="s">
        <v>21</v>
      </c>
      <c r="M35" s="28" t="s">
        <v>243</v>
      </c>
      <c r="N35" s="33" t="s">
        <v>203</v>
      </c>
    </row>
    <row r="36" s="1" customFormat="1" ht="18.75" customHeight="1" spans="1:14">
      <c r="A36" s="28" t="s">
        <v>246</v>
      </c>
      <c r="B36" s="32" t="s">
        <v>247</v>
      </c>
      <c r="C36" s="28" t="s">
        <v>248</v>
      </c>
      <c r="D36" s="33" t="s">
        <v>241</v>
      </c>
      <c r="E36" s="28" t="s">
        <v>242</v>
      </c>
      <c r="F36" s="32" t="s">
        <v>14</v>
      </c>
      <c r="G36" s="28" t="s">
        <v>1</v>
      </c>
      <c r="H36" s="33" t="s">
        <v>2</v>
      </c>
      <c r="I36" s="28" t="s">
        <v>3</v>
      </c>
      <c r="J36" s="33" t="s">
        <v>4</v>
      </c>
      <c r="K36" s="28" t="s">
        <v>47</v>
      </c>
      <c r="L36" s="33" t="s">
        <v>21</v>
      </c>
      <c r="M36" s="28" t="s">
        <v>243</v>
      </c>
      <c r="N36" s="33" t="s">
        <v>203</v>
      </c>
    </row>
    <row r="37" s="1" customFormat="1" ht="18.75" customHeight="1" spans="1:14">
      <c r="A37" s="28" t="s">
        <v>249</v>
      </c>
      <c r="B37" s="32" t="s">
        <v>250</v>
      </c>
      <c r="C37" s="28" t="s">
        <v>251</v>
      </c>
      <c r="D37" s="33" t="s">
        <v>60</v>
      </c>
      <c r="E37" s="28" t="s">
        <v>73</v>
      </c>
      <c r="F37" s="32" t="s">
        <v>68</v>
      </c>
      <c r="G37" s="28" t="s">
        <v>16</v>
      </c>
      <c r="H37" s="33" t="s">
        <v>17</v>
      </c>
      <c r="I37" s="28" t="s">
        <v>46</v>
      </c>
      <c r="J37" s="33" t="s">
        <v>4</v>
      </c>
      <c r="K37" s="28" t="s">
        <v>20</v>
      </c>
      <c r="L37" s="33" t="s">
        <v>6</v>
      </c>
      <c r="M37" s="28" t="s">
        <v>203</v>
      </c>
      <c r="N37" s="33" t="s">
        <v>252</v>
      </c>
    </row>
    <row r="38" s="1" customFormat="1" ht="18.75" customHeight="1" spans="1:14">
      <c r="A38" s="28" t="s">
        <v>253</v>
      </c>
      <c r="B38" s="32" t="s">
        <v>254</v>
      </c>
      <c r="C38" s="28" t="s">
        <v>255</v>
      </c>
      <c r="D38" s="33" t="s">
        <v>60</v>
      </c>
      <c r="E38" s="28" t="s">
        <v>73</v>
      </c>
      <c r="F38" s="32" t="s">
        <v>68</v>
      </c>
      <c r="G38" s="28" t="s">
        <v>16</v>
      </c>
      <c r="H38" s="33" t="s">
        <v>17</v>
      </c>
      <c r="I38" s="28" t="s">
        <v>46</v>
      </c>
      <c r="J38" s="33" t="s">
        <v>4</v>
      </c>
      <c r="K38" s="28" t="s">
        <v>20</v>
      </c>
      <c r="L38" s="33" t="s">
        <v>6</v>
      </c>
      <c r="M38" s="28" t="s">
        <v>203</v>
      </c>
      <c r="N38" s="33" t="s">
        <v>256</v>
      </c>
    </row>
    <row r="39" s="1" customFormat="1" ht="18.75" customHeight="1" spans="1:14">
      <c r="A39" s="28" t="s">
        <v>257</v>
      </c>
      <c r="B39" s="32" t="s">
        <v>258</v>
      </c>
      <c r="C39" s="28" t="s">
        <v>259</v>
      </c>
      <c r="D39" s="33" t="s">
        <v>60</v>
      </c>
      <c r="E39" s="28" t="s">
        <v>73</v>
      </c>
      <c r="F39" s="32" t="s">
        <v>68</v>
      </c>
      <c r="G39" s="28" t="s">
        <v>16</v>
      </c>
      <c r="H39" s="33" t="s">
        <v>17</v>
      </c>
      <c r="I39" s="28" t="s">
        <v>46</v>
      </c>
      <c r="J39" s="33" t="s">
        <v>4</v>
      </c>
      <c r="K39" s="28" t="s">
        <v>20</v>
      </c>
      <c r="L39" s="33" t="s">
        <v>6</v>
      </c>
      <c r="M39" s="28" t="s">
        <v>203</v>
      </c>
      <c r="N39" s="33" t="s">
        <v>260</v>
      </c>
    </row>
    <row r="40" s="1" customFormat="1" ht="18.75" customHeight="1" spans="1:14">
      <c r="A40" s="28" t="s">
        <v>261</v>
      </c>
      <c r="B40" s="32" t="s">
        <v>262</v>
      </c>
      <c r="C40" s="28" t="s">
        <v>251</v>
      </c>
      <c r="D40" s="33" t="s">
        <v>60</v>
      </c>
      <c r="E40" s="28" t="s">
        <v>73</v>
      </c>
      <c r="F40" s="32" t="s">
        <v>68</v>
      </c>
      <c r="G40" s="28" t="s">
        <v>16</v>
      </c>
      <c r="H40" s="33" t="s">
        <v>17</v>
      </c>
      <c r="I40" s="28" t="s">
        <v>46</v>
      </c>
      <c r="J40" s="33" t="s">
        <v>4</v>
      </c>
      <c r="K40" s="28" t="s">
        <v>20</v>
      </c>
      <c r="L40" s="33" t="s">
        <v>6</v>
      </c>
      <c r="M40" s="28" t="s">
        <v>203</v>
      </c>
      <c r="N40" s="33" t="s">
        <v>263</v>
      </c>
    </row>
    <row r="41" s="1" customFormat="1" ht="18.75" customHeight="1" spans="1:14">
      <c r="A41" s="28" t="s">
        <v>264</v>
      </c>
      <c r="B41" s="32" t="s">
        <v>265</v>
      </c>
      <c r="C41" s="28" t="s">
        <v>255</v>
      </c>
      <c r="D41" s="33" t="s">
        <v>60</v>
      </c>
      <c r="E41" s="28" t="s">
        <v>73</v>
      </c>
      <c r="F41" s="32" t="s">
        <v>68</v>
      </c>
      <c r="G41" s="28" t="s">
        <v>16</v>
      </c>
      <c r="H41" s="33" t="s">
        <v>17</v>
      </c>
      <c r="I41" s="28" t="s">
        <v>46</v>
      </c>
      <c r="J41" s="33" t="s">
        <v>4</v>
      </c>
      <c r="K41" s="28" t="s">
        <v>20</v>
      </c>
      <c r="L41" s="33" t="s">
        <v>6</v>
      </c>
      <c r="M41" s="28" t="s">
        <v>203</v>
      </c>
      <c r="N41" s="33" t="s">
        <v>266</v>
      </c>
    </row>
    <row r="42" s="1" customFormat="1" ht="18.75" customHeight="1" spans="1:14">
      <c r="A42" s="28" t="s">
        <v>267</v>
      </c>
      <c r="B42" s="32" t="s">
        <v>268</v>
      </c>
      <c r="C42" s="28" t="s">
        <v>259</v>
      </c>
      <c r="D42" s="33" t="s">
        <v>60</v>
      </c>
      <c r="E42" s="28" t="s">
        <v>73</v>
      </c>
      <c r="F42" s="32" t="s">
        <v>68</v>
      </c>
      <c r="G42" s="28" t="s">
        <v>16</v>
      </c>
      <c r="H42" s="33" t="s">
        <v>17</v>
      </c>
      <c r="I42" s="28" t="s">
        <v>46</v>
      </c>
      <c r="J42" s="33" t="s">
        <v>4</v>
      </c>
      <c r="K42" s="28" t="s">
        <v>20</v>
      </c>
      <c r="L42" s="33" t="s">
        <v>6</v>
      </c>
      <c r="M42" s="28" t="s">
        <v>203</v>
      </c>
      <c r="N42" s="33" t="s">
        <v>269</v>
      </c>
    </row>
    <row r="43" s="1" customFormat="1" ht="18.75" customHeight="1" spans="1:14">
      <c r="A43" s="28" t="s">
        <v>270</v>
      </c>
      <c r="B43" s="32" t="s">
        <v>271</v>
      </c>
      <c r="C43" s="28" t="s">
        <v>251</v>
      </c>
      <c r="D43" s="33" t="s">
        <v>60</v>
      </c>
      <c r="E43" s="28" t="s">
        <v>73</v>
      </c>
      <c r="F43" s="32" t="s">
        <v>68</v>
      </c>
      <c r="G43" s="28" t="s">
        <v>16</v>
      </c>
      <c r="H43" s="33" t="s">
        <v>17</v>
      </c>
      <c r="I43" s="28" t="s">
        <v>46</v>
      </c>
      <c r="J43" s="33" t="s">
        <v>4</v>
      </c>
      <c r="K43" s="28" t="s">
        <v>20</v>
      </c>
      <c r="L43" s="33" t="s">
        <v>6</v>
      </c>
      <c r="M43" s="28" t="s">
        <v>203</v>
      </c>
      <c r="N43" s="33" t="s">
        <v>272</v>
      </c>
    </row>
    <row r="44" s="1" customFormat="1" ht="18.75" customHeight="1" spans="1:14">
      <c r="A44" s="28" t="s">
        <v>273</v>
      </c>
      <c r="B44" s="32" t="s">
        <v>274</v>
      </c>
      <c r="C44" s="28" t="s">
        <v>255</v>
      </c>
      <c r="D44" s="33" t="s">
        <v>60</v>
      </c>
      <c r="E44" s="28" t="s">
        <v>73</v>
      </c>
      <c r="F44" s="32" t="s">
        <v>68</v>
      </c>
      <c r="G44" s="28" t="s">
        <v>16</v>
      </c>
      <c r="H44" s="33" t="s">
        <v>17</v>
      </c>
      <c r="I44" s="28" t="s">
        <v>46</v>
      </c>
      <c r="J44" s="33" t="s">
        <v>4</v>
      </c>
      <c r="K44" s="28" t="s">
        <v>20</v>
      </c>
      <c r="L44" s="33" t="s">
        <v>6</v>
      </c>
      <c r="M44" s="28" t="s">
        <v>203</v>
      </c>
      <c r="N44" s="33" t="s">
        <v>275</v>
      </c>
    </row>
    <row r="45" s="1" customFormat="1" ht="18.75" customHeight="1" spans="1:14">
      <c r="A45" s="28" t="s">
        <v>276</v>
      </c>
      <c r="B45" s="32" t="s">
        <v>277</v>
      </c>
      <c r="C45" s="28" t="s">
        <v>259</v>
      </c>
      <c r="D45" s="33" t="s">
        <v>60</v>
      </c>
      <c r="E45" s="28" t="s">
        <v>73</v>
      </c>
      <c r="F45" s="32" t="s">
        <v>68</v>
      </c>
      <c r="G45" s="28" t="s">
        <v>16</v>
      </c>
      <c r="H45" s="33" t="s">
        <v>17</v>
      </c>
      <c r="I45" s="28" t="s">
        <v>46</v>
      </c>
      <c r="J45" s="33" t="s">
        <v>4</v>
      </c>
      <c r="K45" s="28" t="s">
        <v>20</v>
      </c>
      <c r="L45" s="33" t="s">
        <v>6</v>
      </c>
      <c r="M45" s="28" t="s">
        <v>203</v>
      </c>
      <c r="N45" s="33" t="s">
        <v>278</v>
      </c>
    </row>
    <row r="46" s="1" customFormat="1" ht="18.75" customHeight="1" spans="1:14">
      <c r="A46" s="28" t="s">
        <v>279</v>
      </c>
      <c r="B46" s="32" t="s">
        <v>280</v>
      </c>
      <c r="C46" s="28" t="s">
        <v>251</v>
      </c>
      <c r="D46" s="33" t="s">
        <v>60</v>
      </c>
      <c r="E46" s="28" t="s">
        <v>73</v>
      </c>
      <c r="F46" s="32" t="s">
        <v>68</v>
      </c>
      <c r="G46" s="28" t="s">
        <v>16</v>
      </c>
      <c r="H46" s="33" t="s">
        <v>17</v>
      </c>
      <c r="I46" s="28" t="s">
        <v>46</v>
      </c>
      <c r="J46" s="33" t="s">
        <v>4</v>
      </c>
      <c r="K46" s="28" t="s">
        <v>20</v>
      </c>
      <c r="L46" s="33" t="s">
        <v>6</v>
      </c>
      <c r="M46" s="28" t="s">
        <v>203</v>
      </c>
      <c r="N46" s="33" t="s">
        <v>281</v>
      </c>
    </row>
    <row r="47" s="1" customFormat="1" ht="18.75" customHeight="1" spans="1:14">
      <c r="A47" s="28" t="s">
        <v>282</v>
      </c>
      <c r="B47" s="32" t="s">
        <v>283</v>
      </c>
      <c r="C47" s="28" t="s">
        <v>255</v>
      </c>
      <c r="D47" s="33" t="s">
        <v>60</v>
      </c>
      <c r="E47" s="28" t="s">
        <v>73</v>
      </c>
      <c r="F47" s="32" t="s">
        <v>68</v>
      </c>
      <c r="G47" s="28" t="s">
        <v>16</v>
      </c>
      <c r="H47" s="33" t="s">
        <v>17</v>
      </c>
      <c r="I47" s="28" t="s">
        <v>46</v>
      </c>
      <c r="J47" s="33" t="s">
        <v>4</v>
      </c>
      <c r="K47" s="28" t="s">
        <v>20</v>
      </c>
      <c r="L47" s="33" t="s">
        <v>6</v>
      </c>
      <c r="M47" s="28" t="s">
        <v>203</v>
      </c>
      <c r="N47" s="33" t="s">
        <v>284</v>
      </c>
    </row>
    <row r="48" s="1" customFormat="1" ht="18.75" customHeight="1" spans="1:14">
      <c r="A48" s="28" t="s">
        <v>285</v>
      </c>
      <c r="B48" s="32" t="s">
        <v>286</v>
      </c>
      <c r="C48" s="28" t="s">
        <v>259</v>
      </c>
      <c r="D48" s="33" t="s">
        <v>60</v>
      </c>
      <c r="E48" s="28" t="s">
        <v>73</v>
      </c>
      <c r="F48" s="32" t="s">
        <v>68</v>
      </c>
      <c r="G48" s="28" t="s">
        <v>16</v>
      </c>
      <c r="H48" s="33" t="s">
        <v>17</v>
      </c>
      <c r="I48" s="28" t="s">
        <v>46</v>
      </c>
      <c r="J48" s="33" t="s">
        <v>4</v>
      </c>
      <c r="K48" s="28" t="s">
        <v>20</v>
      </c>
      <c r="L48" s="33" t="s">
        <v>6</v>
      </c>
      <c r="M48" s="28" t="s">
        <v>203</v>
      </c>
      <c r="N48" s="33" t="s">
        <v>287</v>
      </c>
    </row>
    <row r="49" s="1" customFormat="1" ht="18.75" customHeight="1" spans="1:13">
      <c r="A49" t="s">
        <v>288</v>
      </c>
      <c r="B49" t="s">
        <v>289</v>
      </c>
      <c r="C49" t="s">
        <v>290</v>
      </c>
      <c r="D49" t="s">
        <v>76</v>
      </c>
      <c r="E49" t="s">
        <v>41</v>
      </c>
      <c r="F49" t="s">
        <v>14</v>
      </c>
      <c r="G49" t="s">
        <v>1</v>
      </c>
      <c r="H49" t="s">
        <v>32</v>
      </c>
      <c r="I49" t="s">
        <v>33</v>
      </c>
      <c r="J49" t="s">
        <v>4</v>
      </c>
      <c r="K49" t="s">
        <v>5</v>
      </c>
      <c r="L49" t="s">
        <v>21</v>
      </c>
      <c r="M49" t="s">
        <v>291</v>
      </c>
    </row>
    <row r="50" s="1" customFormat="1" ht="18.75" customHeight="1" spans="1:13">
      <c r="A50" t="s">
        <v>292</v>
      </c>
      <c r="B50" t="s">
        <v>293</v>
      </c>
      <c r="C50" t="s">
        <v>294</v>
      </c>
      <c r="D50" t="s">
        <v>69</v>
      </c>
      <c r="E50" t="s">
        <v>53</v>
      </c>
      <c r="F50" t="s">
        <v>54</v>
      </c>
      <c r="G50" t="s">
        <v>16</v>
      </c>
      <c r="H50" t="s">
        <v>32</v>
      </c>
      <c r="I50" t="s">
        <v>33</v>
      </c>
      <c r="J50" t="s">
        <v>4</v>
      </c>
      <c r="K50" t="s">
        <v>20</v>
      </c>
      <c r="L50" t="s">
        <v>6</v>
      </c>
      <c r="M50" t="s">
        <v>295</v>
      </c>
    </row>
    <row r="51" s="1" customFormat="1" ht="18.75" customHeight="1" spans="1:14">
      <c r="A51" t="s">
        <v>296</v>
      </c>
      <c r="B51" t="s">
        <v>297</v>
      </c>
      <c r="C51" t="s">
        <v>298</v>
      </c>
      <c r="D51" t="s">
        <v>69</v>
      </c>
      <c r="E51" t="s">
        <v>77</v>
      </c>
      <c r="F51" t="s">
        <v>68</v>
      </c>
      <c r="G51" t="s">
        <v>16</v>
      </c>
      <c r="H51" t="s">
        <v>32</v>
      </c>
      <c r="I51" t="s">
        <v>46</v>
      </c>
      <c r="J51" t="s">
        <v>4</v>
      </c>
      <c r="K51" t="s">
        <v>20</v>
      </c>
      <c r="L51" t="s">
        <v>6</v>
      </c>
      <c r="N51" t="s">
        <v>299</v>
      </c>
    </row>
    <row r="52" s="1" customFormat="1" ht="18.75" customHeight="1" spans="1:14">
      <c r="A52" t="s">
        <v>300</v>
      </c>
      <c r="B52" t="s">
        <v>301</v>
      </c>
      <c r="C52" t="s">
        <v>302</v>
      </c>
      <c r="D52" t="s">
        <v>69</v>
      </c>
      <c r="E52" t="s">
        <v>77</v>
      </c>
      <c r="F52" t="s">
        <v>68</v>
      </c>
      <c r="G52" t="s">
        <v>16</v>
      </c>
      <c r="H52" t="s">
        <v>32</v>
      </c>
      <c r="I52" t="s">
        <v>46</v>
      </c>
      <c r="J52" t="s">
        <v>4</v>
      </c>
      <c r="K52" t="s">
        <v>20</v>
      </c>
      <c r="L52" t="s">
        <v>6</v>
      </c>
      <c r="N52" t="s">
        <v>303</v>
      </c>
    </row>
    <row r="53" s="1" customFormat="1" ht="18.75" customHeight="1" spans="1:14">
      <c r="A53" t="s">
        <v>304</v>
      </c>
      <c r="B53" t="s">
        <v>305</v>
      </c>
      <c r="C53" t="s">
        <v>306</v>
      </c>
      <c r="D53" t="s">
        <v>40</v>
      </c>
      <c r="E53" t="s">
        <v>77</v>
      </c>
      <c r="F53" t="s">
        <v>68</v>
      </c>
      <c r="G53" t="s">
        <v>16</v>
      </c>
      <c r="H53" t="s">
        <v>32</v>
      </c>
      <c r="I53" t="s">
        <v>46</v>
      </c>
      <c r="J53" t="s">
        <v>4</v>
      </c>
      <c r="K53" t="s">
        <v>20</v>
      </c>
      <c r="L53" t="s">
        <v>6</v>
      </c>
      <c r="N53" t="s">
        <v>307</v>
      </c>
    </row>
    <row r="54" s="1" customFormat="1" ht="18.75" customHeight="1" spans="1:14">
      <c r="A54" t="s">
        <v>308</v>
      </c>
      <c r="B54" t="s">
        <v>309</v>
      </c>
      <c r="C54" t="s">
        <v>310</v>
      </c>
      <c r="D54" t="s">
        <v>74</v>
      </c>
      <c r="E54" t="s">
        <v>79</v>
      </c>
      <c r="F54" t="s">
        <v>68</v>
      </c>
      <c r="G54" t="s">
        <v>31</v>
      </c>
      <c r="H54" t="s">
        <v>45</v>
      </c>
      <c r="I54" t="s">
        <v>46</v>
      </c>
      <c r="J54" t="s">
        <v>19</v>
      </c>
      <c r="K54" t="s">
        <v>20</v>
      </c>
      <c r="L54" t="s">
        <v>6</v>
      </c>
      <c r="N54" t="s">
        <v>311</v>
      </c>
    </row>
    <row r="55" ht="18.75" customHeight="1" spans="1:14">
      <c r="A55" t="s">
        <v>312</v>
      </c>
      <c r="B55" t="s">
        <v>313</v>
      </c>
      <c r="C55" t="s">
        <v>314</v>
      </c>
      <c r="D55" t="s">
        <v>40</v>
      </c>
      <c r="E55" t="s">
        <v>79</v>
      </c>
      <c r="F55" t="s">
        <v>68</v>
      </c>
      <c r="G55" t="s">
        <v>31</v>
      </c>
      <c r="H55" t="s">
        <v>45</v>
      </c>
      <c r="I55" t="s">
        <v>46</v>
      </c>
      <c r="J55" t="s">
        <v>19</v>
      </c>
      <c r="K55" t="s">
        <v>20</v>
      </c>
      <c r="L55" t="s">
        <v>6</v>
      </c>
      <c r="N55" t="s">
        <v>315</v>
      </c>
    </row>
    <row r="56" ht="18.75" customHeight="1" spans="1:14">
      <c r="A56" t="s">
        <v>316</v>
      </c>
      <c r="B56" t="s">
        <v>317</v>
      </c>
      <c r="C56" t="s">
        <v>318</v>
      </c>
      <c r="D56" t="s">
        <v>74</v>
      </c>
      <c r="E56" t="s">
        <v>79</v>
      </c>
      <c r="F56" t="s">
        <v>68</v>
      </c>
      <c r="G56" t="s">
        <v>31</v>
      </c>
      <c r="H56" t="s">
        <v>45</v>
      </c>
      <c r="I56" t="s">
        <v>46</v>
      </c>
      <c r="J56" t="s">
        <v>19</v>
      </c>
      <c r="K56" t="s">
        <v>20</v>
      </c>
      <c r="L56" t="s">
        <v>6</v>
      </c>
      <c r="N56" t="s">
        <v>319</v>
      </c>
    </row>
    <row r="57" ht="18.75" customHeight="1" spans="1:14">
      <c r="A57" t="s">
        <v>320</v>
      </c>
      <c r="L57" t="s">
        <v>21</v>
      </c>
      <c r="N57" t="s">
        <v>321</v>
      </c>
    </row>
    <row r="58" s="1" customFormat="1" ht="18.75" customHeight="1" spans="1:13">
      <c r="A58" t="s">
        <v>322</v>
      </c>
      <c r="B58" t="s">
        <v>323</v>
      </c>
      <c r="C58" t="s">
        <v>324</v>
      </c>
      <c r="D58" t="s">
        <v>325</v>
      </c>
      <c r="E58" t="s">
        <v>326</v>
      </c>
      <c r="F58" t="s">
        <v>29</v>
      </c>
      <c r="G58" t="s">
        <v>1</v>
      </c>
      <c r="H58" t="s">
        <v>2</v>
      </c>
      <c r="I58" t="s">
        <v>3</v>
      </c>
      <c r="J58" t="s">
        <v>4</v>
      </c>
      <c r="K58" t="s">
        <v>20</v>
      </c>
      <c r="L58" t="s">
        <v>21</v>
      </c>
      <c r="M58" t="s">
        <v>327</v>
      </c>
    </row>
    <row r="59" s="1" customFormat="1" ht="18.75" customHeight="1" spans="1:14">
      <c r="A59" t="s">
        <v>328</v>
      </c>
      <c r="B59" t="s">
        <v>329</v>
      </c>
      <c r="C59" t="s">
        <v>330</v>
      </c>
      <c r="D59" t="s">
        <v>331</v>
      </c>
      <c r="E59" t="s">
        <v>332</v>
      </c>
      <c r="F59" t="s">
        <v>68</v>
      </c>
      <c r="G59" t="s">
        <v>1</v>
      </c>
      <c r="H59" t="s">
        <v>45</v>
      </c>
      <c r="I59" t="s">
        <v>3</v>
      </c>
      <c r="J59" t="s">
        <v>4</v>
      </c>
      <c r="K59" t="s">
        <v>20</v>
      </c>
      <c r="L59" t="s">
        <v>6</v>
      </c>
      <c r="N59" t="s">
        <v>333</v>
      </c>
    </row>
    <row r="60" s="1" customFormat="1" ht="18.75" customHeight="1" spans="1:14">
      <c r="A60" t="s">
        <v>334</v>
      </c>
      <c r="B60" t="s">
        <v>335</v>
      </c>
      <c r="C60" t="s">
        <v>336</v>
      </c>
      <c r="D60" t="s">
        <v>337</v>
      </c>
      <c r="E60" t="s">
        <v>338</v>
      </c>
      <c r="F60" t="s">
        <v>29</v>
      </c>
      <c r="G60" t="s">
        <v>1</v>
      </c>
      <c r="H60" t="s">
        <v>2</v>
      </c>
      <c r="I60" t="s">
        <v>18</v>
      </c>
      <c r="J60" t="s">
        <v>4</v>
      </c>
      <c r="K60" t="s">
        <v>5</v>
      </c>
      <c r="L60" t="s">
        <v>6</v>
      </c>
      <c r="N60" t="s">
        <v>339</v>
      </c>
    </row>
    <row r="61" s="1" customFormat="1" ht="18.75" customHeight="1" spans="1:14">
      <c r="A61" s="10"/>
      <c r="B61" s="34"/>
      <c r="C61" s="10"/>
      <c r="D61" s="11"/>
      <c r="E61" s="10"/>
      <c r="F61" s="34"/>
      <c r="G61" s="10"/>
      <c r="H61" s="11"/>
      <c r="I61" s="10"/>
      <c r="J61" s="11"/>
      <c r="K61" s="10"/>
      <c r="L61" s="11"/>
      <c r="M61" s="10"/>
      <c r="N61" s="11"/>
    </row>
    <row r="62" s="1" customFormat="1" ht="18.75" customHeight="1" spans="1:14">
      <c r="A62" s="10"/>
      <c r="B62" s="34"/>
      <c r="C62" s="10"/>
      <c r="D62" s="11"/>
      <c r="E62" s="10"/>
      <c r="F62" s="34"/>
      <c r="G62" s="10"/>
      <c r="H62" s="11"/>
      <c r="I62" s="10"/>
      <c r="J62" s="11"/>
      <c r="K62" s="10"/>
      <c r="L62" s="11"/>
      <c r="M62" s="10"/>
      <c r="N62" s="11"/>
    </row>
    <row r="63" s="1" customFormat="1" ht="18.75" customHeight="1" spans="1:14">
      <c r="A63" s="10"/>
      <c r="B63" s="34"/>
      <c r="C63" s="10"/>
      <c r="D63" s="11"/>
      <c r="E63" s="10"/>
      <c r="F63" s="34"/>
      <c r="G63" s="10"/>
      <c r="H63" s="11"/>
      <c r="I63" s="10"/>
      <c r="J63" s="11"/>
      <c r="K63" s="10"/>
      <c r="L63" s="11"/>
      <c r="M63" s="10"/>
      <c r="N63" s="11"/>
    </row>
    <row r="64" s="1" customFormat="1" ht="18.75" customHeight="1" spans="1:14">
      <c r="A64" s="10"/>
      <c r="B64" s="34"/>
      <c r="C64" s="10"/>
      <c r="D64" s="11"/>
      <c r="E64" s="10"/>
      <c r="F64" s="34"/>
      <c r="G64" s="10"/>
      <c r="H64" s="11"/>
      <c r="I64" s="10"/>
      <c r="J64" s="11"/>
      <c r="K64" s="10"/>
      <c r="L64" s="11"/>
      <c r="M64" s="10"/>
      <c r="N64" s="11"/>
    </row>
    <row r="65" s="1" customFormat="1" ht="18.75" customHeight="1" spans="1:14">
      <c r="A65" s="10"/>
      <c r="B65" s="34"/>
      <c r="C65" s="10"/>
      <c r="D65" s="11"/>
      <c r="E65" s="10"/>
      <c r="F65" s="34"/>
      <c r="G65" s="10"/>
      <c r="H65" s="11"/>
      <c r="I65" s="10"/>
      <c r="J65" s="11"/>
      <c r="K65" s="10"/>
      <c r="L65" s="11"/>
      <c r="M65" s="10"/>
      <c r="N65" s="11"/>
    </row>
    <row r="66" s="1" customFormat="1" ht="18.75" customHeight="1" spans="1:14">
      <c r="A66" s="10"/>
      <c r="B66" s="34"/>
      <c r="C66" s="10"/>
      <c r="D66" s="11"/>
      <c r="E66" s="10"/>
      <c r="F66" s="34"/>
      <c r="G66" s="10"/>
      <c r="H66" s="11"/>
      <c r="I66" s="10"/>
      <c r="J66" s="11"/>
      <c r="K66" s="10"/>
      <c r="L66" s="11"/>
      <c r="M66" s="10"/>
      <c r="N66" s="11"/>
    </row>
    <row r="67" s="1" customFormat="1" ht="18.75" customHeight="1" spans="1:20">
      <c r="A67" s="2"/>
      <c r="B67" s="21"/>
      <c r="C67" s="1"/>
      <c r="D67" s="1"/>
      <c r="E67" s="2"/>
      <c r="F67" s="22"/>
      <c r="G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="1" customFormat="1" ht="18.75" customHeight="1" spans="1:20">
      <c r="A68" s="2"/>
      <c r="B68" s="21"/>
      <c r="C68" s="1"/>
      <c r="D68" s="1"/>
      <c r="E68" s="2"/>
      <c r="F68" s="22"/>
      <c r="G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="1" customFormat="1" ht="18.75" customHeight="1" spans="1:20">
      <c r="A69" s="3" t="s">
        <v>340</v>
      </c>
      <c r="B69" s="4"/>
      <c r="C69" s="4"/>
      <c r="D69" s="4"/>
      <c r="E69" s="4"/>
      <c r="F69" s="4"/>
      <c r="G69" s="4"/>
      <c r="H69" s="4"/>
      <c r="I69" s="4"/>
      <c r="J69" s="4"/>
      <c r="K69" s="6"/>
      <c r="L69" s="2"/>
      <c r="M69" s="2"/>
      <c r="N69" s="2"/>
      <c r="O69" s="2"/>
      <c r="P69" s="2"/>
      <c r="Q69" s="2"/>
      <c r="R69" s="2"/>
      <c r="S69" s="2"/>
      <c r="T69" s="2"/>
    </row>
    <row r="70" s="1" customFormat="1" ht="18.75" customHeight="1" spans="1:11">
      <c r="A70" s="9" t="s">
        <v>124</v>
      </c>
      <c r="B70" s="25" t="s">
        <v>147</v>
      </c>
      <c r="C70" s="9" t="s">
        <v>341</v>
      </c>
      <c r="D70" s="9" t="s">
        <v>342</v>
      </c>
      <c r="E70" s="9" t="s">
        <v>343</v>
      </c>
      <c r="F70" s="25" t="s">
        <v>344</v>
      </c>
      <c r="G70" s="9" t="s">
        <v>171</v>
      </c>
      <c r="H70" s="9" t="s">
        <v>172</v>
      </c>
      <c r="I70" s="9" t="s">
        <v>345</v>
      </c>
      <c r="J70" s="9" t="s">
        <v>126</v>
      </c>
      <c r="K70" s="9" t="s">
        <v>198</v>
      </c>
    </row>
    <row r="71" s="1" customFormat="1" ht="18.75" customHeight="1" spans="1:11">
      <c r="A71" s="28" t="s">
        <v>346</v>
      </c>
      <c r="B71" s="32" t="s">
        <v>178</v>
      </c>
      <c r="C71" s="28" t="s">
        <v>347</v>
      </c>
      <c r="D71" s="33" t="s">
        <v>348</v>
      </c>
      <c r="E71" s="28" t="s">
        <v>13</v>
      </c>
      <c r="F71" s="32" t="s">
        <v>17</v>
      </c>
      <c r="G71" s="28" t="s">
        <v>199</v>
      </c>
      <c r="H71" s="33" t="s">
        <v>34</v>
      </c>
      <c r="I71" s="28" t="s">
        <v>6</v>
      </c>
      <c r="J71" s="33" t="s">
        <v>349</v>
      </c>
      <c r="K71" s="28" t="s">
        <v>350</v>
      </c>
    </row>
    <row r="72" s="1" customFormat="1" ht="18.75" customHeight="1" spans="1:11">
      <c r="A72" s="28" t="s">
        <v>351</v>
      </c>
      <c r="B72" s="32" t="s">
        <v>178</v>
      </c>
      <c r="C72" s="28" t="s">
        <v>347</v>
      </c>
      <c r="D72" s="33" t="s">
        <v>352</v>
      </c>
      <c r="E72" s="28" t="s">
        <v>13</v>
      </c>
      <c r="F72" s="32" t="s">
        <v>17</v>
      </c>
      <c r="G72" s="28" t="s">
        <v>205</v>
      </c>
      <c r="H72" s="33" t="s">
        <v>34</v>
      </c>
      <c r="I72" s="28" t="s">
        <v>6</v>
      </c>
      <c r="J72" s="33" t="s">
        <v>353</v>
      </c>
      <c r="K72" s="28" t="s">
        <v>354</v>
      </c>
    </row>
    <row r="73" s="1" customFormat="1" ht="18.75" customHeight="1" spans="1:11">
      <c r="A73" s="28" t="s">
        <v>355</v>
      </c>
      <c r="B73" s="32" t="s">
        <v>178</v>
      </c>
      <c r="C73" s="28" t="s">
        <v>347</v>
      </c>
      <c r="D73" s="33" t="s">
        <v>356</v>
      </c>
      <c r="E73" s="28" t="s">
        <v>13</v>
      </c>
      <c r="F73" s="32" t="s">
        <v>55</v>
      </c>
      <c r="G73" s="28" t="s">
        <v>208</v>
      </c>
      <c r="H73" s="33" t="s">
        <v>34</v>
      </c>
      <c r="I73" s="28" t="s">
        <v>6</v>
      </c>
      <c r="J73" s="33" t="s">
        <v>357</v>
      </c>
      <c r="K73" s="28" t="s">
        <v>358</v>
      </c>
    </row>
    <row r="74" s="1" customFormat="1" ht="18.75" customHeight="1" spans="1:11">
      <c r="A74" s="28" t="s">
        <v>359</v>
      </c>
      <c r="B74" s="32" t="s">
        <v>178</v>
      </c>
      <c r="C74" s="28" t="s">
        <v>309</v>
      </c>
      <c r="D74" s="33" t="s">
        <v>360</v>
      </c>
      <c r="E74" s="28" t="s">
        <v>70</v>
      </c>
      <c r="F74" s="32" t="s">
        <v>17</v>
      </c>
      <c r="G74" s="28" t="s">
        <v>214</v>
      </c>
      <c r="H74" s="33" t="s">
        <v>34</v>
      </c>
      <c r="I74" s="28" t="s">
        <v>6</v>
      </c>
      <c r="J74" s="33" t="s">
        <v>361</v>
      </c>
      <c r="K74" s="28"/>
    </row>
    <row r="75" s="1" customFormat="1" ht="18.75" customHeight="1" spans="1:11">
      <c r="A75" s="28" t="s">
        <v>362</v>
      </c>
      <c r="B75" s="32" t="s">
        <v>178</v>
      </c>
      <c r="C75" s="28" t="s">
        <v>347</v>
      </c>
      <c r="D75" s="33" t="s">
        <v>363</v>
      </c>
      <c r="E75" s="28" t="s">
        <v>13</v>
      </c>
      <c r="F75" s="32" t="s">
        <v>55</v>
      </c>
      <c r="G75" s="28" t="s">
        <v>218</v>
      </c>
      <c r="H75" s="33" t="s">
        <v>34</v>
      </c>
      <c r="I75" s="28" t="s">
        <v>6</v>
      </c>
      <c r="J75" s="33" t="s">
        <v>364</v>
      </c>
      <c r="K75" s="28" t="s">
        <v>365</v>
      </c>
    </row>
    <row r="76" s="1" customFormat="1" ht="18.75" customHeight="1" spans="1:11">
      <c r="A76" s="28" t="s">
        <v>366</v>
      </c>
      <c r="B76" s="32" t="s">
        <v>178</v>
      </c>
      <c r="C76" s="28" t="s">
        <v>309</v>
      </c>
      <c r="D76" s="33" t="s">
        <v>367</v>
      </c>
      <c r="E76" s="28" t="s">
        <v>67</v>
      </c>
      <c r="F76" s="32" t="s">
        <v>32</v>
      </c>
      <c r="G76" s="28" t="s">
        <v>222</v>
      </c>
      <c r="H76" s="33" t="s">
        <v>34</v>
      </c>
      <c r="I76" s="28" t="s">
        <v>6</v>
      </c>
      <c r="J76" s="33" t="s">
        <v>368</v>
      </c>
      <c r="K76" s="28" t="s">
        <v>369</v>
      </c>
    </row>
    <row r="77" s="1" customFormat="1" ht="18.75" customHeight="1" spans="1:11">
      <c r="A77" s="28" t="s">
        <v>370</v>
      </c>
      <c r="B77" s="32" t="s">
        <v>178</v>
      </c>
      <c r="C77" s="28" t="s">
        <v>309</v>
      </c>
      <c r="D77" s="33" t="s">
        <v>371</v>
      </c>
      <c r="E77" s="28" t="s">
        <v>67</v>
      </c>
      <c r="F77" s="32" t="s">
        <v>17</v>
      </c>
      <c r="G77" s="28" t="s">
        <v>226</v>
      </c>
      <c r="H77" s="33" t="s">
        <v>34</v>
      </c>
      <c r="I77" s="28" t="s">
        <v>6</v>
      </c>
      <c r="J77" s="33" t="s">
        <v>372</v>
      </c>
      <c r="K77" s="28"/>
    </row>
    <row r="78" s="1" customFormat="1" ht="18.75" customHeight="1" spans="1:11">
      <c r="A78" s="28" t="s">
        <v>373</v>
      </c>
      <c r="B78" s="32" t="s">
        <v>178</v>
      </c>
      <c r="C78" s="28" t="s">
        <v>347</v>
      </c>
      <c r="D78" s="33" t="s">
        <v>374</v>
      </c>
      <c r="E78" s="28" t="s">
        <v>13</v>
      </c>
      <c r="F78" s="32" t="s">
        <v>55</v>
      </c>
      <c r="G78" s="28" t="s">
        <v>229</v>
      </c>
      <c r="H78" s="33" t="s">
        <v>34</v>
      </c>
      <c r="I78" s="28" t="s">
        <v>6</v>
      </c>
      <c r="J78" s="33" t="s">
        <v>375</v>
      </c>
      <c r="K78" s="28" t="s">
        <v>376</v>
      </c>
    </row>
    <row r="79" s="1" customFormat="1" ht="18.75" customHeight="1" spans="1:11">
      <c r="A79" s="28" t="s">
        <v>377</v>
      </c>
      <c r="B79" s="32" t="s">
        <v>178</v>
      </c>
      <c r="C79" s="28" t="s">
        <v>309</v>
      </c>
      <c r="D79" s="33" t="s">
        <v>378</v>
      </c>
      <c r="E79" s="28" t="s">
        <v>67</v>
      </c>
      <c r="F79" s="32" t="s">
        <v>32</v>
      </c>
      <c r="G79" s="28" t="s">
        <v>234</v>
      </c>
      <c r="H79" s="33" t="s">
        <v>34</v>
      </c>
      <c r="I79" s="28" t="s">
        <v>6</v>
      </c>
      <c r="J79" s="33" t="s">
        <v>379</v>
      </c>
      <c r="K79" s="28"/>
    </row>
    <row r="80" s="1" customFormat="1" ht="18.75" customHeight="1" spans="1:11">
      <c r="A80" s="28" t="s">
        <v>380</v>
      </c>
      <c r="B80" s="32" t="s">
        <v>178</v>
      </c>
      <c r="C80" s="28" t="s">
        <v>309</v>
      </c>
      <c r="D80" s="33" t="s">
        <v>381</v>
      </c>
      <c r="E80" s="28" t="s">
        <v>67</v>
      </c>
      <c r="F80" s="32" t="s">
        <v>45</v>
      </c>
      <c r="G80" s="28" t="s">
        <v>238</v>
      </c>
      <c r="H80" s="33" t="s">
        <v>34</v>
      </c>
      <c r="I80" s="28" t="s">
        <v>6</v>
      </c>
      <c r="J80" s="33" t="s">
        <v>382</v>
      </c>
      <c r="K80" s="28"/>
    </row>
    <row r="81" s="1" customFormat="1" ht="18.75" customHeight="1" spans="1:11">
      <c r="A81" s="28" t="s">
        <v>383</v>
      </c>
      <c r="B81" s="32" t="s">
        <v>178</v>
      </c>
      <c r="C81" s="28" t="s">
        <v>347</v>
      </c>
      <c r="D81" s="33" t="s">
        <v>384</v>
      </c>
      <c r="E81" s="28" t="s">
        <v>13</v>
      </c>
      <c r="F81" s="32" t="s">
        <v>45</v>
      </c>
      <c r="G81" s="28" t="s">
        <v>244</v>
      </c>
      <c r="H81" s="33" t="s">
        <v>34</v>
      </c>
      <c r="I81" s="28" t="s">
        <v>6</v>
      </c>
      <c r="J81" s="33" t="s">
        <v>385</v>
      </c>
      <c r="K81" s="28" t="s">
        <v>386</v>
      </c>
    </row>
    <row r="82" s="1" customFormat="1" ht="18.75" customHeight="1" spans="1:11">
      <c r="A82" s="28" t="s">
        <v>387</v>
      </c>
      <c r="B82" s="32" t="s">
        <v>178</v>
      </c>
      <c r="C82" s="28" t="s">
        <v>388</v>
      </c>
      <c r="D82" s="33" t="s">
        <v>389</v>
      </c>
      <c r="E82" s="28" t="s">
        <v>75</v>
      </c>
      <c r="F82" s="32" t="s">
        <v>45</v>
      </c>
      <c r="G82" s="28" t="s">
        <v>246</v>
      </c>
      <c r="H82" s="33" t="s">
        <v>34</v>
      </c>
      <c r="I82" s="28" t="s">
        <v>6</v>
      </c>
      <c r="J82" s="33" t="s">
        <v>390</v>
      </c>
      <c r="K82" s="28" t="s">
        <v>386</v>
      </c>
    </row>
    <row r="83" s="1" customFormat="1" ht="18.75" customHeight="1" spans="1:11">
      <c r="A83" s="28" t="s">
        <v>391</v>
      </c>
      <c r="B83" s="32" t="s">
        <v>178</v>
      </c>
      <c r="C83" s="28" t="s">
        <v>392</v>
      </c>
      <c r="D83" s="33" t="s">
        <v>393</v>
      </c>
      <c r="E83" s="28" t="s">
        <v>77</v>
      </c>
      <c r="F83" s="32" t="s">
        <v>55</v>
      </c>
      <c r="G83" s="28" t="s">
        <v>249</v>
      </c>
      <c r="H83" s="33" t="s">
        <v>34</v>
      </c>
      <c r="I83" s="28" t="s">
        <v>6</v>
      </c>
      <c r="J83" s="33" t="s">
        <v>394</v>
      </c>
      <c r="K83" s="28" t="s">
        <v>395</v>
      </c>
    </row>
    <row r="84" s="1" customFormat="1" ht="18.75" customHeight="1" spans="1:11">
      <c r="A84" s="28" t="s">
        <v>396</v>
      </c>
      <c r="B84" s="32" t="s">
        <v>178</v>
      </c>
      <c r="C84" s="28" t="s">
        <v>347</v>
      </c>
      <c r="D84" s="33" t="s">
        <v>397</v>
      </c>
      <c r="E84" s="28" t="s">
        <v>13</v>
      </c>
      <c r="F84" s="32" t="s">
        <v>55</v>
      </c>
      <c r="G84" s="28" t="s">
        <v>253</v>
      </c>
      <c r="H84" s="33" t="s">
        <v>34</v>
      </c>
      <c r="I84" s="28" t="s">
        <v>6</v>
      </c>
      <c r="J84" s="33" t="s">
        <v>398</v>
      </c>
      <c r="K84" s="28" t="s">
        <v>399</v>
      </c>
    </row>
    <row r="85" s="1" customFormat="1" ht="18.75" customHeight="1" spans="1:11">
      <c r="A85" s="28" t="s">
        <v>400</v>
      </c>
      <c r="B85" s="32" t="s">
        <v>178</v>
      </c>
      <c r="C85" s="28" t="s">
        <v>347</v>
      </c>
      <c r="D85" s="33" t="s">
        <v>401</v>
      </c>
      <c r="E85" s="28" t="s">
        <v>13</v>
      </c>
      <c r="F85" s="32" t="s">
        <v>55</v>
      </c>
      <c r="G85" s="28" t="s">
        <v>257</v>
      </c>
      <c r="H85" s="33" t="s">
        <v>34</v>
      </c>
      <c r="I85" s="28" t="s">
        <v>6</v>
      </c>
      <c r="J85" s="33" t="s">
        <v>402</v>
      </c>
      <c r="K85" s="28"/>
    </row>
    <row r="86" s="1" customFormat="1" ht="18.75" customHeight="1" spans="1:11">
      <c r="A86" s="28" t="s">
        <v>403</v>
      </c>
      <c r="B86" s="32" t="s">
        <v>178</v>
      </c>
      <c r="C86" s="28" t="s">
        <v>309</v>
      </c>
      <c r="D86" s="33" t="s">
        <v>404</v>
      </c>
      <c r="E86" s="28" t="s">
        <v>70</v>
      </c>
      <c r="F86" s="32" t="s">
        <v>2</v>
      </c>
      <c r="G86" s="28" t="s">
        <v>261</v>
      </c>
      <c r="H86" s="33" t="s">
        <v>34</v>
      </c>
      <c r="I86" s="28" t="s">
        <v>6</v>
      </c>
      <c r="J86" s="33" t="s">
        <v>405</v>
      </c>
      <c r="K86" s="28"/>
    </row>
    <row r="87" s="1" customFormat="1" ht="18.75" customHeight="1" spans="1:11">
      <c r="A87" s="28" t="s">
        <v>406</v>
      </c>
      <c r="B87" s="32" t="s">
        <v>178</v>
      </c>
      <c r="C87" s="28" t="s">
        <v>309</v>
      </c>
      <c r="D87" s="33" t="s">
        <v>407</v>
      </c>
      <c r="E87" s="28" t="s">
        <v>78</v>
      </c>
      <c r="F87" s="32" t="s">
        <v>2</v>
      </c>
      <c r="G87" s="28" t="s">
        <v>264</v>
      </c>
      <c r="H87" s="33" t="s">
        <v>34</v>
      </c>
      <c r="I87" s="28" t="s">
        <v>6</v>
      </c>
      <c r="J87" s="33" t="s">
        <v>408</v>
      </c>
      <c r="K87" s="28"/>
    </row>
    <row r="88" s="1" customFormat="1" ht="18.75" customHeight="1" spans="1:11">
      <c r="A88" s="28" t="s">
        <v>409</v>
      </c>
      <c r="B88" s="32" t="s">
        <v>178</v>
      </c>
      <c r="C88" s="28" t="s">
        <v>313</v>
      </c>
      <c r="D88" s="33" t="s">
        <v>410</v>
      </c>
      <c r="E88" s="28" t="s">
        <v>77</v>
      </c>
      <c r="F88" s="32" t="s">
        <v>17</v>
      </c>
      <c r="G88" s="28" t="s">
        <v>267</v>
      </c>
      <c r="H88" s="33" t="s">
        <v>34</v>
      </c>
      <c r="I88" s="28" t="s">
        <v>6</v>
      </c>
      <c r="J88" s="33" t="s">
        <v>411</v>
      </c>
      <c r="K88" s="28" t="s">
        <v>412</v>
      </c>
    </row>
    <row r="89" ht="18.75" customHeight="1" spans="1:20">
      <c r="A89" s="28" t="s">
        <v>413</v>
      </c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1"/>
      <c r="S89" s="1"/>
      <c r="T89" s="1"/>
    </row>
    <row r="90" s="1" customFormat="1" ht="18.75" customHeight="1" spans="1:11">
      <c r="A90" s="28" t="s">
        <v>414</v>
      </c>
      <c r="B90" s="32" t="s">
        <v>178</v>
      </c>
      <c r="C90" s="28" t="s">
        <v>415</v>
      </c>
      <c r="D90" s="33" t="s">
        <v>416</v>
      </c>
      <c r="E90" s="28" t="s">
        <v>78</v>
      </c>
      <c r="F90" s="32" t="s">
        <v>2</v>
      </c>
      <c r="G90" s="28" t="s">
        <v>273</v>
      </c>
      <c r="H90" s="33" t="s">
        <v>34</v>
      </c>
      <c r="I90" s="28" t="s">
        <v>6</v>
      </c>
      <c r="J90" s="33" t="s">
        <v>417</v>
      </c>
      <c r="K90" s="28" t="s">
        <v>418</v>
      </c>
    </row>
    <row r="91" ht="18.75" customHeight="1" spans="1:20">
      <c r="A91" s="28" t="s">
        <v>419</v>
      </c>
      <c r="B91" s="32" t="s">
        <v>178</v>
      </c>
      <c r="C91" s="28" t="s">
        <v>420</v>
      </c>
      <c r="D91" s="33" t="s">
        <v>421</v>
      </c>
      <c r="E91" s="28" t="s">
        <v>13</v>
      </c>
      <c r="F91" s="32" t="s">
        <v>45</v>
      </c>
      <c r="G91" s="28" t="s">
        <v>276</v>
      </c>
      <c r="H91" s="33" t="s">
        <v>34</v>
      </c>
      <c r="I91" s="28" t="s">
        <v>6</v>
      </c>
      <c r="J91" s="33" t="s">
        <v>422</v>
      </c>
      <c r="K91" s="28" t="s">
        <v>423</v>
      </c>
      <c r="L91" s="1"/>
      <c r="M91" s="1"/>
      <c r="N91" s="1"/>
      <c r="O91" s="1"/>
      <c r="P91" s="1"/>
      <c r="Q91" s="1"/>
      <c r="R91" s="1"/>
      <c r="S91" s="1"/>
      <c r="T91" s="1"/>
    </row>
    <row r="92" ht="18.75" customHeight="1" spans="1:20">
      <c r="A92" s="28" t="s">
        <v>424</v>
      </c>
      <c r="B92" s="32" t="s">
        <v>178</v>
      </c>
      <c r="C92" s="28" t="s">
        <v>335</v>
      </c>
      <c r="D92" s="33" t="s">
        <v>425</v>
      </c>
      <c r="E92" s="28" t="s">
        <v>78</v>
      </c>
      <c r="F92" s="32" t="s">
        <v>45</v>
      </c>
      <c r="G92" s="28" t="s">
        <v>279</v>
      </c>
      <c r="H92" s="33" t="s">
        <v>34</v>
      </c>
      <c r="I92" s="28" t="s">
        <v>6</v>
      </c>
      <c r="J92" s="33" t="s">
        <v>426</v>
      </c>
      <c r="K92" s="28" t="s">
        <v>427</v>
      </c>
      <c r="L92" s="1"/>
      <c r="M92" s="1"/>
      <c r="N92" s="1"/>
      <c r="O92" s="1"/>
      <c r="P92" s="1"/>
      <c r="Q92" s="1"/>
      <c r="R92" s="1"/>
      <c r="S92" s="1"/>
      <c r="T92" s="1"/>
    </row>
    <row r="93" ht="18.75" customHeight="1" spans="1:20">
      <c r="A93" s="28" t="s">
        <v>428</v>
      </c>
      <c r="B93" s="32" t="s">
        <v>178</v>
      </c>
      <c r="C93" s="28" t="s">
        <v>429</v>
      </c>
      <c r="D93" s="33" t="s">
        <v>430</v>
      </c>
      <c r="E93" s="28" t="s">
        <v>41</v>
      </c>
      <c r="F93" s="32" t="s">
        <v>32</v>
      </c>
      <c r="G93" s="28" t="s">
        <v>282</v>
      </c>
      <c r="H93" s="33" t="s">
        <v>19</v>
      </c>
      <c r="I93" s="28" t="s">
        <v>21</v>
      </c>
      <c r="J93" s="33" t="s">
        <v>431</v>
      </c>
      <c r="K93" s="28" t="s">
        <v>432</v>
      </c>
      <c r="L93" s="1"/>
      <c r="M93" s="1"/>
      <c r="N93" s="1"/>
      <c r="O93" s="1"/>
      <c r="P93" s="1"/>
      <c r="Q93" s="1"/>
      <c r="R93" s="1"/>
      <c r="S93" s="1"/>
      <c r="T93" s="1"/>
    </row>
    <row r="94" ht="18.75" customHeight="1" spans="1:20">
      <c r="A94" s="28" t="s">
        <v>433</v>
      </c>
      <c r="B94" s="32" t="s">
        <v>178</v>
      </c>
      <c r="C94" s="28" t="s">
        <v>388</v>
      </c>
      <c r="D94" s="33" t="s">
        <v>434</v>
      </c>
      <c r="E94" s="28" t="s">
        <v>13</v>
      </c>
      <c r="F94" s="32" t="s">
        <v>17</v>
      </c>
      <c r="G94" s="28" t="s">
        <v>285</v>
      </c>
      <c r="H94" s="33" t="s">
        <v>34</v>
      </c>
      <c r="I94" s="28" t="s">
        <v>6</v>
      </c>
      <c r="J94" s="33" t="s">
        <v>435</v>
      </c>
      <c r="K94" s="28" t="s">
        <v>436</v>
      </c>
      <c r="L94" s="1"/>
      <c r="M94" s="1"/>
      <c r="N94" s="1"/>
      <c r="O94" s="1"/>
      <c r="P94" s="1"/>
      <c r="Q94" s="1"/>
      <c r="R94" s="1"/>
      <c r="S94" s="1"/>
      <c r="T94" s="1"/>
    </row>
    <row r="95" ht="18.75" customHeight="1" spans="1:20">
      <c r="A95" s="10"/>
      <c r="B95" s="34"/>
      <c r="C95" s="10"/>
      <c r="D95" s="11"/>
      <c r="E95" s="10"/>
      <c r="F95" s="34"/>
      <c r="G95" s="10"/>
      <c r="H95" s="11"/>
      <c r="I95" s="10"/>
      <c r="J95" s="11"/>
      <c r="K95" s="10"/>
      <c r="L95" s="1"/>
      <c r="M95" s="1"/>
      <c r="N95" s="1"/>
      <c r="O95" s="1"/>
      <c r="P95" s="1"/>
      <c r="Q95" s="1"/>
      <c r="R95" s="1"/>
      <c r="S95" s="1"/>
      <c r="T95" s="1"/>
    </row>
    <row r="96" ht="18.75" customHeight="1" spans="1:20">
      <c r="A96" s="10"/>
      <c r="B96" s="34"/>
      <c r="C96" s="10"/>
      <c r="D96" s="11"/>
      <c r="E96" s="10"/>
      <c r="F96" s="34"/>
      <c r="G96" s="10"/>
      <c r="H96" s="11"/>
      <c r="I96" s="10"/>
      <c r="J96" s="11"/>
      <c r="K96" s="10"/>
      <c r="L96" s="1"/>
      <c r="M96" s="1"/>
      <c r="N96" s="1"/>
      <c r="O96" s="1"/>
      <c r="P96" s="1"/>
      <c r="Q96" s="1"/>
      <c r="R96" s="1"/>
      <c r="S96" s="1"/>
      <c r="T96" s="1"/>
    </row>
    <row r="97" ht="18.75" customHeight="1" spans="1:20">
      <c r="A97" s="10"/>
      <c r="B97" s="34"/>
      <c r="C97" s="10"/>
      <c r="D97" s="11"/>
      <c r="E97" s="10"/>
      <c r="F97" s="34"/>
      <c r="G97" s="10"/>
      <c r="H97" s="11"/>
      <c r="I97" s="10"/>
      <c r="J97" s="11"/>
      <c r="K97" s="10"/>
      <c r="L97" s="1"/>
      <c r="M97" s="1"/>
      <c r="N97" s="1"/>
      <c r="O97" s="1"/>
      <c r="P97" s="1"/>
      <c r="Q97" s="1"/>
      <c r="R97" s="1"/>
      <c r="S97" s="1"/>
      <c r="T97" s="1"/>
    </row>
    <row r="98" ht="18.75" customHeight="1" spans="1:20">
      <c r="A98" s="10"/>
      <c r="B98" s="34"/>
      <c r="C98" s="10"/>
      <c r="D98" s="11"/>
      <c r="E98" s="10"/>
      <c r="F98" s="34"/>
      <c r="G98" s="10"/>
      <c r="H98" s="11"/>
      <c r="I98" s="10"/>
      <c r="J98" s="11"/>
      <c r="K98" s="10"/>
      <c r="L98" s="1"/>
      <c r="M98" s="1"/>
      <c r="N98" s="1"/>
      <c r="O98" s="1"/>
      <c r="P98" s="1"/>
      <c r="Q98" s="1"/>
      <c r="R98" s="1"/>
      <c r="S98" s="1"/>
      <c r="T98" s="1"/>
    </row>
    <row r="99" ht="18.75" customHeight="1" spans="1:20">
      <c r="A99" s="10"/>
      <c r="B99" s="34"/>
      <c r="C99" s="10"/>
      <c r="D99" s="11"/>
      <c r="E99" s="10"/>
      <c r="F99" s="34"/>
      <c r="G99" s="10"/>
      <c r="H99" s="11"/>
      <c r="I99" s="10"/>
      <c r="J99" s="11"/>
      <c r="K99" s="10"/>
      <c r="L99" s="1"/>
      <c r="M99" s="1"/>
      <c r="N99" s="1"/>
      <c r="O99" s="1"/>
      <c r="P99" s="1"/>
      <c r="Q99" s="1"/>
      <c r="R99" s="1"/>
      <c r="S99" s="1"/>
      <c r="T99" s="1"/>
    </row>
    <row r="100" ht="18.75" customHeight="1" spans="1:20">
      <c r="A100" s="10"/>
      <c r="B100" s="34"/>
      <c r="C100" s="10"/>
      <c r="D100" s="11"/>
      <c r="E100" s="10"/>
      <c r="F100" s="34"/>
      <c r="G100" s="10"/>
      <c r="H100" s="11"/>
      <c r="I100" s="10"/>
      <c r="J100" s="11"/>
      <c r="K100" s="10"/>
      <c r="L100" s="1"/>
      <c r="M100" s="1"/>
      <c r="N100" s="1"/>
      <c r="O100" s="1"/>
      <c r="P100" s="1"/>
      <c r="Q100" s="1"/>
      <c r="R100" s="1"/>
      <c r="S100" s="1"/>
      <c r="T100" s="1"/>
    </row>
    <row r="101" ht="18.75" customHeight="1" spans="1:17">
      <c r="A101" s="3" t="s">
        <v>437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6"/>
    </row>
    <row r="102" ht="18.75" customHeight="1" spans="1:20">
      <c r="A102" s="9" t="s">
        <v>147</v>
      </c>
      <c r="B102" s="25" t="s">
        <v>113</v>
      </c>
      <c r="C102" s="9" t="s">
        <v>124</v>
      </c>
      <c r="D102" s="9" t="s">
        <v>438</v>
      </c>
      <c r="E102" s="9" t="s">
        <v>439</v>
      </c>
      <c r="F102" s="25" t="s">
        <v>440</v>
      </c>
      <c r="G102" s="9" t="s">
        <v>129</v>
      </c>
      <c r="H102" s="9" t="s">
        <v>119</v>
      </c>
      <c r="I102" s="9" t="s">
        <v>441</v>
      </c>
      <c r="J102" s="9" t="s">
        <v>442</v>
      </c>
      <c r="K102" s="9" t="s">
        <v>443</v>
      </c>
      <c r="L102" s="9" t="s">
        <v>444</v>
      </c>
      <c r="M102" s="9" t="s">
        <v>445</v>
      </c>
      <c r="N102" s="9" t="s">
        <v>446</v>
      </c>
      <c r="O102" s="9" t="s">
        <v>447</v>
      </c>
      <c r="P102" s="9" t="s">
        <v>448</v>
      </c>
      <c r="Q102" s="9" t="s">
        <v>449</v>
      </c>
      <c r="R102" s="1"/>
      <c r="S102" s="1"/>
      <c r="T102" s="1"/>
    </row>
    <row r="103" ht="18.75" customHeight="1" spans="1:17">
      <c r="A103" s="10"/>
      <c r="B103" s="30"/>
      <c r="C103" s="10"/>
      <c r="D103" s="10"/>
      <c r="E103" s="10"/>
      <c r="F103" s="30"/>
      <c r="G103" s="10"/>
      <c r="H103" s="15" t="str">
        <f t="shared" ref="H103:H166" si="0">IFERROR(VLOOKUP($B103,$A$25:$N$62,7,FALSE),"")</f>
        <v/>
      </c>
      <c r="I103" s="16" t="str">
        <f t="shared" ref="I103:I166" si="1">IF($H91="Minor",1,IF($H91="Moderate",2,IF($H91="Major",3,IF($H91="Critical",4,""))))</f>
        <v/>
      </c>
      <c r="J103" s="17"/>
      <c r="K103" s="17"/>
      <c r="L103" s="16">
        <f t="shared" ref="L103:L166" si="2">IF(OR($G103="Exact TP",$G103="Equivalent TP"),1,0)</f>
        <v>0</v>
      </c>
      <c r="M103" s="16">
        <f t="shared" ref="M103:M166" si="3">IF(OR($G103="FP Extra",$G103="Harmful FP"),1,0)</f>
        <v>0</v>
      </c>
      <c r="N103" s="16">
        <f t="shared" ref="N103:N166" si="4">IF(OR($G103="FN",$G103="Partial"),1,0)</f>
        <v>0</v>
      </c>
      <c r="O103" s="16">
        <f t="shared" ref="O103:O166" si="5">IF($L91=1,$I91,0)</f>
        <v>0</v>
      </c>
      <c r="P103" s="16">
        <f t="shared" ref="P103:P166" si="6">IF($M91=1,$I91,0)</f>
        <v>0</v>
      </c>
      <c r="Q103" s="16">
        <f t="shared" ref="Q103:Q166" si="7">IF($N91=1,$I91,0)</f>
        <v>0</v>
      </c>
    </row>
    <row r="104" ht="18.75" customHeight="1" spans="1:17">
      <c r="A104" s="10"/>
      <c r="B104" s="30"/>
      <c r="C104" s="10"/>
      <c r="D104" s="10"/>
      <c r="E104" s="10"/>
      <c r="F104" s="30"/>
      <c r="G104" s="10"/>
      <c r="H104" s="15" t="str">
        <f t="shared" si="0"/>
        <v/>
      </c>
      <c r="I104" s="16" t="str">
        <f t="shared" si="1"/>
        <v/>
      </c>
      <c r="J104" s="17"/>
      <c r="K104" s="17"/>
      <c r="L104" s="16">
        <f t="shared" si="2"/>
        <v>0</v>
      </c>
      <c r="M104" s="16">
        <f t="shared" si="3"/>
        <v>0</v>
      </c>
      <c r="N104" s="16">
        <f t="shared" si="4"/>
        <v>0</v>
      </c>
      <c r="O104" s="16">
        <f t="shared" si="5"/>
        <v>0</v>
      </c>
      <c r="P104" s="16">
        <f t="shared" si="6"/>
        <v>0</v>
      </c>
      <c r="Q104" s="16">
        <f t="shared" si="7"/>
        <v>0</v>
      </c>
    </row>
    <row r="105" ht="18.75" customHeight="1" spans="1:17">
      <c r="A105" s="28" t="s">
        <v>199</v>
      </c>
      <c r="B105" s="27" t="s">
        <v>346</v>
      </c>
      <c r="C105" s="28" t="s">
        <v>450</v>
      </c>
      <c r="D105" s="28" t="s">
        <v>178</v>
      </c>
      <c r="E105" s="28" t="s">
        <v>6</v>
      </c>
      <c r="F105" s="27" t="s">
        <v>6</v>
      </c>
      <c r="G105" s="28" t="s">
        <v>451</v>
      </c>
      <c r="H105" s="15" t="str">
        <f t="shared" si="0"/>
        <v/>
      </c>
      <c r="I105" s="16" t="str">
        <f t="shared" si="1"/>
        <v/>
      </c>
      <c r="J105" s="17"/>
      <c r="K105" s="17"/>
      <c r="L105" s="16">
        <f t="shared" si="2"/>
        <v>0</v>
      </c>
      <c r="M105" s="16">
        <f t="shared" si="3"/>
        <v>0</v>
      </c>
      <c r="N105" s="16">
        <f t="shared" si="4"/>
        <v>0</v>
      </c>
      <c r="O105" s="16">
        <f t="shared" si="5"/>
        <v>0</v>
      </c>
      <c r="P105" s="16">
        <f t="shared" si="6"/>
        <v>0</v>
      </c>
      <c r="Q105" s="16">
        <f t="shared" si="7"/>
        <v>0</v>
      </c>
    </row>
    <row r="106" ht="18.75" customHeight="1" spans="1:17">
      <c r="A106" s="28" t="s">
        <v>205</v>
      </c>
      <c r="B106" s="27" t="s">
        <v>351</v>
      </c>
      <c r="C106" s="28" t="s">
        <v>450</v>
      </c>
      <c r="D106" s="28" t="s">
        <v>178</v>
      </c>
      <c r="E106" s="28" t="s">
        <v>6</v>
      </c>
      <c r="F106" s="27" t="s">
        <v>6</v>
      </c>
      <c r="G106" s="28" t="s">
        <v>451</v>
      </c>
      <c r="H106" s="15" t="str">
        <f t="shared" si="0"/>
        <v/>
      </c>
      <c r="I106" s="16" t="str">
        <f t="shared" si="1"/>
        <v/>
      </c>
      <c r="J106" s="17"/>
      <c r="K106" s="17"/>
      <c r="L106" s="16">
        <f t="shared" si="2"/>
        <v>0</v>
      </c>
      <c r="M106" s="16">
        <f t="shared" si="3"/>
        <v>0</v>
      </c>
      <c r="N106" s="16">
        <f t="shared" si="4"/>
        <v>0</v>
      </c>
      <c r="O106" s="16">
        <f t="shared" si="5"/>
        <v>0</v>
      </c>
      <c r="P106" s="16">
        <f t="shared" si="6"/>
        <v>0</v>
      </c>
      <c r="Q106" s="16">
        <f t="shared" si="7"/>
        <v>0</v>
      </c>
    </row>
    <row r="107" ht="18.75" customHeight="1" spans="1:17">
      <c r="A107" s="28" t="s">
        <v>208</v>
      </c>
      <c r="B107" s="27" t="s">
        <v>355</v>
      </c>
      <c r="C107" s="28" t="s">
        <v>450</v>
      </c>
      <c r="D107" s="28" t="s">
        <v>178</v>
      </c>
      <c r="E107" s="28" t="s">
        <v>6</v>
      </c>
      <c r="F107" s="27" t="s">
        <v>6</v>
      </c>
      <c r="G107" s="28" t="s">
        <v>451</v>
      </c>
      <c r="H107" s="15" t="str">
        <f t="shared" si="0"/>
        <v/>
      </c>
      <c r="I107" s="16" t="str">
        <f t="shared" si="1"/>
        <v/>
      </c>
      <c r="J107" s="17"/>
      <c r="K107" s="17"/>
      <c r="L107" s="16">
        <f t="shared" si="2"/>
        <v>0</v>
      </c>
      <c r="M107" s="16">
        <f t="shared" si="3"/>
        <v>0</v>
      </c>
      <c r="N107" s="16">
        <f t="shared" si="4"/>
        <v>0</v>
      </c>
      <c r="O107" s="16">
        <f t="shared" si="5"/>
        <v>0</v>
      </c>
      <c r="P107" s="16">
        <f t="shared" si="6"/>
        <v>0</v>
      </c>
      <c r="Q107" s="16">
        <f t="shared" si="7"/>
        <v>0</v>
      </c>
    </row>
    <row r="108" ht="18.75" customHeight="1" spans="1:17">
      <c r="A108" s="28" t="s">
        <v>214</v>
      </c>
      <c r="B108" s="27" t="s">
        <v>359</v>
      </c>
      <c r="C108" s="28" t="s">
        <v>450</v>
      </c>
      <c r="D108" s="28" t="s">
        <v>178</v>
      </c>
      <c r="E108" s="28" t="s">
        <v>6</v>
      </c>
      <c r="F108" s="27" t="s">
        <v>6</v>
      </c>
      <c r="G108" s="28" t="s">
        <v>451</v>
      </c>
      <c r="H108" s="15" t="str">
        <f t="shared" si="0"/>
        <v/>
      </c>
      <c r="I108" s="16" t="str">
        <f t="shared" si="1"/>
        <v/>
      </c>
      <c r="J108" s="17"/>
      <c r="K108" s="17"/>
      <c r="L108" s="16">
        <f t="shared" si="2"/>
        <v>0</v>
      </c>
      <c r="M108" s="16">
        <f t="shared" si="3"/>
        <v>0</v>
      </c>
      <c r="N108" s="16">
        <f t="shared" si="4"/>
        <v>0</v>
      </c>
      <c r="O108" s="16">
        <f t="shared" si="5"/>
        <v>0</v>
      </c>
      <c r="P108" s="16">
        <f t="shared" si="6"/>
        <v>0</v>
      </c>
      <c r="Q108" s="16">
        <f t="shared" si="7"/>
        <v>0</v>
      </c>
    </row>
    <row r="109" ht="18.75" customHeight="1" spans="1:17">
      <c r="A109" s="28" t="s">
        <v>218</v>
      </c>
      <c r="B109" s="27" t="s">
        <v>362</v>
      </c>
      <c r="C109" s="28" t="s">
        <v>450</v>
      </c>
      <c r="D109" s="28" t="s">
        <v>178</v>
      </c>
      <c r="E109" s="28" t="s">
        <v>6</v>
      </c>
      <c r="F109" s="27" t="s">
        <v>6</v>
      </c>
      <c r="G109" s="28" t="s">
        <v>451</v>
      </c>
      <c r="H109" s="15" t="str">
        <f t="shared" si="0"/>
        <v/>
      </c>
      <c r="I109" s="16" t="str">
        <f t="shared" si="1"/>
        <v/>
      </c>
      <c r="J109" s="17"/>
      <c r="K109" s="17"/>
      <c r="L109" s="16">
        <f t="shared" si="2"/>
        <v>0</v>
      </c>
      <c r="M109" s="16">
        <f t="shared" si="3"/>
        <v>0</v>
      </c>
      <c r="N109" s="16">
        <f t="shared" si="4"/>
        <v>0</v>
      </c>
      <c r="O109" s="16">
        <f t="shared" si="5"/>
        <v>0</v>
      </c>
      <c r="P109" s="16">
        <f t="shared" si="6"/>
        <v>0</v>
      </c>
      <c r="Q109" s="16">
        <f t="shared" si="7"/>
        <v>0</v>
      </c>
    </row>
    <row r="110" ht="18.75" customHeight="1" spans="1:17">
      <c r="A110" s="28" t="s">
        <v>222</v>
      </c>
      <c r="B110" s="27" t="s">
        <v>366</v>
      </c>
      <c r="C110" s="28" t="s">
        <v>450</v>
      </c>
      <c r="D110" s="28" t="s">
        <v>178</v>
      </c>
      <c r="E110" s="28" t="s">
        <v>6</v>
      </c>
      <c r="F110" s="27" t="s">
        <v>6</v>
      </c>
      <c r="G110" s="28" t="s">
        <v>451</v>
      </c>
      <c r="H110" s="15" t="str">
        <f t="shared" si="0"/>
        <v/>
      </c>
      <c r="I110" s="16" t="str">
        <f t="shared" si="1"/>
        <v/>
      </c>
      <c r="J110" s="17"/>
      <c r="K110" s="17"/>
      <c r="L110" s="16">
        <f t="shared" si="2"/>
        <v>0</v>
      </c>
      <c r="M110" s="16">
        <f t="shared" si="3"/>
        <v>0</v>
      </c>
      <c r="N110" s="16">
        <f t="shared" si="4"/>
        <v>0</v>
      </c>
      <c r="O110" s="16">
        <f t="shared" si="5"/>
        <v>0</v>
      </c>
      <c r="P110" s="16">
        <f t="shared" si="6"/>
        <v>0</v>
      </c>
      <c r="Q110" s="16">
        <f t="shared" si="7"/>
        <v>0</v>
      </c>
    </row>
    <row r="111" ht="18.75" customHeight="1" spans="1:17">
      <c r="A111" s="28" t="s">
        <v>226</v>
      </c>
      <c r="B111" s="27" t="s">
        <v>370</v>
      </c>
      <c r="C111" s="28" t="s">
        <v>450</v>
      </c>
      <c r="D111" s="28" t="s">
        <v>178</v>
      </c>
      <c r="E111" s="28" t="s">
        <v>6</v>
      </c>
      <c r="F111" s="27" t="s">
        <v>6</v>
      </c>
      <c r="G111" s="28" t="s">
        <v>451</v>
      </c>
      <c r="H111" s="15" t="str">
        <f t="shared" si="0"/>
        <v/>
      </c>
      <c r="I111" s="16" t="str">
        <f t="shared" si="1"/>
        <v/>
      </c>
      <c r="J111" s="17"/>
      <c r="K111" s="17"/>
      <c r="L111" s="16">
        <f t="shared" si="2"/>
        <v>0</v>
      </c>
      <c r="M111" s="16">
        <f t="shared" si="3"/>
        <v>0</v>
      </c>
      <c r="N111" s="16">
        <f t="shared" si="4"/>
        <v>0</v>
      </c>
      <c r="O111" s="16">
        <f t="shared" si="5"/>
        <v>0</v>
      </c>
      <c r="P111" s="16">
        <f t="shared" si="6"/>
        <v>0</v>
      </c>
      <c r="Q111" s="16">
        <f t="shared" si="7"/>
        <v>0</v>
      </c>
    </row>
    <row r="112" ht="18.75" customHeight="1" spans="1:17">
      <c r="A112" s="28" t="s">
        <v>229</v>
      </c>
      <c r="B112" s="27" t="s">
        <v>373</v>
      </c>
      <c r="C112" s="28" t="s">
        <v>450</v>
      </c>
      <c r="D112" s="28" t="s">
        <v>178</v>
      </c>
      <c r="E112" s="28" t="s">
        <v>6</v>
      </c>
      <c r="F112" s="27" t="s">
        <v>6</v>
      </c>
      <c r="G112" s="28" t="s">
        <v>451</v>
      </c>
      <c r="H112" s="15" t="str">
        <f t="shared" si="0"/>
        <v/>
      </c>
      <c r="I112" s="16" t="str">
        <f t="shared" si="1"/>
        <v/>
      </c>
      <c r="J112" s="17"/>
      <c r="K112" s="17"/>
      <c r="L112" s="16">
        <f t="shared" si="2"/>
        <v>0</v>
      </c>
      <c r="M112" s="16">
        <f t="shared" si="3"/>
        <v>0</v>
      </c>
      <c r="N112" s="16">
        <f t="shared" si="4"/>
        <v>0</v>
      </c>
      <c r="O112" s="16">
        <f t="shared" si="5"/>
        <v>0</v>
      </c>
      <c r="P112" s="16">
        <f t="shared" si="6"/>
        <v>0</v>
      </c>
      <c r="Q112" s="16">
        <f t="shared" si="7"/>
        <v>0</v>
      </c>
    </row>
    <row r="113" ht="18.75" customHeight="1" spans="1:17">
      <c r="A113" s="28" t="s">
        <v>234</v>
      </c>
      <c r="B113" s="27" t="s">
        <v>377</v>
      </c>
      <c r="C113" s="28" t="s">
        <v>450</v>
      </c>
      <c r="D113" s="28" t="s">
        <v>178</v>
      </c>
      <c r="E113" s="28" t="s">
        <v>6</v>
      </c>
      <c r="F113" s="27" t="s">
        <v>6</v>
      </c>
      <c r="G113" s="28" t="s">
        <v>451</v>
      </c>
      <c r="H113" s="15" t="str">
        <f t="shared" si="0"/>
        <v/>
      </c>
      <c r="I113" s="16" t="str">
        <f t="shared" si="1"/>
        <v/>
      </c>
      <c r="J113" s="17"/>
      <c r="K113" s="17"/>
      <c r="L113" s="16">
        <f t="shared" si="2"/>
        <v>0</v>
      </c>
      <c r="M113" s="16">
        <f t="shared" si="3"/>
        <v>0</v>
      </c>
      <c r="N113" s="16">
        <f t="shared" si="4"/>
        <v>0</v>
      </c>
      <c r="O113" s="16">
        <f t="shared" si="5"/>
        <v>0</v>
      </c>
      <c r="P113" s="16">
        <f t="shared" si="6"/>
        <v>0</v>
      </c>
      <c r="Q113" s="16">
        <f t="shared" si="7"/>
        <v>0</v>
      </c>
    </row>
    <row r="114" ht="18.75" customHeight="1" spans="1:17">
      <c r="A114" s="28" t="s">
        <v>238</v>
      </c>
      <c r="B114" s="27" t="s">
        <v>380</v>
      </c>
      <c r="C114" s="28" t="s">
        <v>450</v>
      </c>
      <c r="D114" s="28" t="s">
        <v>178</v>
      </c>
      <c r="E114" s="28" t="s">
        <v>6</v>
      </c>
      <c r="F114" s="27" t="s">
        <v>6</v>
      </c>
      <c r="G114" s="28" t="s">
        <v>451</v>
      </c>
      <c r="H114" s="15" t="str">
        <f t="shared" si="0"/>
        <v/>
      </c>
      <c r="I114" s="16" t="str">
        <f t="shared" si="1"/>
        <v/>
      </c>
      <c r="J114" s="17"/>
      <c r="K114" s="17"/>
      <c r="L114" s="16">
        <f t="shared" si="2"/>
        <v>0</v>
      </c>
      <c r="M114" s="16">
        <f t="shared" si="3"/>
        <v>0</v>
      </c>
      <c r="N114" s="16">
        <f t="shared" si="4"/>
        <v>0</v>
      </c>
      <c r="O114" s="16">
        <f t="shared" si="5"/>
        <v>0</v>
      </c>
      <c r="P114" s="16">
        <f t="shared" si="6"/>
        <v>0</v>
      </c>
      <c r="Q114" s="16">
        <f t="shared" si="7"/>
        <v>0</v>
      </c>
    </row>
    <row r="115" ht="18.75" customHeight="1" spans="1:17">
      <c r="A115" s="28" t="s">
        <v>244</v>
      </c>
      <c r="B115" s="27" t="s">
        <v>383</v>
      </c>
      <c r="C115" s="28" t="s">
        <v>450</v>
      </c>
      <c r="D115" s="28" t="s">
        <v>178</v>
      </c>
      <c r="E115" s="28" t="s">
        <v>6</v>
      </c>
      <c r="F115" s="27" t="s">
        <v>6</v>
      </c>
      <c r="G115" s="28" t="s">
        <v>451</v>
      </c>
      <c r="H115" s="15" t="str">
        <f t="shared" si="0"/>
        <v/>
      </c>
      <c r="I115" s="16" t="str">
        <f t="shared" si="1"/>
        <v/>
      </c>
      <c r="J115" s="17"/>
      <c r="K115" s="17"/>
      <c r="L115" s="16">
        <f t="shared" si="2"/>
        <v>0</v>
      </c>
      <c r="M115" s="16">
        <f t="shared" si="3"/>
        <v>0</v>
      </c>
      <c r="N115" s="16">
        <f t="shared" si="4"/>
        <v>0</v>
      </c>
      <c r="O115" s="16">
        <f t="shared" si="5"/>
        <v>0</v>
      </c>
      <c r="P115" s="16">
        <f t="shared" si="6"/>
        <v>0</v>
      </c>
      <c r="Q115" s="16">
        <f t="shared" si="7"/>
        <v>0</v>
      </c>
    </row>
    <row r="116" ht="18.75" customHeight="1" spans="1:17">
      <c r="A116" s="28" t="s">
        <v>246</v>
      </c>
      <c r="B116" s="27" t="s">
        <v>387</v>
      </c>
      <c r="C116" s="28" t="s">
        <v>450</v>
      </c>
      <c r="D116" s="28" t="s">
        <v>178</v>
      </c>
      <c r="E116" s="28" t="s">
        <v>6</v>
      </c>
      <c r="F116" s="27" t="s">
        <v>6</v>
      </c>
      <c r="G116" s="28" t="s">
        <v>451</v>
      </c>
      <c r="H116" s="15" t="str">
        <f t="shared" si="0"/>
        <v/>
      </c>
      <c r="I116" s="16" t="str">
        <f t="shared" si="1"/>
        <v/>
      </c>
      <c r="J116" s="17"/>
      <c r="K116" s="17"/>
      <c r="L116" s="16">
        <f t="shared" si="2"/>
        <v>0</v>
      </c>
      <c r="M116" s="16">
        <f t="shared" si="3"/>
        <v>0</v>
      </c>
      <c r="N116" s="16">
        <f t="shared" si="4"/>
        <v>0</v>
      </c>
      <c r="O116" s="16">
        <f t="shared" si="5"/>
        <v>0</v>
      </c>
      <c r="P116" s="16">
        <f t="shared" si="6"/>
        <v>0</v>
      </c>
      <c r="Q116" s="16">
        <f t="shared" si="7"/>
        <v>0</v>
      </c>
    </row>
    <row r="117" ht="18.75" customHeight="1" spans="1:17">
      <c r="A117" s="28" t="s">
        <v>249</v>
      </c>
      <c r="B117" s="27" t="s">
        <v>391</v>
      </c>
      <c r="C117" s="28" t="s">
        <v>450</v>
      </c>
      <c r="D117" s="28" t="s">
        <v>178</v>
      </c>
      <c r="E117" s="28" t="s">
        <v>6</v>
      </c>
      <c r="F117" s="27" t="s">
        <v>6</v>
      </c>
      <c r="G117" s="28" t="s">
        <v>451</v>
      </c>
      <c r="H117" s="15" t="str">
        <f t="shared" si="0"/>
        <v/>
      </c>
      <c r="I117" s="16" t="str">
        <f t="shared" si="1"/>
        <v/>
      </c>
      <c r="J117" s="17"/>
      <c r="K117" s="17"/>
      <c r="L117" s="16">
        <f t="shared" si="2"/>
        <v>0</v>
      </c>
      <c r="M117" s="16">
        <f t="shared" si="3"/>
        <v>0</v>
      </c>
      <c r="N117" s="16">
        <f t="shared" si="4"/>
        <v>0</v>
      </c>
      <c r="O117" s="16">
        <f t="shared" si="5"/>
        <v>0</v>
      </c>
      <c r="P117" s="16">
        <f t="shared" si="6"/>
        <v>0</v>
      </c>
      <c r="Q117" s="16">
        <f t="shared" si="7"/>
        <v>0</v>
      </c>
    </row>
    <row r="118" ht="18.75" customHeight="1" spans="1:17">
      <c r="A118" s="28" t="s">
        <v>253</v>
      </c>
      <c r="B118" s="27" t="s">
        <v>396</v>
      </c>
      <c r="C118" s="28" t="s">
        <v>450</v>
      </c>
      <c r="D118" s="28" t="s">
        <v>178</v>
      </c>
      <c r="E118" s="28" t="s">
        <v>6</v>
      </c>
      <c r="F118" s="27" t="s">
        <v>6</v>
      </c>
      <c r="G118" s="28" t="s">
        <v>451</v>
      </c>
      <c r="H118" s="15" t="str">
        <f t="shared" si="0"/>
        <v/>
      </c>
      <c r="I118" s="16" t="str">
        <f t="shared" si="1"/>
        <v/>
      </c>
      <c r="J118" s="17"/>
      <c r="K118" s="17"/>
      <c r="L118" s="16">
        <f t="shared" si="2"/>
        <v>0</v>
      </c>
      <c r="M118" s="16">
        <f t="shared" si="3"/>
        <v>0</v>
      </c>
      <c r="N118" s="16">
        <f t="shared" si="4"/>
        <v>0</v>
      </c>
      <c r="O118" s="16">
        <f t="shared" si="5"/>
        <v>0</v>
      </c>
      <c r="P118" s="16">
        <f t="shared" si="6"/>
        <v>0</v>
      </c>
      <c r="Q118" s="16">
        <f t="shared" si="7"/>
        <v>0</v>
      </c>
    </row>
    <row r="119" ht="18.75" customHeight="1" spans="1:17">
      <c r="A119" s="28" t="s">
        <v>257</v>
      </c>
      <c r="B119" s="27" t="s">
        <v>400</v>
      </c>
      <c r="C119" s="28" t="s">
        <v>450</v>
      </c>
      <c r="D119" s="28" t="s">
        <v>178</v>
      </c>
      <c r="E119" s="28" t="s">
        <v>6</v>
      </c>
      <c r="F119" s="27" t="s">
        <v>6</v>
      </c>
      <c r="G119" s="28" t="s">
        <v>451</v>
      </c>
      <c r="H119" s="15" t="str">
        <f t="shared" si="0"/>
        <v/>
      </c>
      <c r="I119" s="16" t="str">
        <f t="shared" si="1"/>
        <v/>
      </c>
      <c r="J119" s="17"/>
      <c r="K119" s="17"/>
      <c r="L119" s="16">
        <f t="shared" si="2"/>
        <v>0</v>
      </c>
      <c r="M119" s="16">
        <f t="shared" si="3"/>
        <v>0</v>
      </c>
      <c r="N119" s="16">
        <f t="shared" si="4"/>
        <v>0</v>
      </c>
      <c r="O119" s="16">
        <f t="shared" si="5"/>
        <v>0</v>
      </c>
      <c r="P119" s="16">
        <f t="shared" si="6"/>
        <v>0</v>
      </c>
      <c r="Q119" s="16">
        <f t="shared" si="7"/>
        <v>0</v>
      </c>
    </row>
    <row r="120" ht="18.75" customHeight="1" spans="1:17">
      <c r="A120" s="28" t="s">
        <v>261</v>
      </c>
      <c r="B120" s="27" t="s">
        <v>403</v>
      </c>
      <c r="C120" s="28" t="s">
        <v>450</v>
      </c>
      <c r="D120" s="28" t="s">
        <v>178</v>
      </c>
      <c r="E120" s="28" t="s">
        <v>6</v>
      </c>
      <c r="F120" s="27" t="s">
        <v>6</v>
      </c>
      <c r="G120" s="28" t="s">
        <v>451</v>
      </c>
      <c r="H120" s="15" t="str">
        <f t="shared" si="0"/>
        <v/>
      </c>
      <c r="I120" s="16" t="str">
        <f t="shared" si="1"/>
        <v/>
      </c>
      <c r="J120" s="17"/>
      <c r="K120" s="17"/>
      <c r="L120" s="16">
        <f t="shared" si="2"/>
        <v>0</v>
      </c>
      <c r="M120" s="16">
        <f t="shared" si="3"/>
        <v>0</v>
      </c>
      <c r="N120" s="16">
        <f t="shared" si="4"/>
        <v>0</v>
      </c>
      <c r="O120" s="16">
        <f t="shared" si="5"/>
        <v>0</v>
      </c>
      <c r="P120" s="16">
        <f t="shared" si="6"/>
        <v>0</v>
      </c>
      <c r="Q120" s="16">
        <f t="shared" si="7"/>
        <v>0</v>
      </c>
    </row>
    <row r="121" ht="18.75" customHeight="1" spans="1:17">
      <c r="A121" s="28" t="s">
        <v>264</v>
      </c>
      <c r="B121" s="27" t="s">
        <v>406</v>
      </c>
      <c r="C121" s="28" t="s">
        <v>450</v>
      </c>
      <c r="D121" s="28" t="s">
        <v>178</v>
      </c>
      <c r="E121" s="28" t="s">
        <v>6</v>
      </c>
      <c r="F121" s="27" t="s">
        <v>6</v>
      </c>
      <c r="G121" s="28" t="s">
        <v>451</v>
      </c>
      <c r="H121" s="15" t="str">
        <f t="shared" si="0"/>
        <v/>
      </c>
      <c r="I121" s="16" t="str">
        <f t="shared" si="1"/>
        <v/>
      </c>
      <c r="J121" s="17"/>
      <c r="K121" s="17"/>
      <c r="L121" s="16">
        <f t="shared" si="2"/>
        <v>0</v>
      </c>
      <c r="M121" s="16">
        <f t="shared" si="3"/>
        <v>0</v>
      </c>
      <c r="N121" s="16">
        <f t="shared" si="4"/>
        <v>0</v>
      </c>
      <c r="O121" s="16">
        <f t="shared" si="5"/>
        <v>0</v>
      </c>
      <c r="P121" s="16">
        <f t="shared" si="6"/>
        <v>0</v>
      </c>
      <c r="Q121" s="16">
        <f t="shared" si="7"/>
        <v>0</v>
      </c>
    </row>
    <row r="122" ht="18.75" customHeight="1" spans="1:17">
      <c r="A122" s="28" t="s">
        <v>267</v>
      </c>
      <c r="B122" s="27" t="s">
        <v>409</v>
      </c>
      <c r="C122" s="28" t="s">
        <v>450</v>
      </c>
      <c r="D122" s="28" t="s">
        <v>178</v>
      </c>
      <c r="E122" s="28" t="s">
        <v>6</v>
      </c>
      <c r="F122" s="27" t="s">
        <v>6</v>
      </c>
      <c r="G122" s="28" t="s">
        <v>451</v>
      </c>
      <c r="H122" s="15" t="str">
        <f t="shared" si="0"/>
        <v/>
      </c>
      <c r="I122" s="16" t="str">
        <f t="shared" si="1"/>
        <v/>
      </c>
      <c r="J122" s="17"/>
      <c r="K122" s="17"/>
      <c r="L122" s="16">
        <f t="shared" si="2"/>
        <v>0</v>
      </c>
      <c r="M122" s="16">
        <f t="shared" si="3"/>
        <v>0</v>
      </c>
      <c r="N122" s="16">
        <f t="shared" si="4"/>
        <v>0</v>
      </c>
      <c r="O122" s="16">
        <f t="shared" si="5"/>
        <v>0</v>
      </c>
      <c r="P122" s="16">
        <f t="shared" si="6"/>
        <v>0</v>
      </c>
      <c r="Q122" s="16">
        <f t="shared" si="7"/>
        <v>0</v>
      </c>
    </row>
    <row r="123" ht="18.75" customHeight="1" spans="1:17">
      <c r="A123" s="28" t="s">
        <v>270</v>
      </c>
      <c r="B123" s="27" t="s">
        <v>413</v>
      </c>
      <c r="C123" s="28" t="s">
        <v>450</v>
      </c>
      <c r="D123" s="28" t="s">
        <v>178</v>
      </c>
      <c r="E123" s="28" t="s">
        <v>6</v>
      </c>
      <c r="F123" s="27" t="s">
        <v>6</v>
      </c>
      <c r="G123" s="28" t="s">
        <v>451</v>
      </c>
      <c r="H123" s="15" t="str">
        <f t="shared" si="0"/>
        <v/>
      </c>
      <c r="I123" s="16" t="str">
        <f t="shared" si="1"/>
        <v/>
      </c>
      <c r="J123" s="17"/>
      <c r="K123" s="17"/>
      <c r="L123" s="16">
        <f t="shared" si="2"/>
        <v>0</v>
      </c>
      <c r="M123" s="16">
        <f t="shared" si="3"/>
        <v>0</v>
      </c>
      <c r="N123" s="16">
        <f t="shared" si="4"/>
        <v>0</v>
      </c>
      <c r="O123" s="16">
        <f t="shared" si="5"/>
        <v>0</v>
      </c>
      <c r="P123" s="16">
        <f t="shared" si="6"/>
        <v>0</v>
      </c>
      <c r="Q123" s="16">
        <f t="shared" si="7"/>
        <v>0</v>
      </c>
    </row>
    <row r="124" ht="18.75" customHeight="1" spans="1:17">
      <c r="A124" s="28" t="s">
        <v>273</v>
      </c>
      <c r="B124" s="27" t="s">
        <v>414</v>
      </c>
      <c r="C124" s="28" t="s">
        <v>450</v>
      </c>
      <c r="D124" s="28" t="s">
        <v>178</v>
      </c>
      <c r="E124" s="28" t="s">
        <v>6</v>
      </c>
      <c r="F124" s="27" t="s">
        <v>6</v>
      </c>
      <c r="G124" s="28" t="s">
        <v>451</v>
      </c>
      <c r="H124" s="15" t="str">
        <f t="shared" si="0"/>
        <v/>
      </c>
      <c r="I124" s="16" t="str">
        <f t="shared" si="1"/>
        <v/>
      </c>
      <c r="J124" s="17"/>
      <c r="K124" s="17"/>
      <c r="L124" s="16">
        <f t="shared" si="2"/>
        <v>0</v>
      </c>
      <c r="M124" s="16">
        <f t="shared" si="3"/>
        <v>0</v>
      </c>
      <c r="N124" s="16">
        <f t="shared" si="4"/>
        <v>0</v>
      </c>
      <c r="O124" s="16">
        <f t="shared" si="5"/>
        <v>0</v>
      </c>
      <c r="P124" s="16">
        <f t="shared" si="6"/>
        <v>0</v>
      </c>
      <c r="Q124" s="16">
        <f t="shared" si="7"/>
        <v>0</v>
      </c>
    </row>
    <row r="125" ht="18.75" customHeight="1" spans="1:17">
      <c r="A125" s="28" t="s">
        <v>276</v>
      </c>
      <c r="B125" s="27" t="s">
        <v>419</v>
      </c>
      <c r="C125" s="28" t="s">
        <v>450</v>
      </c>
      <c r="D125" s="28" t="s">
        <v>178</v>
      </c>
      <c r="E125" s="28" t="s">
        <v>6</v>
      </c>
      <c r="F125" s="27" t="s">
        <v>6</v>
      </c>
      <c r="G125" s="28" t="s">
        <v>451</v>
      </c>
      <c r="H125" s="15" t="str">
        <f t="shared" si="0"/>
        <v/>
      </c>
      <c r="I125" s="16" t="str">
        <f t="shared" si="1"/>
        <v/>
      </c>
      <c r="J125" s="17"/>
      <c r="K125" s="17"/>
      <c r="L125" s="16">
        <f t="shared" si="2"/>
        <v>0</v>
      </c>
      <c r="M125" s="16">
        <f t="shared" si="3"/>
        <v>0</v>
      </c>
      <c r="N125" s="16">
        <f t="shared" si="4"/>
        <v>0</v>
      </c>
      <c r="O125" s="16">
        <f t="shared" si="5"/>
        <v>0</v>
      </c>
      <c r="P125" s="16">
        <f t="shared" si="6"/>
        <v>0</v>
      </c>
      <c r="Q125" s="16">
        <f t="shared" si="7"/>
        <v>0</v>
      </c>
    </row>
    <row r="126" ht="18.75" customHeight="1" spans="1:17">
      <c r="A126" s="28" t="s">
        <v>279</v>
      </c>
      <c r="B126" s="27" t="s">
        <v>424</v>
      </c>
      <c r="C126" s="28" t="s">
        <v>450</v>
      </c>
      <c r="D126" s="28" t="s">
        <v>178</v>
      </c>
      <c r="E126" s="28" t="s">
        <v>6</v>
      </c>
      <c r="F126" s="27" t="s">
        <v>6</v>
      </c>
      <c r="G126" s="28" t="s">
        <v>451</v>
      </c>
      <c r="H126" s="15" t="str">
        <f t="shared" si="0"/>
        <v/>
      </c>
      <c r="I126" s="16" t="str">
        <f t="shared" si="1"/>
        <v/>
      </c>
      <c r="J126" s="17"/>
      <c r="K126" s="17"/>
      <c r="L126" s="16">
        <f t="shared" si="2"/>
        <v>0</v>
      </c>
      <c r="M126" s="16">
        <f t="shared" si="3"/>
        <v>0</v>
      </c>
      <c r="N126" s="16">
        <f t="shared" si="4"/>
        <v>0</v>
      </c>
      <c r="O126" s="16">
        <f t="shared" si="5"/>
        <v>0</v>
      </c>
      <c r="P126" s="16">
        <f t="shared" si="6"/>
        <v>0</v>
      </c>
      <c r="Q126" s="16">
        <f t="shared" si="7"/>
        <v>0</v>
      </c>
    </row>
    <row r="127" ht="18.75" customHeight="1" spans="1:17">
      <c r="A127" s="28" t="s">
        <v>282</v>
      </c>
      <c r="B127" s="27" t="s">
        <v>428</v>
      </c>
      <c r="C127" s="28" t="s">
        <v>37</v>
      </c>
      <c r="D127" s="28" t="s">
        <v>178</v>
      </c>
      <c r="E127" s="28" t="s">
        <v>6</v>
      </c>
      <c r="F127" s="27" t="s">
        <v>6</v>
      </c>
      <c r="G127" s="28" t="s">
        <v>37</v>
      </c>
      <c r="H127" s="15" t="str">
        <f t="shared" si="0"/>
        <v/>
      </c>
      <c r="I127" s="16" t="str">
        <f t="shared" si="1"/>
        <v/>
      </c>
      <c r="J127" s="17"/>
      <c r="K127" s="17"/>
      <c r="L127" s="16">
        <f t="shared" si="2"/>
        <v>0</v>
      </c>
      <c r="M127" s="16">
        <f t="shared" si="3"/>
        <v>0</v>
      </c>
      <c r="N127" s="16">
        <f t="shared" si="4"/>
        <v>1</v>
      </c>
      <c r="O127" s="16">
        <f t="shared" si="5"/>
        <v>0</v>
      </c>
      <c r="P127" s="16">
        <f t="shared" si="6"/>
        <v>0</v>
      </c>
      <c r="Q127" s="16">
        <f t="shared" si="7"/>
        <v>0</v>
      </c>
    </row>
    <row r="128" ht="18.75" customHeight="1" spans="1:17">
      <c r="A128" s="28" t="s">
        <v>285</v>
      </c>
      <c r="B128" s="27" t="s">
        <v>433</v>
      </c>
      <c r="C128" s="28" t="s">
        <v>450</v>
      </c>
      <c r="D128" s="28" t="s">
        <v>178</v>
      </c>
      <c r="E128" s="28" t="s">
        <v>6</v>
      </c>
      <c r="F128" s="27" t="s">
        <v>6</v>
      </c>
      <c r="G128" s="28" t="s">
        <v>451</v>
      </c>
      <c r="H128" s="15" t="str">
        <f t="shared" si="0"/>
        <v/>
      </c>
      <c r="I128" s="16" t="str">
        <f t="shared" si="1"/>
        <v/>
      </c>
      <c r="J128" s="17"/>
      <c r="K128" s="17"/>
      <c r="L128" s="16">
        <f t="shared" si="2"/>
        <v>0</v>
      </c>
      <c r="M128" s="16">
        <f t="shared" si="3"/>
        <v>0</v>
      </c>
      <c r="N128" s="16">
        <f t="shared" si="4"/>
        <v>0</v>
      </c>
      <c r="O128" s="16">
        <f t="shared" si="5"/>
        <v>0</v>
      </c>
      <c r="P128" s="16">
        <f t="shared" si="6"/>
        <v>0</v>
      </c>
      <c r="Q128" s="16">
        <f t="shared" si="7"/>
        <v>0</v>
      </c>
    </row>
    <row r="129" ht="18.75" customHeight="1" spans="1:17">
      <c r="A129" s="10"/>
      <c r="B129" s="30"/>
      <c r="C129" s="10"/>
      <c r="D129" s="10"/>
      <c r="E129" s="10"/>
      <c r="F129" s="30"/>
      <c r="G129" s="10"/>
      <c r="H129" s="15" t="str">
        <f t="shared" si="0"/>
        <v/>
      </c>
      <c r="I129" s="16" t="str">
        <f t="shared" si="1"/>
        <v/>
      </c>
      <c r="J129" s="17"/>
      <c r="K129" s="17"/>
      <c r="L129" s="16">
        <f t="shared" si="2"/>
        <v>0</v>
      </c>
      <c r="M129" s="16">
        <f t="shared" si="3"/>
        <v>0</v>
      </c>
      <c r="N129" s="16">
        <f t="shared" si="4"/>
        <v>0</v>
      </c>
      <c r="O129" s="16">
        <f t="shared" si="5"/>
        <v>0</v>
      </c>
      <c r="P129" s="16">
        <f t="shared" si="6"/>
        <v>0</v>
      </c>
      <c r="Q129" s="16">
        <f t="shared" si="7"/>
        <v>0</v>
      </c>
    </row>
    <row r="130" ht="18.75" customHeight="1" spans="1:17">
      <c r="A130" s="10"/>
      <c r="B130" s="30"/>
      <c r="C130" s="10"/>
      <c r="D130" s="10"/>
      <c r="E130" s="10"/>
      <c r="F130" s="30"/>
      <c r="G130" s="10"/>
      <c r="H130" s="15" t="str">
        <f t="shared" si="0"/>
        <v/>
      </c>
      <c r="I130" s="16" t="str">
        <f t="shared" si="1"/>
        <v/>
      </c>
      <c r="J130" s="17"/>
      <c r="K130" s="17"/>
      <c r="L130" s="16">
        <f t="shared" si="2"/>
        <v>0</v>
      </c>
      <c r="M130" s="16">
        <f t="shared" si="3"/>
        <v>0</v>
      </c>
      <c r="N130" s="16">
        <f t="shared" si="4"/>
        <v>0</v>
      </c>
      <c r="O130" s="16">
        <f t="shared" si="5"/>
        <v>0</v>
      </c>
      <c r="P130" s="16">
        <f t="shared" si="6"/>
        <v>0</v>
      </c>
      <c r="Q130" s="16">
        <f t="shared" si="7"/>
        <v>0</v>
      </c>
    </row>
    <row r="131" ht="18.75" customHeight="1" spans="1:17">
      <c r="A131" s="10"/>
      <c r="B131" s="30"/>
      <c r="C131" s="10"/>
      <c r="D131" s="10"/>
      <c r="E131" s="10"/>
      <c r="F131" s="30"/>
      <c r="G131" s="10"/>
      <c r="H131" s="15" t="str">
        <f t="shared" si="0"/>
        <v/>
      </c>
      <c r="I131" s="16" t="str">
        <f t="shared" si="1"/>
        <v/>
      </c>
      <c r="J131" s="17"/>
      <c r="K131" s="17"/>
      <c r="L131" s="16">
        <f t="shared" si="2"/>
        <v>0</v>
      </c>
      <c r="M131" s="16">
        <f t="shared" si="3"/>
        <v>0</v>
      </c>
      <c r="N131" s="16">
        <f t="shared" si="4"/>
        <v>0</v>
      </c>
      <c r="O131" s="16">
        <f t="shared" si="5"/>
        <v>0</v>
      </c>
      <c r="P131" s="16">
        <f t="shared" si="6"/>
        <v>0</v>
      </c>
      <c r="Q131" s="16">
        <f t="shared" si="7"/>
        <v>0</v>
      </c>
    </row>
    <row r="132" ht="18.75" customHeight="1" spans="1:17">
      <c r="A132" s="10"/>
      <c r="B132" s="30"/>
      <c r="C132" s="10"/>
      <c r="D132" s="10"/>
      <c r="E132" s="10"/>
      <c r="F132" s="30"/>
      <c r="G132" s="10"/>
      <c r="H132" s="15" t="str">
        <f t="shared" si="0"/>
        <v/>
      </c>
      <c r="I132" s="16" t="str">
        <f t="shared" si="1"/>
        <v/>
      </c>
      <c r="J132" s="17"/>
      <c r="K132" s="17"/>
      <c r="L132" s="16">
        <f t="shared" si="2"/>
        <v>0</v>
      </c>
      <c r="M132" s="16">
        <f t="shared" si="3"/>
        <v>0</v>
      </c>
      <c r="N132" s="16">
        <f t="shared" si="4"/>
        <v>0</v>
      </c>
      <c r="O132" s="16">
        <f t="shared" si="5"/>
        <v>0</v>
      </c>
      <c r="P132" s="16">
        <f t="shared" si="6"/>
        <v>0</v>
      </c>
      <c r="Q132" s="16">
        <f t="shared" si="7"/>
        <v>0</v>
      </c>
    </row>
    <row r="133" ht="18.75" customHeight="1" spans="1:17">
      <c r="A133" s="10"/>
      <c r="B133" s="30"/>
      <c r="C133" s="10"/>
      <c r="D133" s="10"/>
      <c r="E133" s="10"/>
      <c r="F133" s="30"/>
      <c r="G133" s="10"/>
      <c r="H133" s="15" t="str">
        <f t="shared" si="0"/>
        <v/>
      </c>
      <c r="I133" s="16" t="str">
        <f t="shared" si="1"/>
        <v/>
      </c>
      <c r="J133" s="17"/>
      <c r="K133" s="17"/>
      <c r="L133" s="16">
        <f t="shared" si="2"/>
        <v>0</v>
      </c>
      <c r="M133" s="16">
        <f t="shared" si="3"/>
        <v>0</v>
      </c>
      <c r="N133" s="16">
        <f t="shared" si="4"/>
        <v>0</v>
      </c>
      <c r="O133" s="16">
        <f t="shared" si="5"/>
        <v>0</v>
      </c>
      <c r="P133" s="16">
        <f t="shared" si="6"/>
        <v>0</v>
      </c>
      <c r="Q133" s="16">
        <f t="shared" si="7"/>
        <v>0</v>
      </c>
    </row>
    <row r="134" ht="18.75" customHeight="1" spans="1:17">
      <c r="A134" s="10"/>
      <c r="B134" s="30"/>
      <c r="C134" s="10"/>
      <c r="D134" s="10"/>
      <c r="E134" s="10"/>
      <c r="F134" s="30"/>
      <c r="G134" s="10"/>
      <c r="H134" s="15" t="str">
        <f t="shared" si="0"/>
        <v/>
      </c>
      <c r="I134" s="16" t="str">
        <f t="shared" si="1"/>
        <v/>
      </c>
      <c r="J134" s="17"/>
      <c r="K134" s="17"/>
      <c r="L134" s="16">
        <f t="shared" si="2"/>
        <v>0</v>
      </c>
      <c r="M134" s="16">
        <f t="shared" si="3"/>
        <v>0</v>
      </c>
      <c r="N134" s="16">
        <f t="shared" si="4"/>
        <v>0</v>
      </c>
      <c r="O134" s="16">
        <f t="shared" si="5"/>
        <v>0</v>
      </c>
      <c r="P134" s="16">
        <f t="shared" si="6"/>
        <v>0</v>
      </c>
      <c r="Q134" s="16">
        <f t="shared" si="7"/>
        <v>0</v>
      </c>
    </row>
    <row r="135" ht="18.75" customHeight="1" spans="1:17">
      <c r="A135" s="10"/>
      <c r="B135" s="30"/>
      <c r="C135" s="10"/>
      <c r="D135" s="10"/>
      <c r="E135" s="10"/>
      <c r="F135" s="30"/>
      <c r="G135" s="10"/>
      <c r="H135" s="15" t="str">
        <f t="shared" si="0"/>
        <v/>
      </c>
      <c r="I135" s="16" t="str">
        <f t="shared" si="1"/>
        <v/>
      </c>
      <c r="J135" s="17"/>
      <c r="K135" s="17"/>
      <c r="L135" s="16">
        <f t="shared" si="2"/>
        <v>0</v>
      </c>
      <c r="M135" s="16">
        <f t="shared" si="3"/>
        <v>0</v>
      </c>
      <c r="N135" s="16">
        <f t="shared" si="4"/>
        <v>0</v>
      </c>
      <c r="O135" s="16">
        <f t="shared" si="5"/>
        <v>0</v>
      </c>
      <c r="P135" s="16">
        <f t="shared" si="6"/>
        <v>0</v>
      </c>
      <c r="Q135" s="16">
        <f t="shared" si="7"/>
        <v>0</v>
      </c>
    </row>
    <row r="136" ht="18.75" customHeight="1" spans="1:17">
      <c r="A136" s="10"/>
      <c r="B136" s="30"/>
      <c r="C136" s="10"/>
      <c r="D136" s="10"/>
      <c r="E136" s="10"/>
      <c r="F136" s="30"/>
      <c r="G136" s="10"/>
      <c r="H136" s="15" t="str">
        <f t="shared" si="0"/>
        <v/>
      </c>
      <c r="I136" s="16" t="str">
        <f t="shared" si="1"/>
        <v/>
      </c>
      <c r="J136" s="17"/>
      <c r="K136" s="17"/>
      <c r="L136" s="16">
        <f t="shared" si="2"/>
        <v>0</v>
      </c>
      <c r="M136" s="16">
        <f t="shared" si="3"/>
        <v>0</v>
      </c>
      <c r="N136" s="16">
        <f t="shared" si="4"/>
        <v>0</v>
      </c>
      <c r="O136" s="16">
        <f t="shared" si="5"/>
        <v>0</v>
      </c>
      <c r="P136" s="16">
        <f t="shared" si="6"/>
        <v>0</v>
      </c>
      <c r="Q136" s="16">
        <f t="shared" si="7"/>
        <v>0</v>
      </c>
    </row>
    <row r="137" ht="18.75" customHeight="1" spans="1:17">
      <c r="A137" s="10"/>
      <c r="B137" s="30"/>
      <c r="C137" s="10"/>
      <c r="D137" s="10"/>
      <c r="E137" s="10"/>
      <c r="F137" s="30"/>
      <c r="G137" s="10"/>
      <c r="H137" s="15" t="str">
        <f t="shared" si="0"/>
        <v/>
      </c>
      <c r="I137" s="16" t="str">
        <f t="shared" si="1"/>
        <v/>
      </c>
      <c r="J137" s="17"/>
      <c r="K137" s="17"/>
      <c r="L137" s="16">
        <f t="shared" si="2"/>
        <v>0</v>
      </c>
      <c r="M137" s="16">
        <f t="shared" si="3"/>
        <v>0</v>
      </c>
      <c r="N137" s="16">
        <f t="shared" si="4"/>
        <v>0</v>
      </c>
      <c r="O137" s="16">
        <f t="shared" si="5"/>
        <v>0</v>
      </c>
      <c r="P137" s="16">
        <f t="shared" si="6"/>
        <v>0</v>
      </c>
      <c r="Q137" s="16">
        <f t="shared" si="7"/>
        <v>0</v>
      </c>
    </row>
    <row r="138" ht="18.75" customHeight="1" spans="1:17">
      <c r="A138" s="10"/>
      <c r="B138" s="30"/>
      <c r="C138" s="10"/>
      <c r="D138" s="10"/>
      <c r="E138" s="10"/>
      <c r="F138" s="30"/>
      <c r="G138" s="10"/>
      <c r="H138" s="15" t="str">
        <f t="shared" si="0"/>
        <v/>
      </c>
      <c r="I138" s="16" t="str">
        <f t="shared" si="1"/>
        <v/>
      </c>
      <c r="J138" s="17"/>
      <c r="K138" s="17"/>
      <c r="L138" s="16">
        <f t="shared" si="2"/>
        <v>0</v>
      </c>
      <c r="M138" s="16">
        <f t="shared" si="3"/>
        <v>0</v>
      </c>
      <c r="N138" s="16">
        <f t="shared" si="4"/>
        <v>0</v>
      </c>
      <c r="O138" s="16">
        <f t="shared" si="5"/>
        <v>0</v>
      </c>
      <c r="P138" s="16">
        <f t="shared" si="6"/>
        <v>0</v>
      </c>
      <c r="Q138" s="16">
        <f t="shared" si="7"/>
        <v>0</v>
      </c>
    </row>
    <row r="139" ht="18.75" customHeight="1" spans="1:17">
      <c r="A139" s="10"/>
      <c r="B139" s="30"/>
      <c r="C139" s="10"/>
      <c r="D139" s="10"/>
      <c r="E139" s="10"/>
      <c r="F139" s="30"/>
      <c r="G139" s="10"/>
      <c r="H139" s="15" t="str">
        <f t="shared" si="0"/>
        <v/>
      </c>
      <c r="I139" s="16" t="str">
        <f t="shared" si="1"/>
        <v/>
      </c>
      <c r="J139" s="17"/>
      <c r="K139" s="17"/>
      <c r="L139" s="16">
        <f t="shared" si="2"/>
        <v>0</v>
      </c>
      <c r="M139" s="16">
        <f t="shared" si="3"/>
        <v>0</v>
      </c>
      <c r="N139" s="16">
        <f t="shared" si="4"/>
        <v>0</v>
      </c>
      <c r="O139" s="16">
        <f t="shared" si="5"/>
        <v>0</v>
      </c>
      <c r="P139" s="16">
        <f t="shared" si="6"/>
        <v>0</v>
      </c>
      <c r="Q139" s="16" t="str">
        <f t="shared" si="7"/>
        <v/>
      </c>
    </row>
    <row r="140" ht="18.75" customHeight="1" spans="1:17">
      <c r="A140" s="10"/>
      <c r="B140" s="30"/>
      <c r="C140" s="10"/>
      <c r="D140" s="10"/>
      <c r="E140" s="10"/>
      <c r="F140" s="30"/>
      <c r="G140" s="10"/>
      <c r="H140" s="15" t="str">
        <f t="shared" si="0"/>
        <v/>
      </c>
      <c r="I140" s="16" t="str">
        <f t="shared" si="1"/>
        <v/>
      </c>
      <c r="J140" s="17"/>
      <c r="K140" s="17"/>
      <c r="L140" s="16">
        <f t="shared" si="2"/>
        <v>0</v>
      </c>
      <c r="M140" s="16">
        <f t="shared" si="3"/>
        <v>0</v>
      </c>
      <c r="N140" s="16">
        <f t="shared" si="4"/>
        <v>0</v>
      </c>
      <c r="O140" s="16">
        <f t="shared" si="5"/>
        <v>0</v>
      </c>
      <c r="P140" s="16">
        <f t="shared" si="6"/>
        <v>0</v>
      </c>
      <c r="Q140" s="16">
        <f t="shared" si="7"/>
        <v>0</v>
      </c>
    </row>
    <row r="141" ht="18.75" customHeight="1" spans="1:17">
      <c r="A141" s="10"/>
      <c r="B141" s="30"/>
      <c r="C141" s="10"/>
      <c r="D141" s="10"/>
      <c r="E141" s="10"/>
      <c r="F141" s="30"/>
      <c r="G141" s="10"/>
      <c r="H141" s="15" t="str">
        <f t="shared" si="0"/>
        <v/>
      </c>
      <c r="I141" s="16" t="str">
        <f t="shared" si="1"/>
        <v/>
      </c>
      <c r="J141" s="17"/>
      <c r="K141" s="17"/>
      <c r="L141" s="16">
        <f t="shared" si="2"/>
        <v>0</v>
      </c>
      <c r="M141" s="16">
        <f t="shared" si="3"/>
        <v>0</v>
      </c>
      <c r="N141" s="16">
        <f t="shared" si="4"/>
        <v>0</v>
      </c>
      <c r="O141" s="16">
        <f t="shared" si="5"/>
        <v>0</v>
      </c>
      <c r="P141" s="16">
        <f t="shared" si="6"/>
        <v>0</v>
      </c>
      <c r="Q141" s="16">
        <f t="shared" si="7"/>
        <v>0</v>
      </c>
    </row>
    <row r="142" ht="18.75" customHeight="1" spans="1:17">
      <c r="A142" s="10"/>
      <c r="B142" s="30"/>
      <c r="C142" s="10"/>
      <c r="D142" s="10"/>
      <c r="E142" s="10"/>
      <c r="F142" s="30"/>
      <c r="G142" s="10"/>
      <c r="H142" s="15" t="str">
        <f t="shared" si="0"/>
        <v/>
      </c>
      <c r="I142" s="16" t="str">
        <f t="shared" si="1"/>
        <v/>
      </c>
      <c r="J142" s="17"/>
      <c r="K142" s="17"/>
      <c r="L142" s="16">
        <f t="shared" si="2"/>
        <v>0</v>
      </c>
      <c r="M142" s="16">
        <f t="shared" si="3"/>
        <v>0</v>
      </c>
      <c r="N142" s="16">
        <f t="shared" si="4"/>
        <v>0</v>
      </c>
      <c r="O142" s="16">
        <f t="shared" si="5"/>
        <v>0</v>
      </c>
      <c r="P142" s="16">
        <f t="shared" si="6"/>
        <v>0</v>
      </c>
      <c r="Q142" s="16">
        <f t="shared" si="7"/>
        <v>0</v>
      </c>
    </row>
    <row r="143" ht="18.75" customHeight="1" spans="1:17">
      <c r="A143" s="10"/>
      <c r="B143" s="30"/>
      <c r="C143" s="10"/>
      <c r="D143" s="10"/>
      <c r="E143" s="10"/>
      <c r="F143" s="30"/>
      <c r="G143" s="10"/>
      <c r="H143" s="15" t="str">
        <f t="shared" si="0"/>
        <v/>
      </c>
      <c r="I143" s="16" t="str">
        <f t="shared" si="1"/>
        <v/>
      </c>
      <c r="J143" s="17"/>
      <c r="K143" s="17"/>
      <c r="L143" s="16">
        <f t="shared" si="2"/>
        <v>0</v>
      </c>
      <c r="M143" s="16">
        <f t="shared" si="3"/>
        <v>0</v>
      </c>
      <c r="N143" s="16">
        <f t="shared" si="4"/>
        <v>0</v>
      </c>
      <c r="O143" s="16">
        <f t="shared" si="5"/>
        <v>0</v>
      </c>
      <c r="P143" s="16">
        <f t="shared" si="6"/>
        <v>0</v>
      </c>
      <c r="Q143" s="16">
        <f t="shared" si="7"/>
        <v>0</v>
      </c>
    </row>
    <row r="144" ht="18.75" customHeight="1" spans="1:17">
      <c r="A144" s="10"/>
      <c r="B144" s="30"/>
      <c r="C144" s="10"/>
      <c r="D144" s="10"/>
      <c r="E144" s="10"/>
      <c r="F144" s="30"/>
      <c r="G144" s="10"/>
      <c r="H144" s="15" t="str">
        <f t="shared" si="0"/>
        <v/>
      </c>
      <c r="I144" s="16" t="str">
        <f t="shared" si="1"/>
        <v/>
      </c>
      <c r="J144" s="17"/>
      <c r="K144" s="17"/>
      <c r="L144" s="16">
        <f t="shared" si="2"/>
        <v>0</v>
      </c>
      <c r="M144" s="16">
        <f t="shared" si="3"/>
        <v>0</v>
      </c>
      <c r="N144" s="16">
        <f t="shared" si="4"/>
        <v>0</v>
      </c>
      <c r="O144" s="16">
        <f t="shared" si="5"/>
        <v>0</v>
      </c>
      <c r="P144" s="16">
        <f t="shared" si="6"/>
        <v>0</v>
      </c>
      <c r="Q144" s="16">
        <f t="shared" si="7"/>
        <v>0</v>
      </c>
    </row>
    <row r="145" ht="18.75" customHeight="1" spans="1:17">
      <c r="A145" s="10"/>
      <c r="B145" s="30"/>
      <c r="C145" s="10"/>
      <c r="D145" s="10"/>
      <c r="E145" s="10"/>
      <c r="F145" s="30"/>
      <c r="G145" s="10"/>
      <c r="H145" s="15" t="str">
        <f t="shared" si="0"/>
        <v/>
      </c>
      <c r="I145" s="16" t="str">
        <f t="shared" si="1"/>
        <v/>
      </c>
      <c r="J145" s="17"/>
      <c r="K145" s="17"/>
      <c r="L145" s="16">
        <f t="shared" si="2"/>
        <v>0</v>
      </c>
      <c r="M145" s="16">
        <f t="shared" si="3"/>
        <v>0</v>
      </c>
      <c r="N145" s="16">
        <f t="shared" si="4"/>
        <v>0</v>
      </c>
      <c r="O145" s="16">
        <f t="shared" si="5"/>
        <v>0</v>
      </c>
      <c r="P145" s="16">
        <f t="shared" si="6"/>
        <v>0</v>
      </c>
      <c r="Q145" s="16">
        <f t="shared" si="7"/>
        <v>0</v>
      </c>
    </row>
    <row r="146" ht="18.75" customHeight="1" spans="1:17">
      <c r="A146" s="10"/>
      <c r="B146" s="30"/>
      <c r="C146" s="10"/>
      <c r="D146" s="10"/>
      <c r="E146" s="10"/>
      <c r="F146" s="30"/>
      <c r="G146" s="10"/>
      <c r="H146" s="15" t="str">
        <f t="shared" si="0"/>
        <v/>
      </c>
      <c r="I146" s="16" t="str">
        <f t="shared" si="1"/>
        <v/>
      </c>
      <c r="J146" s="17"/>
      <c r="K146" s="17"/>
      <c r="L146" s="16">
        <f t="shared" si="2"/>
        <v>0</v>
      </c>
      <c r="M146" s="16">
        <f t="shared" si="3"/>
        <v>0</v>
      </c>
      <c r="N146" s="16">
        <f t="shared" si="4"/>
        <v>0</v>
      </c>
      <c r="O146" s="16">
        <f t="shared" si="5"/>
        <v>0</v>
      </c>
      <c r="P146" s="16">
        <f t="shared" si="6"/>
        <v>0</v>
      </c>
      <c r="Q146" s="16">
        <f t="shared" si="7"/>
        <v>0</v>
      </c>
    </row>
    <row r="147" ht="18.75" customHeight="1" spans="1:17">
      <c r="A147" s="10"/>
      <c r="B147" s="30"/>
      <c r="C147" s="10"/>
      <c r="D147" s="10"/>
      <c r="E147" s="10"/>
      <c r="F147" s="30"/>
      <c r="G147" s="10"/>
      <c r="H147" s="15" t="str">
        <f t="shared" si="0"/>
        <v/>
      </c>
      <c r="I147" s="16" t="str">
        <f t="shared" si="1"/>
        <v/>
      </c>
      <c r="J147" s="17"/>
      <c r="K147" s="17"/>
      <c r="L147" s="16">
        <f t="shared" si="2"/>
        <v>0</v>
      </c>
      <c r="M147" s="16">
        <f t="shared" si="3"/>
        <v>0</v>
      </c>
      <c r="N147" s="16">
        <f t="shared" si="4"/>
        <v>0</v>
      </c>
      <c r="O147" s="16">
        <f t="shared" si="5"/>
        <v>0</v>
      </c>
      <c r="P147" s="16">
        <f t="shared" si="6"/>
        <v>0</v>
      </c>
      <c r="Q147" s="16">
        <f t="shared" si="7"/>
        <v>0</v>
      </c>
    </row>
    <row r="148" ht="18.75" customHeight="1" spans="1:17">
      <c r="A148" s="10"/>
      <c r="B148" s="30"/>
      <c r="C148" s="10"/>
      <c r="D148" s="10"/>
      <c r="E148" s="10"/>
      <c r="F148" s="30"/>
      <c r="G148" s="10"/>
      <c r="H148" s="15" t="str">
        <f t="shared" si="0"/>
        <v/>
      </c>
      <c r="I148" s="16" t="str">
        <f t="shared" si="1"/>
        <v/>
      </c>
      <c r="J148" s="17"/>
      <c r="K148" s="17"/>
      <c r="L148" s="16">
        <f t="shared" si="2"/>
        <v>0</v>
      </c>
      <c r="M148" s="16">
        <f t="shared" si="3"/>
        <v>0</v>
      </c>
      <c r="N148" s="16">
        <f t="shared" si="4"/>
        <v>0</v>
      </c>
      <c r="O148" s="16">
        <f t="shared" si="5"/>
        <v>0</v>
      </c>
      <c r="P148" s="16">
        <f t="shared" si="6"/>
        <v>0</v>
      </c>
      <c r="Q148" s="16">
        <f t="shared" si="7"/>
        <v>0</v>
      </c>
    </row>
    <row r="149" ht="18.75" customHeight="1" spans="1:17">
      <c r="A149" s="10"/>
      <c r="B149" s="30"/>
      <c r="C149" s="10"/>
      <c r="D149" s="10"/>
      <c r="E149" s="10"/>
      <c r="F149" s="30"/>
      <c r="G149" s="10"/>
      <c r="H149" s="15" t="str">
        <f t="shared" si="0"/>
        <v/>
      </c>
      <c r="I149" s="16" t="str">
        <f t="shared" si="1"/>
        <v/>
      </c>
      <c r="J149" s="17"/>
      <c r="K149" s="17"/>
      <c r="L149" s="16">
        <f t="shared" si="2"/>
        <v>0</v>
      </c>
      <c r="M149" s="16">
        <f t="shared" si="3"/>
        <v>0</v>
      </c>
      <c r="N149" s="16">
        <f t="shared" si="4"/>
        <v>0</v>
      </c>
      <c r="O149" s="16">
        <f t="shared" si="5"/>
        <v>0</v>
      </c>
      <c r="P149" s="16">
        <f t="shared" si="6"/>
        <v>0</v>
      </c>
      <c r="Q149" s="16">
        <f t="shared" si="7"/>
        <v>0</v>
      </c>
    </row>
    <row r="150" ht="18.75" customHeight="1" spans="1:17">
      <c r="A150" s="10"/>
      <c r="B150" s="30"/>
      <c r="C150" s="10"/>
      <c r="D150" s="10"/>
      <c r="E150" s="10"/>
      <c r="F150" s="30"/>
      <c r="G150" s="10"/>
      <c r="H150" s="15" t="str">
        <f t="shared" si="0"/>
        <v/>
      </c>
      <c r="I150" s="16" t="str">
        <f t="shared" si="1"/>
        <v/>
      </c>
      <c r="J150" s="17"/>
      <c r="K150" s="17"/>
      <c r="L150" s="16">
        <f t="shared" si="2"/>
        <v>0</v>
      </c>
      <c r="M150" s="16">
        <f t="shared" si="3"/>
        <v>0</v>
      </c>
      <c r="N150" s="16">
        <f t="shared" si="4"/>
        <v>0</v>
      </c>
      <c r="O150" s="16">
        <f t="shared" si="5"/>
        <v>0</v>
      </c>
      <c r="P150" s="16">
        <f t="shared" si="6"/>
        <v>0</v>
      </c>
      <c r="Q150" s="16">
        <f t="shared" si="7"/>
        <v>0</v>
      </c>
    </row>
    <row r="151" ht="18.75" customHeight="1" spans="1:17">
      <c r="A151" s="10"/>
      <c r="B151" s="30"/>
      <c r="C151" s="10"/>
      <c r="D151" s="10"/>
      <c r="E151" s="10"/>
      <c r="F151" s="30"/>
      <c r="G151" s="10"/>
      <c r="H151" s="15" t="str">
        <f t="shared" si="0"/>
        <v/>
      </c>
      <c r="I151" s="16" t="str">
        <f t="shared" si="1"/>
        <v/>
      </c>
      <c r="J151" s="17"/>
      <c r="K151" s="17"/>
      <c r="L151" s="16">
        <f t="shared" si="2"/>
        <v>0</v>
      </c>
      <c r="M151" s="16">
        <f t="shared" si="3"/>
        <v>0</v>
      </c>
      <c r="N151" s="16">
        <f t="shared" si="4"/>
        <v>0</v>
      </c>
      <c r="O151" s="16">
        <f t="shared" si="5"/>
        <v>0</v>
      </c>
      <c r="P151" s="16">
        <f t="shared" si="6"/>
        <v>0</v>
      </c>
      <c r="Q151" s="16">
        <f t="shared" si="7"/>
        <v>0</v>
      </c>
    </row>
    <row r="152" ht="18.75" customHeight="1" spans="1:17">
      <c r="A152" s="10"/>
      <c r="B152" s="30"/>
      <c r="C152" s="10"/>
      <c r="D152" s="10"/>
      <c r="E152" s="10"/>
      <c r="F152" s="30"/>
      <c r="G152" s="10"/>
      <c r="H152" s="15" t="str">
        <f t="shared" si="0"/>
        <v/>
      </c>
      <c r="I152" s="16" t="str">
        <f t="shared" si="1"/>
        <v/>
      </c>
      <c r="J152" s="17"/>
      <c r="K152" s="17"/>
      <c r="L152" s="16">
        <f t="shared" si="2"/>
        <v>0</v>
      </c>
      <c r="M152" s="16">
        <f t="shared" si="3"/>
        <v>0</v>
      </c>
      <c r="N152" s="16">
        <f t="shared" si="4"/>
        <v>0</v>
      </c>
      <c r="O152" s="16">
        <f t="shared" si="5"/>
        <v>0</v>
      </c>
      <c r="P152" s="16">
        <f t="shared" si="6"/>
        <v>0</v>
      </c>
      <c r="Q152" s="16">
        <f t="shared" si="7"/>
        <v>0</v>
      </c>
    </row>
    <row r="153" ht="18.75" customHeight="1" spans="1:17">
      <c r="A153" s="10"/>
      <c r="B153" s="30"/>
      <c r="C153" s="10"/>
      <c r="D153" s="10"/>
      <c r="E153" s="10"/>
      <c r="F153" s="30"/>
      <c r="G153" s="10"/>
      <c r="H153" s="15" t="str">
        <f t="shared" si="0"/>
        <v/>
      </c>
      <c r="I153" s="16" t="str">
        <f t="shared" si="1"/>
        <v/>
      </c>
      <c r="J153" s="17"/>
      <c r="K153" s="17"/>
      <c r="L153" s="16">
        <f t="shared" si="2"/>
        <v>0</v>
      </c>
      <c r="M153" s="16">
        <f t="shared" si="3"/>
        <v>0</v>
      </c>
      <c r="N153" s="16">
        <f t="shared" si="4"/>
        <v>0</v>
      </c>
      <c r="O153" s="16">
        <f t="shared" si="5"/>
        <v>0</v>
      </c>
      <c r="P153" s="16">
        <f t="shared" si="6"/>
        <v>0</v>
      </c>
      <c r="Q153" s="16">
        <f t="shared" si="7"/>
        <v>0</v>
      </c>
    </row>
    <row r="154" ht="18.75" customHeight="1" spans="1:17">
      <c r="A154" s="10"/>
      <c r="B154" s="30"/>
      <c r="C154" s="10"/>
      <c r="D154" s="10"/>
      <c r="E154" s="10"/>
      <c r="F154" s="30"/>
      <c r="G154" s="10"/>
      <c r="H154" s="15" t="str">
        <f t="shared" si="0"/>
        <v/>
      </c>
      <c r="I154" s="16" t="str">
        <f t="shared" si="1"/>
        <v/>
      </c>
      <c r="J154" s="17"/>
      <c r="K154" s="17"/>
      <c r="L154" s="16">
        <f t="shared" si="2"/>
        <v>0</v>
      </c>
      <c r="M154" s="16">
        <f t="shared" si="3"/>
        <v>0</v>
      </c>
      <c r="N154" s="16">
        <f t="shared" si="4"/>
        <v>0</v>
      </c>
      <c r="O154" s="16">
        <f t="shared" si="5"/>
        <v>0</v>
      </c>
      <c r="P154" s="16">
        <f t="shared" si="6"/>
        <v>0</v>
      </c>
      <c r="Q154" s="16">
        <f t="shared" si="7"/>
        <v>0</v>
      </c>
    </row>
    <row r="155" ht="18.75" customHeight="1" spans="1:17">
      <c r="A155" s="10"/>
      <c r="B155" s="30"/>
      <c r="C155" s="10"/>
      <c r="D155" s="10"/>
      <c r="E155" s="10"/>
      <c r="F155" s="30"/>
      <c r="G155" s="10"/>
      <c r="H155" s="15" t="str">
        <f t="shared" si="0"/>
        <v/>
      </c>
      <c r="I155" s="16" t="str">
        <f t="shared" si="1"/>
        <v/>
      </c>
      <c r="J155" s="17"/>
      <c r="K155" s="17"/>
      <c r="L155" s="16">
        <f t="shared" si="2"/>
        <v>0</v>
      </c>
      <c r="M155" s="16">
        <f t="shared" si="3"/>
        <v>0</v>
      </c>
      <c r="N155" s="16">
        <f t="shared" si="4"/>
        <v>0</v>
      </c>
      <c r="O155" s="16">
        <f t="shared" si="5"/>
        <v>0</v>
      </c>
      <c r="P155" s="16">
        <f t="shared" si="6"/>
        <v>0</v>
      </c>
      <c r="Q155" s="16">
        <f t="shared" si="7"/>
        <v>0</v>
      </c>
    </row>
    <row r="156" ht="18.75" customHeight="1" spans="1:17">
      <c r="A156" s="10"/>
      <c r="B156" s="30"/>
      <c r="C156" s="10"/>
      <c r="D156" s="10"/>
      <c r="E156" s="10"/>
      <c r="F156" s="30"/>
      <c r="G156" s="10"/>
      <c r="H156" s="15" t="str">
        <f t="shared" si="0"/>
        <v/>
      </c>
      <c r="I156" s="16" t="str">
        <f t="shared" si="1"/>
        <v/>
      </c>
      <c r="J156" s="17"/>
      <c r="K156" s="17"/>
      <c r="L156" s="16">
        <f t="shared" si="2"/>
        <v>0</v>
      </c>
      <c r="M156" s="16">
        <f t="shared" si="3"/>
        <v>0</v>
      </c>
      <c r="N156" s="16">
        <f t="shared" si="4"/>
        <v>0</v>
      </c>
      <c r="O156" s="16">
        <f t="shared" si="5"/>
        <v>0</v>
      </c>
      <c r="P156" s="16">
        <f t="shared" si="6"/>
        <v>0</v>
      </c>
      <c r="Q156" s="16">
        <f t="shared" si="7"/>
        <v>0</v>
      </c>
    </row>
    <row r="157" ht="18.75" customHeight="1" spans="1:17">
      <c r="A157" s="10"/>
      <c r="B157" s="30"/>
      <c r="C157" s="10"/>
      <c r="D157" s="10"/>
      <c r="E157" s="10"/>
      <c r="F157" s="30"/>
      <c r="G157" s="10"/>
      <c r="H157" s="15" t="str">
        <f t="shared" si="0"/>
        <v/>
      </c>
      <c r="I157" s="16" t="str">
        <f t="shared" si="1"/>
        <v/>
      </c>
      <c r="J157" s="17"/>
      <c r="K157" s="17"/>
      <c r="L157" s="16">
        <f t="shared" si="2"/>
        <v>0</v>
      </c>
      <c r="M157" s="16">
        <f t="shared" si="3"/>
        <v>0</v>
      </c>
      <c r="N157" s="16">
        <f t="shared" si="4"/>
        <v>0</v>
      </c>
      <c r="O157" s="16">
        <f t="shared" si="5"/>
        <v>0</v>
      </c>
      <c r="P157" s="16">
        <f t="shared" si="6"/>
        <v>0</v>
      </c>
      <c r="Q157" s="16">
        <f t="shared" si="7"/>
        <v>0</v>
      </c>
    </row>
    <row r="158" ht="18.75" customHeight="1" spans="1:17">
      <c r="A158" s="10"/>
      <c r="B158" s="30"/>
      <c r="C158" s="10"/>
      <c r="D158" s="10"/>
      <c r="E158" s="10"/>
      <c r="F158" s="30"/>
      <c r="G158" s="10"/>
      <c r="H158" s="15" t="str">
        <f t="shared" si="0"/>
        <v/>
      </c>
      <c r="I158" s="16" t="str">
        <f t="shared" si="1"/>
        <v/>
      </c>
      <c r="J158" s="17"/>
      <c r="K158" s="17"/>
      <c r="L158" s="16">
        <f t="shared" si="2"/>
        <v>0</v>
      </c>
      <c r="M158" s="16">
        <f t="shared" si="3"/>
        <v>0</v>
      </c>
      <c r="N158" s="16">
        <f t="shared" si="4"/>
        <v>0</v>
      </c>
      <c r="O158" s="16">
        <f t="shared" si="5"/>
        <v>0</v>
      </c>
      <c r="P158" s="16">
        <f t="shared" si="6"/>
        <v>0</v>
      </c>
      <c r="Q158" s="16">
        <f t="shared" si="7"/>
        <v>0</v>
      </c>
    </row>
    <row r="159" ht="18.75" customHeight="1" spans="1:17">
      <c r="A159" s="10"/>
      <c r="B159" s="30"/>
      <c r="C159" s="10"/>
      <c r="D159" s="10"/>
      <c r="E159" s="10"/>
      <c r="F159" s="30"/>
      <c r="G159" s="10"/>
      <c r="H159" s="15" t="str">
        <f t="shared" si="0"/>
        <v/>
      </c>
      <c r="I159" s="16" t="str">
        <f t="shared" si="1"/>
        <v/>
      </c>
      <c r="J159" s="17"/>
      <c r="K159" s="17"/>
      <c r="L159" s="16">
        <f t="shared" si="2"/>
        <v>0</v>
      </c>
      <c r="M159" s="16">
        <f t="shared" si="3"/>
        <v>0</v>
      </c>
      <c r="N159" s="16">
        <f t="shared" si="4"/>
        <v>0</v>
      </c>
      <c r="O159" s="16">
        <f t="shared" si="5"/>
        <v>0</v>
      </c>
      <c r="P159" s="16">
        <f t="shared" si="6"/>
        <v>0</v>
      </c>
      <c r="Q159" s="16">
        <f t="shared" si="7"/>
        <v>0</v>
      </c>
    </row>
    <row r="160" ht="18.75" customHeight="1" spans="1:17">
      <c r="A160" s="10"/>
      <c r="B160" s="30"/>
      <c r="C160" s="10"/>
      <c r="D160" s="10"/>
      <c r="E160" s="10"/>
      <c r="F160" s="30"/>
      <c r="G160" s="10"/>
      <c r="H160" s="15" t="str">
        <f t="shared" si="0"/>
        <v/>
      </c>
      <c r="I160" s="16" t="str">
        <f t="shared" si="1"/>
        <v/>
      </c>
      <c r="J160" s="17"/>
      <c r="K160" s="17"/>
      <c r="L160" s="16">
        <f t="shared" si="2"/>
        <v>0</v>
      </c>
      <c r="M160" s="16">
        <f t="shared" si="3"/>
        <v>0</v>
      </c>
      <c r="N160" s="16">
        <f t="shared" si="4"/>
        <v>0</v>
      </c>
      <c r="O160" s="16">
        <f t="shared" si="5"/>
        <v>0</v>
      </c>
      <c r="P160" s="16">
        <f t="shared" si="6"/>
        <v>0</v>
      </c>
      <c r="Q160" s="16">
        <f t="shared" si="7"/>
        <v>0</v>
      </c>
    </row>
    <row r="161" ht="18.75" customHeight="1" spans="1:17">
      <c r="A161" s="10"/>
      <c r="B161" s="30"/>
      <c r="C161" s="10"/>
      <c r="D161" s="10"/>
      <c r="E161" s="10"/>
      <c r="F161" s="30"/>
      <c r="G161" s="10"/>
      <c r="H161" s="15" t="str">
        <f t="shared" si="0"/>
        <v/>
      </c>
      <c r="I161" s="16" t="str">
        <f t="shared" si="1"/>
        <v/>
      </c>
      <c r="J161" s="17"/>
      <c r="K161" s="17"/>
      <c r="L161" s="16">
        <f t="shared" si="2"/>
        <v>0</v>
      </c>
      <c r="M161" s="16">
        <f t="shared" si="3"/>
        <v>0</v>
      </c>
      <c r="N161" s="16">
        <f t="shared" si="4"/>
        <v>0</v>
      </c>
      <c r="O161" s="16">
        <f t="shared" si="5"/>
        <v>0</v>
      </c>
      <c r="P161" s="16">
        <f t="shared" si="6"/>
        <v>0</v>
      </c>
      <c r="Q161" s="16">
        <f t="shared" si="7"/>
        <v>0</v>
      </c>
    </row>
    <row r="162" ht="18.75" customHeight="1" spans="1:17">
      <c r="A162" s="10"/>
      <c r="B162" s="30"/>
      <c r="C162" s="10"/>
      <c r="D162" s="10"/>
      <c r="E162" s="10"/>
      <c r="F162" s="30"/>
      <c r="G162" s="10"/>
      <c r="H162" s="15" t="str">
        <f t="shared" si="0"/>
        <v/>
      </c>
      <c r="I162" s="16" t="str">
        <f t="shared" si="1"/>
        <v/>
      </c>
      <c r="J162" s="17"/>
      <c r="K162" s="17"/>
      <c r="L162" s="16">
        <f t="shared" si="2"/>
        <v>0</v>
      </c>
      <c r="M162" s="16">
        <f t="shared" si="3"/>
        <v>0</v>
      </c>
      <c r="N162" s="16">
        <f t="shared" si="4"/>
        <v>0</v>
      </c>
      <c r="O162" s="16">
        <f t="shared" si="5"/>
        <v>0</v>
      </c>
      <c r="P162" s="16">
        <f t="shared" si="6"/>
        <v>0</v>
      </c>
      <c r="Q162" s="16">
        <f t="shared" si="7"/>
        <v>0</v>
      </c>
    </row>
    <row r="163" ht="18.75" customHeight="1" spans="1:17">
      <c r="A163" s="10"/>
      <c r="B163" s="30"/>
      <c r="C163" s="10"/>
      <c r="D163" s="10"/>
      <c r="E163" s="10"/>
      <c r="F163" s="30"/>
      <c r="G163" s="10"/>
      <c r="H163" s="15" t="str">
        <f t="shared" si="0"/>
        <v/>
      </c>
      <c r="I163" s="16" t="str">
        <f t="shared" si="1"/>
        <v/>
      </c>
      <c r="J163" s="17"/>
      <c r="K163" s="17"/>
      <c r="L163" s="16">
        <f t="shared" si="2"/>
        <v>0</v>
      </c>
      <c r="M163" s="16">
        <f t="shared" si="3"/>
        <v>0</v>
      </c>
      <c r="N163" s="16">
        <f t="shared" si="4"/>
        <v>0</v>
      </c>
      <c r="O163" s="16">
        <f t="shared" si="5"/>
        <v>0</v>
      </c>
      <c r="P163" s="16">
        <f t="shared" si="6"/>
        <v>0</v>
      </c>
      <c r="Q163" s="16">
        <f t="shared" si="7"/>
        <v>0</v>
      </c>
    </row>
    <row r="164" ht="18.75" customHeight="1" spans="1:17">
      <c r="A164" s="10"/>
      <c r="B164" s="30"/>
      <c r="C164" s="10"/>
      <c r="D164" s="10"/>
      <c r="E164" s="10"/>
      <c r="F164" s="30"/>
      <c r="G164" s="10"/>
      <c r="H164" s="15" t="str">
        <f t="shared" si="0"/>
        <v/>
      </c>
      <c r="I164" s="16" t="str">
        <f t="shared" si="1"/>
        <v/>
      </c>
      <c r="J164" s="17"/>
      <c r="K164" s="17"/>
      <c r="L164" s="16">
        <f t="shared" si="2"/>
        <v>0</v>
      </c>
      <c r="M164" s="16">
        <f t="shared" si="3"/>
        <v>0</v>
      </c>
      <c r="N164" s="16">
        <f t="shared" si="4"/>
        <v>0</v>
      </c>
      <c r="O164" s="16">
        <f t="shared" si="5"/>
        <v>0</v>
      </c>
      <c r="P164" s="16">
        <f t="shared" si="6"/>
        <v>0</v>
      </c>
      <c r="Q164" s="16">
        <f t="shared" si="7"/>
        <v>0</v>
      </c>
    </row>
    <row r="165" ht="18.75" customHeight="1" spans="1:17">
      <c r="A165" s="10"/>
      <c r="B165" s="30"/>
      <c r="C165" s="10"/>
      <c r="D165" s="10"/>
      <c r="E165" s="10"/>
      <c r="F165" s="30"/>
      <c r="G165" s="10"/>
      <c r="H165" s="15" t="str">
        <f t="shared" si="0"/>
        <v/>
      </c>
      <c r="I165" s="16" t="str">
        <f t="shared" si="1"/>
        <v/>
      </c>
      <c r="J165" s="17"/>
      <c r="K165" s="17"/>
      <c r="L165" s="16">
        <f t="shared" si="2"/>
        <v>0</v>
      </c>
      <c r="M165" s="16">
        <f t="shared" si="3"/>
        <v>0</v>
      </c>
      <c r="N165" s="16">
        <f t="shared" si="4"/>
        <v>0</v>
      </c>
      <c r="O165" s="16">
        <f t="shared" si="5"/>
        <v>0</v>
      </c>
      <c r="P165" s="16">
        <f t="shared" si="6"/>
        <v>0</v>
      </c>
      <c r="Q165" s="16">
        <f t="shared" si="7"/>
        <v>0</v>
      </c>
    </row>
    <row r="166" ht="18.75" customHeight="1" spans="1:17">
      <c r="A166" s="10"/>
      <c r="B166" s="30"/>
      <c r="C166" s="10"/>
      <c r="D166" s="10"/>
      <c r="E166" s="10"/>
      <c r="F166" s="30"/>
      <c r="G166" s="10"/>
      <c r="H166" s="15" t="str">
        <f t="shared" si="0"/>
        <v/>
      </c>
      <c r="I166" s="16" t="str">
        <f t="shared" si="1"/>
        <v/>
      </c>
      <c r="J166" s="17"/>
      <c r="K166" s="17"/>
      <c r="L166" s="16">
        <f t="shared" si="2"/>
        <v>0</v>
      </c>
      <c r="M166" s="16">
        <f t="shared" si="3"/>
        <v>0</v>
      </c>
      <c r="N166" s="16">
        <f t="shared" si="4"/>
        <v>0</v>
      </c>
      <c r="O166" s="16">
        <f t="shared" si="5"/>
        <v>0</v>
      </c>
      <c r="P166" s="16">
        <f t="shared" si="6"/>
        <v>0</v>
      </c>
      <c r="Q166" s="16">
        <f t="shared" si="7"/>
        <v>0</v>
      </c>
    </row>
    <row r="167" ht="18.75" customHeight="1" spans="1:17">
      <c r="A167" s="10"/>
      <c r="B167" s="30"/>
      <c r="C167" s="10"/>
      <c r="D167" s="10"/>
      <c r="E167" s="10"/>
      <c r="F167" s="30"/>
      <c r="G167" s="10"/>
      <c r="H167" s="15" t="str">
        <f t="shared" ref="H167:H212" si="8">IFERROR(VLOOKUP($B167,$A$25:$N$62,7,FALSE),"")</f>
        <v/>
      </c>
      <c r="I167" s="16" t="str">
        <f t="shared" ref="I167:I212" si="9">IF($H155="Minor",1,IF($H155="Moderate",2,IF($H155="Major",3,IF($H155="Critical",4,""))))</f>
        <v/>
      </c>
      <c r="J167" s="17"/>
      <c r="K167" s="17"/>
      <c r="L167" s="16">
        <f t="shared" ref="L167:L212" si="10">IF(OR($G167="Exact TP",$G167="Equivalent TP"),1,0)</f>
        <v>0</v>
      </c>
      <c r="M167" s="16">
        <f t="shared" ref="M167:M212" si="11">IF(OR($G167="FP Extra",$G167="Harmful FP"),1,0)</f>
        <v>0</v>
      </c>
      <c r="N167" s="16">
        <f t="shared" ref="N167:N212" si="12">IF(OR($G167="FN",$G167="Partial"),1,0)</f>
        <v>0</v>
      </c>
      <c r="O167" s="16">
        <f t="shared" ref="O167:O212" si="13">IF($L155=1,$I155,0)</f>
        <v>0</v>
      </c>
      <c r="P167" s="16">
        <f t="shared" ref="P167:P212" si="14">IF($M155=1,$I155,0)</f>
        <v>0</v>
      </c>
      <c r="Q167" s="16">
        <f t="shared" ref="Q167:Q222" si="15">IF($N155=1,$I155,0)</f>
        <v>0</v>
      </c>
    </row>
    <row r="168" ht="18.75" customHeight="1" spans="1:17">
      <c r="A168" s="10"/>
      <c r="B168" s="30"/>
      <c r="C168" s="10"/>
      <c r="D168" s="10"/>
      <c r="E168" s="10"/>
      <c r="F168" s="30"/>
      <c r="G168" s="10"/>
      <c r="H168" s="15" t="str">
        <f t="shared" si="8"/>
        <v/>
      </c>
      <c r="I168" s="16" t="str">
        <f t="shared" si="9"/>
        <v/>
      </c>
      <c r="J168" s="17"/>
      <c r="K168" s="17"/>
      <c r="L168" s="16">
        <f t="shared" si="10"/>
        <v>0</v>
      </c>
      <c r="M168" s="16">
        <f t="shared" si="11"/>
        <v>0</v>
      </c>
      <c r="N168" s="16">
        <f t="shared" si="12"/>
        <v>0</v>
      </c>
      <c r="O168" s="16">
        <f t="shared" si="13"/>
        <v>0</v>
      </c>
      <c r="P168" s="16">
        <f t="shared" si="14"/>
        <v>0</v>
      </c>
      <c r="Q168" s="16">
        <f t="shared" si="15"/>
        <v>0</v>
      </c>
    </row>
    <row r="169" ht="18.75" customHeight="1" spans="1:17">
      <c r="A169" s="10"/>
      <c r="B169" s="30"/>
      <c r="C169" s="10"/>
      <c r="D169" s="10"/>
      <c r="E169" s="10"/>
      <c r="F169" s="30"/>
      <c r="G169" s="10"/>
      <c r="H169" s="15" t="str">
        <f t="shared" si="8"/>
        <v/>
      </c>
      <c r="I169" s="16" t="str">
        <f t="shared" si="9"/>
        <v/>
      </c>
      <c r="J169" s="17"/>
      <c r="K169" s="17"/>
      <c r="L169" s="16">
        <f t="shared" si="10"/>
        <v>0</v>
      </c>
      <c r="M169" s="16">
        <f t="shared" si="11"/>
        <v>0</v>
      </c>
      <c r="N169" s="16">
        <f t="shared" si="12"/>
        <v>0</v>
      </c>
      <c r="O169" s="16">
        <f t="shared" si="13"/>
        <v>0</v>
      </c>
      <c r="P169" s="16">
        <f t="shared" si="14"/>
        <v>0</v>
      </c>
      <c r="Q169" s="16">
        <f t="shared" si="15"/>
        <v>0</v>
      </c>
    </row>
    <row r="170" ht="18.75" customHeight="1" spans="1:17">
      <c r="A170" s="10"/>
      <c r="B170" s="30"/>
      <c r="C170" s="10"/>
      <c r="D170" s="10"/>
      <c r="E170" s="10"/>
      <c r="F170" s="30"/>
      <c r="G170" s="10"/>
      <c r="H170" s="15" t="str">
        <f t="shared" si="8"/>
        <v/>
      </c>
      <c r="I170" s="16" t="str">
        <f t="shared" si="9"/>
        <v/>
      </c>
      <c r="J170" s="17"/>
      <c r="K170" s="17"/>
      <c r="L170" s="16">
        <f t="shared" si="10"/>
        <v>0</v>
      </c>
      <c r="M170" s="16">
        <f t="shared" si="11"/>
        <v>0</v>
      </c>
      <c r="N170" s="16">
        <f t="shared" si="12"/>
        <v>0</v>
      </c>
      <c r="O170" s="16">
        <f t="shared" si="13"/>
        <v>0</v>
      </c>
      <c r="P170" s="16">
        <f t="shared" si="14"/>
        <v>0</v>
      </c>
      <c r="Q170" s="16">
        <f t="shared" si="15"/>
        <v>0</v>
      </c>
    </row>
    <row r="171" ht="18.75" customHeight="1" spans="1:17">
      <c r="A171" s="10"/>
      <c r="B171" s="30"/>
      <c r="C171" s="10"/>
      <c r="D171" s="10"/>
      <c r="E171" s="10"/>
      <c r="F171" s="30"/>
      <c r="G171" s="10"/>
      <c r="H171" s="15" t="str">
        <f t="shared" si="8"/>
        <v/>
      </c>
      <c r="I171" s="16" t="str">
        <f t="shared" si="9"/>
        <v/>
      </c>
      <c r="J171" s="17"/>
      <c r="K171" s="17"/>
      <c r="L171" s="16">
        <f t="shared" si="10"/>
        <v>0</v>
      </c>
      <c r="M171" s="16">
        <f t="shared" si="11"/>
        <v>0</v>
      </c>
      <c r="N171" s="16">
        <f t="shared" si="12"/>
        <v>0</v>
      </c>
      <c r="O171" s="16">
        <f t="shared" si="13"/>
        <v>0</v>
      </c>
      <c r="P171" s="16">
        <f t="shared" si="14"/>
        <v>0</v>
      </c>
      <c r="Q171" s="16">
        <f t="shared" si="15"/>
        <v>0</v>
      </c>
    </row>
    <row r="172" ht="18.75" customHeight="1" spans="1:17">
      <c r="A172" s="10"/>
      <c r="B172" s="30"/>
      <c r="C172" s="10"/>
      <c r="D172" s="10"/>
      <c r="E172" s="10"/>
      <c r="F172" s="30"/>
      <c r="G172" s="10"/>
      <c r="H172" s="15" t="str">
        <f t="shared" si="8"/>
        <v/>
      </c>
      <c r="I172" s="16" t="str">
        <f t="shared" si="9"/>
        <v/>
      </c>
      <c r="J172" s="17"/>
      <c r="K172" s="17"/>
      <c r="L172" s="16">
        <f t="shared" si="10"/>
        <v>0</v>
      </c>
      <c r="M172" s="16">
        <f t="shared" si="11"/>
        <v>0</v>
      </c>
      <c r="N172" s="16">
        <f t="shared" si="12"/>
        <v>0</v>
      </c>
      <c r="O172" s="16">
        <f t="shared" si="13"/>
        <v>0</v>
      </c>
      <c r="P172" s="16">
        <f t="shared" si="14"/>
        <v>0</v>
      </c>
      <c r="Q172" s="16">
        <f t="shared" si="15"/>
        <v>0</v>
      </c>
    </row>
    <row r="173" ht="18.75" customHeight="1" spans="1:17">
      <c r="A173" s="10"/>
      <c r="B173" s="30"/>
      <c r="C173" s="10"/>
      <c r="D173" s="10"/>
      <c r="E173" s="10"/>
      <c r="F173" s="30"/>
      <c r="G173" s="10"/>
      <c r="H173" s="15" t="str">
        <f t="shared" si="8"/>
        <v/>
      </c>
      <c r="I173" s="16" t="str">
        <f t="shared" si="9"/>
        <v/>
      </c>
      <c r="J173" s="17"/>
      <c r="K173" s="17"/>
      <c r="L173" s="16">
        <f t="shared" si="10"/>
        <v>0</v>
      </c>
      <c r="M173" s="16">
        <f t="shared" si="11"/>
        <v>0</v>
      </c>
      <c r="N173" s="16">
        <f t="shared" si="12"/>
        <v>0</v>
      </c>
      <c r="O173" s="16">
        <f t="shared" si="13"/>
        <v>0</v>
      </c>
      <c r="P173" s="16">
        <f t="shared" si="14"/>
        <v>0</v>
      </c>
      <c r="Q173" s="16">
        <f t="shared" si="15"/>
        <v>0</v>
      </c>
    </row>
    <row r="174" ht="18.75" customHeight="1" spans="1:17">
      <c r="A174" s="10"/>
      <c r="B174" s="30"/>
      <c r="C174" s="10"/>
      <c r="D174" s="10"/>
      <c r="E174" s="10"/>
      <c r="F174" s="30"/>
      <c r="G174" s="10"/>
      <c r="H174" s="15" t="str">
        <f t="shared" si="8"/>
        <v/>
      </c>
      <c r="I174" s="16" t="str">
        <f t="shared" si="9"/>
        <v/>
      </c>
      <c r="J174" s="17"/>
      <c r="K174" s="17"/>
      <c r="L174" s="16">
        <f t="shared" si="10"/>
        <v>0</v>
      </c>
      <c r="M174" s="16">
        <f t="shared" si="11"/>
        <v>0</v>
      </c>
      <c r="N174" s="16">
        <f t="shared" si="12"/>
        <v>0</v>
      </c>
      <c r="O174" s="16">
        <f t="shared" si="13"/>
        <v>0</v>
      </c>
      <c r="P174" s="16">
        <f t="shared" si="14"/>
        <v>0</v>
      </c>
      <c r="Q174" s="16">
        <f t="shared" si="15"/>
        <v>0</v>
      </c>
    </row>
    <row r="175" ht="18.75" customHeight="1" spans="1:17">
      <c r="A175" s="10"/>
      <c r="B175" s="30"/>
      <c r="C175" s="10"/>
      <c r="D175" s="10"/>
      <c r="E175" s="10"/>
      <c r="F175" s="30"/>
      <c r="G175" s="10"/>
      <c r="H175" s="15" t="str">
        <f t="shared" si="8"/>
        <v/>
      </c>
      <c r="I175" s="16" t="str">
        <f t="shared" si="9"/>
        <v/>
      </c>
      <c r="J175" s="17"/>
      <c r="K175" s="17"/>
      <c r="L175" s="16">
        <f t="shared" si="10"/>
        <v>0</v>
      </c>
      <c r="M175" s="16">
        <f t="shared" si="11"/>
        <v>0</v>
      </c>
      <c r="N175" s="16">
        <f t="shared" si="12"/>
        <v>0</v>
      </c>
      <c r="O175" s="16">
        <f t="shared" si="13"/>
        <v>0</v>
      </c>
      <c r="P175" s="16">
        <f t="shared" si="14"/>
        <v>0</v>
      </c>
      <c r="Q175" s="16">
        <f t="shared" si="15"/>
        <v>0</v>
      </c>
    </row>
    <row r="176" ht="18.75" customHeight="1" spans="1:17">
      <c r="A176" s="10"/>
      <c r="B176" s="30"/>
      <c r="C176" s="10"/>
      <c r="D176" s="10"/>
      <c r="E176" s="10"/>
      <c r="F176" s="30"/>
      <c r="G176" s="10"/>
      <c r="H176" s="15" t="str">
        <f t="shared" si="8"/>
        <v/>
      </c>
      <c r="I176" s="16" t="str">
        <f t="shared" si="9"/>
        <v/>
      </c>
      <c r="J176" s="17"/>
      <c r="K176" s="17"/>
      <c r="L176" s="16">
        <f t="shared" si="10"/>
        <v>0</v>
      </c>
      <c r="M176" s="16">
        <f t="shared" si="11"/>
        <v>0</v>
      </c>
      <c r="N176" s="16">
        <f t="shared" si="12"/>
        <v>0</v>
      </c>
      <c r="O176" s="16">
        <f t="shared" si="13"/>
        <v>0</v>
      </c>
      <c r="P176" s="16">
        <f t="shared" si="14"/>
        <v>0</v>
      </c>
      <c r="Q176" s="16">
        <f t="shared" si="15"/>
        <v>0</v>
      </c>
    </row>
    <row r="177" ht="18.75" customHeight="1" spans="1:17">
      <c r="A177" s="10"/>
      <c r="B177" s="30"/>
      <c r="C177" s="10"/>
      <c r="D177" s="10"/>
      <c r="E177" s="10"/>
      <c r="F177" s="30"/>
      <c r="G177" s="10"/>
      <c r="H177" s="15" t="str">
        <f t="shared" si="8"/>
        <v/>
      </c>
      <c r="I177" s="16" t="str">
        <f t="shared" si="9"/>
        <v/>
      </c>
      <c r="J177" s="17"/>
      <c r="K177" s="17"/>
      <c r="L177" s="16">
        <f t="shared" si="10"/>
        <v>0</v>
      </c>
      <c r="M177" s="16">
        <f t="shared" si="11"/>
        <v>0</v>
      </c>
      <c r="N177" s="16">
        <f t="shared" si="12"/>
        <v>0</v>
      </c>
      <c r="O177" s="16">
        <f t="shared" si="13"/>
        <v>0</v>
      </c>
      <c r="P177" s="16">
        <f t="shared" si="14"/>
        <v>0</v>
      </c>
      <c r="Q177" s="16">
        <f t="shared" si="15"/>
        <v>0</v>
      </c>
    </row>
    <row r="178" ht="18.75" customHeight="1" spans="1:17">
      <c r="A178" s="10"/>
      <c r="B178" s="30"/>
      <c r="C178" s="10"/>
      <c r="D178" s="10"/>
      <c r="E178" s="10"/>
      <c r="F178" s="30"/>
      <c r="G178" s="10"/>
      <c r="H178" s="15" t="str">
        <f t="shared" si="8"/>
        <v/>
      </c>
      <c r="I178" s="16" t="str">
        <f t="shared" si="9"/>
        <v/>
      </c>
      <c r="J178" s="17"/>
      <c r="K178" s="17"/>
      <c r="L178" s="16">
        <f t="shared" si="10"/>
        <v>0</v>
      </c>
      <c r="M178" s="16">
        <f t="shared" si="11"/>
        <v>0</v>
      </c>
      <c r="N178" s="16">
        <f t="shared" si="12"/>
        <v>0</v>
      </c>
      <c r="O178" s="16">
        <f t="shared" si="13"/>
        <v>0</v>
      </c>
      <c r="P178" s="16">
        <f t="shared" si="14"/>
        <v>0</v>
      </c>
      <c r="Q178" s="16">
        <f t="shared" si="15"/>
        <v>0</v>
      </c>
    </row>
    <row r="179" ht="18.75" customHeight="1" spans="1:17">
      <c r="A179" s="10"/>
      <c r="B179" s="30"/>
      <c r="C179" s="10"/>
      <c r="D179" s="10"/>
      <c r="E179" s="10"/>
      <c r="F179" s="30"/>
      <c r="G179" s="10"/>
      <c r="H179" s="15" t="str">
        <f t="shared" si="8"/>
        <v/>
      </c>
      <c r="I179" s="16" t="str">
        <f t="shared" si="9"/>
        <v/>
      </c>
      <c r="J179" s="17"/>
      <c r="K179" s="17"/>
      <c r="L179" s="16">
        <f t="shared" si="10"/>
        <v>0</v>
      </c>
      <c r="M179" s="16">
        <f t="shared" si="11"/>
        <v>0</v>
      </c>
      <c r="N179" s="16">
        <f t="shared" si="12"/>
        <v>0</v>
      </c>
      <c r="O179" s="16">
        <f t="shared" si="13"/>
        <v>0</v>
      </c>
      <c r="P179" s="16">
        <f t="shared" si="14"/>
        <v>0</v>
      </c>
      <c r="Q179" s="16">
        <f t="shared" si="15"/>
        <v>0</v>
      </c>
    </row>
    <row r="180" ht="18.75" customHeight="1" spans="1:17">
      <c r="A180" s="10"/>
      <c r="B180" s="30"/>
      <c r="C180" s="10"/>
      <c r="D180" s="10"/>
      <c r="E180" s="10"/>
      <c r="F180" s="30"/>
      <c r="G180" s="10"/>
      <c r="H180" s="15" t="str">
        <f t="shared" si="8"/>
        <v/>
      </c>
      <c r="I180" s="16" t="str">
        <f t="shared" si="9"/>
        <v/>
      </c>
      <c r="J180" s="17"/>
      <c r="K180" s="17"/>
      <c r="L180" s="16">
        <f t="shared" si="10"/>
        <v>0</v>
      </c>
      <c r="M180" s="16">
        <f t="shared" si="11"/>
        <v>0</v>
      </c>
      <c r="N180" s="16">
        <f t="shared" si="12"/>
        <v>0</v>
      </c>
      <c r="O180" s="16">
        <f t="shared" si="13"/>
        <v>0</v>
      </c>
      <c r="P180" s="16">
        <f t="shared" si="14"/>
        <v>0</v>
      </c>
      <c r="Q180" s="16">
        <f t="shared" si="15"/>
        <v>0</v>
      </c>
    </row>
    <row r="181" ht="18.75" customHeight="1" spans="1:17">
      <c r="A181" s="10"/>
      <c r="B181" s="30"/>
      <c r="C181" s="10"/>
      <c r="D181" s="10"/>
      <c r="E181" s="10"/>
      <c r="F181" s="30"/>
      <c r="G181" s="10"/>
      <c r="H181" s="15" t="str">
        <f t="shared" si="8"/>
        <v/>
      </c>
      <c r="I181" s="16" t="str">
        <f t="shared" si="9"/>
        <v/>
      </c>
      <c r="J181" s="17"/>
      <c r="K181" s="17"/>
      <c r="L181" s="16">
        <f t="shared" si="10"/>
        <v>0</v>
      </c>
      <c r="M181" s="16">
        <f t="shared" si="11"/>
        <v>0</v>
      </c>
      <c r="N181" s="16">
        <f t="shared" si="12"/>
        <v>0</v>
      </c>
      <c r="O181" s="16">
        <f t="shared" si="13"/>
        <v>0</v>
      </c>
      <c r="P181" s="16">
        <f t="shared" si="14"/>
        <v>0</v>
      </c>
      <c r="Q181" s="16">
        <f t="shared" si="15"/>
        <v>0</v>
      </c>
    </row>
    <row r="182" ht="18.75" customHeight="1" spans="1:17">
      <c r="A182" s="10"/>
      <c r="B182" s="30"/>
      <c r="C182" s="10"/>
      <c r="D182" s="10"/>
      <c r="E182" s="10"/>
      <c r="F182" s="30"/>
      <c r="G182" s="10"/>
      <c r="H182" s="15" t="str">
        <f t="shared" si="8"/>
        <v/>
      </c>
      <c r="I182" s="16" t="str">
        <f t="shared" si="9"/>
        <v/>
      </c>
      <c r="J182" s="17"/>
      <c r="K182" s="17"/>
      <c r="L182" s="16">
        <f t="shared" si="10"/>
        <v>0</v>
      </c>
      <c r="M182" s="16">
        <f t="shared" si="11"/>
        <v>0</v>
      </c>
      <c r="N182" s="16">
        <f t="shared" si="12"/>
        <v>0</v>
      </c>
      <c r="O182" s="16">
        <f t="shared" si="13"/>
        <v>0</v>
      </c>
      <c r="P182" s="16">
        <f t="shared" si="14"/>
        <v>0</v>
      </c>
      <c r="Q182" s="16">
        <f t="shared" si="15"/>
        <v>0</v>
      </c>
    </row>
    <row r="183" ht="18.75" customHeight="1" spans="1:17">
      <c r="A183" s="10"/>
      <c r="B183" s="30"/>
      <c r="C183" s="10"/>
      <c r="D183" s="10"/>
      <c r="E183" s="10"/>
      <c r="F183" s="30"/>
      <c r="G183" s="10"/>
      <c r="H183" s="15" t="str">
        <f t="shared" si="8"/>
        <v/>
      </c>
      <c r="I183" s="16" t="str">
        <f t="shared" si="9"/>
        <v/>
      </c>
      <c r="J183" s="17"/>
      <c r="K183" s="17"/>
      <c r="L183" s="16">
        <f t="shared" si="10"/>
        <v>0</v>
      </c>
      <c r="M183" s="16">
        <f t="shared" si="11"/>
        <v>0</v>
      </c>
      <c r="N183" s="16">
        <f t="shared" si="12"/>
        <v>0</v>
      </c>
      <c r="O183" s="16">
        <f t="shared" si="13"/>
        <v>0</v>
      </c>
      <c r="P183" s="16">
        <f t="shared" si="14"/>
        <v>0</v>
      </c>
      <c r="Q183" s="16">
        <f t="shared" si="15"/>
        <v>0</v>
      </c>
    </row>
    <row r="184" ht="18.75" customHeight="1" spans="1:17">
      <c r="A184" s="10"/>
      <c r="B184" s="30"/>
      <c r="C184" s="10"/>
      <c r="D184" s="10"/>
      <c r="E184" s="10"/>
      <c r="F184" s="30"/>
      <c r="G184" s="10"/>
      <c r="H184" s="15" t="str">
        <f t="shared" si="8"/>
        <v/>
      </c>
      <c r="I184" s="16" t="str">
        <f t="shared" si="9"/>
        <v/>
      </c>
      <c r="J184" s="17"/>
      <c r="K184" s="17"/>
      <c r="L184" s="16">
        <f t="shared" si="10"/>
        <v>0</v>
      </c>
      <c r="M184" s="16">
        <f t="shared" si="11"/>
        <v>0</v>
      </c>
      <c r="N184" s="16">
        <f t="shared" si="12"/>
        <v>0</v>
      </c>
      <c r="O184" s="16">
        <f t="shared" si="13"/>
        <v>0</v>
      </c>
      <c r="P184" s="16">
        <f t="shared" si="14"/>
        <v>0</v>
      </c>
      <c r="Q184" s="16">
        <f t="shared" si="15"/>
        <v>0</v>
      </c>
    </row>
    <row r="185" ht="18.75" customHeight="1" spans="1:17">
      <c r="A185" s="10"/>
      <c r="B185" s="30"/>
      <c r="C185" s="10"/>
      <c r="D185" s="10"/>
      <c r="E185" s="10"/>
      <c r="F185" s="30"/>
      <c r="G185" s="10"/>
      <c r="H185" s="15" t="str">
        <f t="shared" si="8"/>
        <v/>
      </c>
      <c r="I185" s="16" t="str">
        <f t="shared" si="9"/>
        <v/>
      </c>
      <c r="J185" s="17"/>
      <c r="K185" s="17"/>
      <c r="L185" s="16">
        <f t="shared" si="10"/>
        <v>0</v>
      </c>
      <c r="M185" s="16">
        <f t="shared" si="11"/>
        <v>0</v>
      </c>
      <c r="N185" s="16">
        <f t="shared" si="12"/>
        <v>0</v>
      </c>
      <c r="O185" s="16">
        <f t="shared" si="13"/>
        <v>0</v>
      </c>
      <c r="P185" s="16">
        <f t="shared" si="14"/>
        <v>0</v>
      </c>
      <c r="Q185" s="16">
        <f t="shared" si="15"/>
        <v>0</v>
      </c>
    </row>
    <row r="186" ht="18.75" customHeight="1" spans="1:17">
      <c r="A186" s="10"/>
      <c r="B186" s="30"/>
      <c r="C186" s="10"/>
      <c r="D186" s="10"/>
      <c r="E186" s="10"/>
      <c r="F186" s="30"/>
      <c r="G186" s="10"/>
      <c r="H186" s="15" t="str">
        <f t="shared" si="8"/>
        <v/>
      </c>
      <c r="I186" s="16" t="str">
        <f t="shared" si="9"/>
        <v/>
      </c>
      <c r="J186" s="17"/>
      <c r="K186" s="17"/>
      <c r="L186" s="16">
        <f t="shared" si="10"/>
        <v>0</v>
      </c>
      <c r="M186" s="16">
        <f t="shared" si="11"/>
        <v>0</v>
      </c>
      <c r="N186" s="16">
        <f t="shared" si="12"/>
        <v>0</v>
      </c>
      <c r="O186" s="16">
        <f t="shared" si="13"/>
        <v>0</v>
      </c>
      <c r="P186" s="16">
        <f t="shared" si="14"/>
        <v>0</v>
      </c>
      <c r="Q186" s="16">
        <f t="shared" si="15"/>
        <v>0</v>
      </c>
    </row>
    <row r="187" ht="18.75" customHeight="1" spans="1:17">
      <c r="A187" s="10"/>
      <c r="B187" s="30"/>
      <c r="C187" s="10"/>
      <c r="D187" s="10"/>
      <c r="E187" s="10"/>
      <c r="F187" s="30"/>
      <c r="G187" s="10"/>
      <c r="H187" s="15" t="str">
        <f t="shared" si="8"/>
        <v/>
      </c>
      <c r="I187" s="16" t="str">
        <f t="shared" si="9"/>
        <v/>
      </c>
      <c r="J187" s="17"/>
      <c r="K187" s="17"/>
      <c r="L187" s="16">
        <f t="shared" si="10"/>
        <v>0</v>
      </c>
      <c r="M187" s="16">
        <f t="shared" si="11"/>
        <v>0</v>
      </c>
      <c r="N187" s="16">
        <f t="shared" si="12"/>
        <v>0</v>
      </c>
      <c r="O187" s="16">
        <f t="shared" si="13"/>
        <v>0</v>
      </c>
      <c r="P187" s="16">
        <f t="shared" si="14"/>
        <v>0</v>
      </c>
      <c r="Q187" s="16">
        <f t="shared" si="15"/>
        <v>0</v>
      </c>
    </row>
    <row r="188" ht="18.75" customHeight="1" spans="1:17">
      <c r="A188" s="10"/>
      <c r="B188" s="30"/>
      <c r="C188" s="10"/>
      <c r="D188" s="10"/>
      <c r="E188" s="10"/>
      <c r="F188" s="30"/>
      <c r="G188" s="10"/>
      <c r="H188" s="15" t="str">
        <f t="shared" si="8"/>
        <v/>
      </c>
      <c r="I188" s="16" t="str">
        <f t="shared" si="9"/>
        <v/>
      </c>
      <c r="J188" s="17"/>
      <c r="K188" s="17"/>
      <c r="L188" s="16">
        <f t="shared" si="10"/>
        <v>0</v>
      </c>
      <c r="M188" s="16">
        <f t="shared" si="11"/>
        <v>0</v>
      </c>
      <c r="N188" s="16">
        <f t="shared" si="12"/>
        <v>0</v>
      </c>
      <c r="O188" s="16">
        <f t="shared" si="13"/>
        <v>0</v>
      </c>
      <c r="P188" s="16">
        <f t="shared" si="14"/>
        <v>0</v>
      </c>
      <c r="Q188" s="16">
        <f t="shared" si="15"/>
        <v>0</v>
      </c>
    </row>
    <row r="189" ht="18.75" customHeight="1" spans="1:17">
      <c r="A189" s="10"/>
      <c r="B189" s="30"/>
      <c r="C189" s="10"/>
      <c r="D189" s="10"/>
      <c r="E189" s="10"/>
      <c r="F189" s="30"/>
      <c r="G189" s="10"/>
      <c r="H189" s="15" t="str">
        <f t="shared" si="8"/>
        <v/>
      </c>
      <c r="I189" s="16" t="str">
        <f t="shared" si="9"/>
        <v/>
      </c>
      <c r="J189" s="17"/>
      <c r="K189" s="17"/>
      <c r="L189" s="16">
        <f t="shared" si="10"/>
        <v>0</v>
      </c>
      <c r="M189" s="16">
        <f t="shared" si="11"/>
        <v>0</v>
      </c>
      <c r="N189" s="16">
        <f t="shared" si="12"/>
        <v>0</v>
      </c>
      <c r="O189" s="16">
        <f t="shared" si="13"/>
        <v>0</v>
      </c>
      <c r="P189" s="16">
        <f t="shared" si="14"/>
        <v>0</v>
      </c>
      <c r="Q189" s="16">
        <f t="shared" si="15"/>
        <v>0</v>
      </c>
    </row>
    <row r="190" ht="18.75" customHeight="1" spans="1:17">
      <c r="A190" s="10"/>
      <c r="B190" s="30"/>
      <c r="C190" s="10"/>
      <c r="D190" s="10"/>
      <c r="E190" s="10"/>
      <c r="F190" s="30"/>
      <c r="G190" s="10"/>
      <c r="H190" s="15" t="str">
        <f t="shared" si="8"/>
        <v/>
      </c>
      <c r="I190" s="16" t="str">
        <f t="shared" si="9"/>
        <v/>
      </c>
      <c r="J190" s="17"/>
      <c r="K190" s="17"/>
      <c r="L190" s="16">
        <f t="shared" si="10"/>
        <v>0</v>
      </c>
      <c r="M190" s="16">
        <f t="shared" si="11"/>
        <v>0</v>
      </c>
      <c r="N190" s="16">
        <f t="shared" si="12"/>
        <v>0</v>
      </c>
      <c r="O190" s="16">
        <f t="shared" si="13"/>
        <v>0</v>
      </c>
      <c r="P190" s="16">
        <f t="shared" si="14"/>
        <v>0</v>
      </c>
      <c r="Q190" s="16">
        <f t="shared" si="15"/>
        <v>0</v>
      </c>
    </row>
    <row r="191" ht="18.75" customHeight="1" spans="1:17">
      <c r="A191" s="10"/>
      <c r="B191" s="30"/>
      <c r="C191" s="10"/>
      <c r="D191" s="10"/>
      <c r="E191" s="10"/>
      <c r="F191" s="30"/>
      <c r="G191" s="10"/>
      <c r="H191" s="15" t="str">
        <f t="shared" si="8"/>
        <v/>
      </c>
      <c r="I191" s="16" t="str">
        <f t="shared" si="9"/>
        <v/>
      </c>
      <c r="J191" s="17"/>
      <c r="K191" s="17"/>
      <c r="L191" s="16">
        <f t="shared" si="10"/>
        <v>0</v>
      </c>
      <c r="M191" s="16">
        <f t="shared" si="11"/>
        <v>0</v>
      </c>
      <c r="N191" s="16">
        <f t="shared" si="12"/>
        <v>0</v>
      </c>
      <c r="O191" s="16">
        <f t="shared" si="13"/>
        <v>0</v>
      </c>
      <c r="P191" s="16">
        <f t="shared" si="14"/>
        <v>0</v>
      </c>
      <c r="Q191" s="16">
        <f t="shared" si="15"/>
        <v>0</v>
      </c>
    </row>
    <row r="192" ht="18.75" customHeight="1" spans="1:17">
      <c r="A192" s="10"/>
      <c r="B192" s="30"/>
      <c r="C192" s="10"/>
      <c r="D192" s="10"/>
      <c r="E192" s="10"/>
      <c r="F192" s="30"/>
      <c r="G192" s="10"/>
      <c r="H192" s="15" t="str">
        <f t="shared" si="8"/>
        <v/>
      </c>
      <c r="I192" s="16" t="str">
        <f t="shared" si="9"/>
        <v/>
      </c>
      <c r="J192" s="17"/>
      <c r="K192" s="17"/>
      <c r="L192" s="16">
        <f t="shared" si="10"/>
        <v>0</v>
      </c>
      <c r="M192" s="16">
        <f t="shared" si="11"/>
        <v>0</v>
      </c>
      <c r="N192" s="16">
        <f t="shared" si="12"/>
        <v>0</v>
      </c>
      <c r="O192" s="16">
        <f t="shared" si="13"/>
        <v>0</v>
      </c>
      <c r="P192" s="16">
        <f t="shared" si="14"/>
        <v>0</v>
      </c>
      <c r="Q192" s="16">
        <f t="shared" si="15"/>
        <v>0</v>
      </c>
    </row>
    <row r="193" ht="18.75" customHeight="1" spans="1:17">
      <c r="A193" s="10"/>
      <c r="B193" s="30"/>
      <c r="C193" s="10"/>
      <c r="D193" s="10"/>
      <c r="E193" s="10"/>
      <c r="F193" s="30"/>
      <c r="G193" s="10"/>
      <c r="H193" s="15" t="str">
        <f t="shared" si="8"/>
        <v/>
      </c>
      <c r="I193" s="16" t="str">
        <f t="shared" si="9"/>
        <v/>
      </c>
      <c r="J193" s="17"/>
      <c r="K193" s="17"/>
      <c r="L193" s="16">
        <f t="shared" si="10"/>
        <v>0</v>
      </c>
      <c r="M193" s="16">
        <f t="shared" si="11"/>
        <v>0</v>
      </c>
      <c r="N193" s="16">
        <f t="shared" si="12"/>
        <v>0</v>
      </c>
      <c r="O193" s="16">
        <f t="shared" si="13"/>
        <v>0</v>
      </c>
      <c r="P193" s="16">
        <f t="shared" si="14"/>
        <v>0</v>
      </c>
      <c r="Q193" s="16">
        <f t="shared" si="15"/>
        <v>0</v>
      </c>
    </row>
    <row r="194" ht="18.75" customHeight="1" spans="1:17">
      <c r="A194" s="10"/>
      <c r="B194" s="30"/>
      <c r="C194" s="10"/>
      <c r="D194" s="10"/>
      <c r="E194" s="10"/>
      <c r="F194" s="30"/>
      <c r="G194" s="10"/>
      <c r="H194" s="15" t="str">
        <f t="shared" si="8"/>
        <v/>
      </c>
      <c r="I194" s="16" t="str">
        <f t="shared" si="9"/>
        <v/>
      </c>
      <c r="J194" s="17"/>
      <c r="K194" s="17"/>
      <c r="L194" s="16">
        <f t="shared" si="10"/>
        <v>0</v>
      </c>
      <c r="M194" s="16">
        <f t="shared" si="11"/>
        <v>0</v>
      </c>
      <c r="N194" s="16">
        <f t="shared" si="12"/>
        <v>0</v>
      </c>
      <c r="O194" s="16">
        <f t="shared" si="13"/>
        <v>0</v>
      </c>
      <c r="P194" s="16">
        <f t="shared" si="14"/>
        <v>0</v>
      </c>
      <c r="Q194" s="16">
        <f t="shared" si="15"/>
        <v>0</v>
      </c>
    </row>
    <row r="195" ht="18.75" customHeight="1" spans="1:17">
      <c r="A195" s="10"/>
      <c r="B195" s="30"/>
      <c r="C195" s="10"/>
      <c r="D195" s="10"/>
      <c r="E195" s="10"/>
      <c r="F195" s="30"/>
      <c r="G195" s="10"/>
      <c r="H195" s="15" t="str">
        <f t="shared" si="8"/>
        <v/>
      </c>
      <c r="I195" s="16" t="str">
        <f t="shared" si="9"/>
        <v/>
      </c>
      <c r="J195" s="17"/>
      <c r="K195" s="17"/>
      <c r="L195" s="16">
        <f t="shared" si="10"/>
        <v>0</v>
      </c>
      <c r="M195" s="16">
        <f t="shared" si="11"/>
        <v>0</v>
      </c>
      <c r="N195" s="16">
        <f t="shared" si="12"/>
        <v>0</v>
      </c>
      <c r="O195" s="16">
        <f t="shared" si="13"/>
        <v>0</v>
      </c>
      <c r="P195" s="16">
        <f t="shared" si="14"/>
        <v>0</v>
      </c>
      <c r="Q195" s="16">
        <f t="shared" si="15"/>
        <v>0</v>
      </c>
    </row>
    <row r="196" ht="18.75" customHeight="1" spans="1:17">
      <c r="A196" s="10"/>
      <c r="B196" s="30"/>
      <c r="C196" s="10"/>
      <c r="D196" s="10"/>
      <c r="E196" s="10"/>
      <c r="F196" s="30"/>
      <c r="G196" s="10"/>
      <c r="H196" s="15" t="str">
        <f t="shared" si="8"/>
        <v/>
      </c>
      <c r="I196" s="16" t="str">
        <f t="shared" si="9"/>
        <v/>
      </c>
      <c r="J196" s="17"/>
      <c r="K196" s="17"/>
      <c r="L196" s="16">
        <f t="shared" si="10"/>
        <v>0</v>
      </c>
      <c r="M196" s="16">
        <f t="shared" si="11"/>
        <v>0</v>
      </c>
      <c r="N196" s="16">
        <f t="shared" si="12"/>
        <v>0</v>
      </c>
      <c r="O196" s="16">
        <f t="shared" si="13"/>
        <v>0</v>
      </c>
      <c r="P196" s="16">
        <f t="shared" si="14"/>
        <v>0</v>
      </c>
      <c r="Q196" s="16">
        <f t="shared" si="15"/>
        <v>0</v>
      </c>
    </row>
    <row r="197" ht="18.75" customHeight="1" spans="1:17">
      <c r="A197" s="10"/>
      <c r="B197" s="30"/>
      <c r="C197" s="10"/>
      <c r="D197" s="10"/>
      <c r="E197" s="10"/>
      <c r="F197" s="30"/>
      <c r="G197" s="10"/>
      <c r="H197" s="15" t="str">
        <f t="shared" si="8"/>
        <v/>
      </c>
      <c r="I197" s="16" t="str">
        <f t="shared" si="9"/>
        <v/>
      </c>
      <c r="J197" s="17"/>
      <c r="K197" s="17"/>
      <c r="L197" s="16">
        <f t="shared" si="10"/>
        <v>0</v>
      </c>
      <c r="M197" s="16">
        <f t="shared" si="11"/>
        <v>0</v>
      </c>
      <c r="N197" s="16">
        <f t="shared" si="12"/>
        <v>0</v>
      </c>
      <c r="O197" s="16">
        <f t="shared" si="13"/>
        <v>0</v>
      </c>
      <c r="P197" s="16">
        <f t="shared" si="14"/>
        <v>0</v>
      </c>
      <c r="Q197" s="16">
        <f t="shared" si="15"/>
        <v>0</v>
      </c>
    </row>
    <row r="198" ht="18.75" customHeight="1" spans="1:17">
      <c r="A198" s="10"/>
      <c r="B198" s="30"/>
      <c r="C198" s="10"/>
      <c r="D198" s="10"/>
      <c r="E198" s="10"/>
      <c r="F198" s="30"/>
      <c r="G198" s="10"/>
      <c r="H198" s="15" t="str">
        <f t="shared" si="8"/>
        <v/>
      </c>
      <c r="I198" s="16" t="str">
        <f t="shared" si="9"/>
        <v/>
      </c>
      <c r="J198" s="17"/>
      <c r="K198" s="17"/>
      <c r="L198" s="16">
        <f t="shared" si="10"/>
        <v>0</v>
      </c>
      <c r="M198" s="16">
        <f t="shared" si="11"/>
        <v>0</v>
      </c>
      <c r="N198" s="16">
        <f t="shared" si="12"/>
        <v>0</v>
      </c>
      <c r="O198" s="16">
        <f t="shared" si="13"/>
        <v>0</v>
      </c>
      <c r="P198" s="16">
        <f t="shared" si="14"/>
        <v>0</v>
      </c>
      <c r="Q198" s="16">
        <f t="shared" si="15"/>
        <v>0</v>
      </c>
    </row>
    <row r="199" ht="18.75" customHeight="1" spans="1:17">
      <c r="A199" s="10"/>
      <c r="B199" s="30"/>
      <c r="C199" s="10"/>
      <c r="D199" s="10"/>
      <c r="E199" s="10"/>
      <c r="F199" s="30"/>
      <c r="G199" s="10"/>
      <c r="H199" s="15" t="str">
        <f t="shared" si="8"/>
        <v/>
      </c>
      <c r="I199" s="16" t="str">
        <f t="shared" si="9"/>
        <v/>
      </c>
      <c r="J199" s="17"/>
      <c r="K199" s="17"/>
      <c r="L199" s="16">
        <f t="shared" si="10"/>
        <v>0</v>
      </c>
      <c r="M199" s="16">
        <f t="shared" si="11"/>
        <v>0</v>
      </c>
      <c r="N199" s="16">
        <f t="shared" si="12"/>
        <v>0</v>
      </c>
      <c r="O199" s="16">
        <f t="shared" si="13"/>
        <v>0</v>
      </c>
      <c r="P199" s="16">
        <f t="shared" si="14"/>
        <v>0</v>
      </c>
      <c r="Q199" s="16">
        <f t="shared" si="15"/>
        <v>0</v>
      </c>
    </row>
    <row r="200" ht="18.75" customHeight="1" spans="1:17">
      <c r="A200" s="10"/>
      <c r="B200" s="30"/>
      <c r="C200" s="10"/>
      <c r="D200" s="10"/>
      <c r="E200" s="10"/>
      <c r="F200" s="30"/>
      <c r="G200" s="10"/>
      <c r="H200" s="15" t="str">
        <f t="shared" si="8"/>
        <v/>
      </c>
      <c r="I200" s="16" t="str">
        <f t="shared" si="9"/>
        <v/>
      </c>
      <c r="J200" s="17"/>
      <c r="K200" s="17"/>
      <c r="L200" s="16">
        <f t="shared" si="10"/>
        <v>0</v>
      </c>
      <c r="M200" s="16">
        <f t="shared" si="11"/>
        <v>0</v>
      </c>
      <c r="N200" s="16">
        <f t="shared" si="12"/>
        <v>0</v>
      </c>
      <c r="O200" s="16">
        <f t="shared" si="13"/>
        <v>0</v>
      </c>
      <c r="P200" s="16">
        <f t="shared" si="14"/>
        <v>0</v>
      </c>
      <c r="Q200" s="16">
        <f t="shared" si="15"/>
        <v>0</v>
      </c>
    </row>
    <row r="201" ht="18.75" customHeight="1" spans="1:17">
      <c r="A201" s="10"/>
      <c r="B201" s="30"/>
      <c r="C201" s="10"/>
      <c r="D201" s="10"/>
      <c r="E201" s="10"/>
      <c r="F201" s="30"/>
      <c r="G201" s="10"/>
      <c r="H201" s="15" t="str">
        <f t="shared" si="8"/>
        <v/>
      </c>
      <c r="I201" s="16" t="str">
        <f t="shared" si="9"/>
        <v/>
      </c>
      <c r="J201" s="17"/>
      <c r="K201" s="17"/>
      <c r="L201" s="16">
        <f t="shared" si="10"/>
        <v>0</v>
      </c>
      <c r="M201" s="16">
        <f t="shared" si="11"/>
        <v>0</v>
      </c>
      <c r="N201" s="16">
        <f t="shared" si="12"/>
        <v>0</v>
      </c>
      <c r="O201" s="16">
        <f t="shared" si="13"/>
        <v>0</v>
      </c>
      <c r="P201" s="16">
        <f t="shared" si="14"/>
        <v>0</v>
      </c>
      <c r="Q201" s="16">
        <f t="shared" si="15"/>
        <v>0</v>
      </c>
    </row>
    <row r="202" ht="18.75" customHeight="1" spans="1:17">
      <c r="A202" s="10"/>
      <c r="B202" s="30"/>
      <c r="C202" s="10"/>
      <c r="D202" s="10"/>
      <c r="E202" s="10"/>
      <c r="F202" s="30"/>
      <c r="G202" s="10"/>
      <c r="H202" s="15" t="str">
        <f t="shared" si="8"/>
        <v/>
      </c>
      <c r="I202" s="16" t="str">
        <f t="shared" si="9"/>
        <v/>
      </c>
      <c r="J202" s="17"/>
      <c r="K202" s="17"/>
      <c r="L202" s="16">
        <f t="shared" si="10"/>
        <v>0</v>
      </c>
      <c r="M202" s="16">
        <f t="shared" si="11"/>
        <v>0</v>
      </c>
      <c r="N202" s="16">
        <f t="shared" si="12"/>
        <v>0</v>
      </c>
      <c r="O202" s="16">
        <f t="shared" si="13"/>
        <v>0</v>
      </c>
      <c r="P202" s="16">
        <f t="shared" si="14"/>
        <v>0</v>
      </c>
      <c r="Q202" s="16">
        <f t="shared" si="15"/>
        <v>0</v>
      </c>
    </row>
    <row r="203" ht="18.75" customHeight="1" spans="1:17">
      <c r="A203" s="10"/>
      <c r="B203" s="30"/>
      <c r="C203" s="10"/>
      <c r="D203" s="10"/>
      <c r="E203" s="10"/>
      <c r="F203" s="30"/>
      <c r="G203" s="10"/>
      <c r="H203" s="15" t="str">
        <f t="shared" si="8"/>
        <v/>
      </c>
      <c r="I203" s="16" t="str">
        <f t="shared" si="9"/>
        <v/>
      </c>
      <c r="J203" s="17"/>
      <c r="K203" s="17"/>
      <c r="L203" s="16">
        <f t="shared" si="10"/>
        <v>0</v>
      </c>
      <c r="M203" s="16">
        <f t="shared" si="11"/>
        <v>0</v>
      </c>
      <c r="N203" s="16">
        <f t="shared" si="12"/>
        <v>0</v>
      </c>
      <c r="O203" s="16">
        <f t="shared" si="13"/>
        <v>0</v>
      </c>
      <c r="P203" s="16">
        <f t="shared" si="14"/>
        <v>0</v>
      </c>
      <c r="Q203" s="16">
        <f t="shared" si="15"/>
        <v>0</v>
      </c>
    </row>
    <row r="204" ht="18.75" customHeight="1" spans="1:17">
      <c r="A204" s="10"/>
      <c r="B204" s="30"/>
      <c r="C204" s="10"/>
      <c r="D204" s="10"/>
      <c r="E204" s="10"/>
      <c r="F204" s="30"/>
      <c r="G204" s="10"/>
      <c r="H204" s="15" t="str">
        <f t="shared" si="8"/>
        <v/>
      </c>
      <c r="I204" s="16" t="str">
        <f t="shared" si="9"/>
        <v/>
      </c>
      <c r="J204" s="17"/>
      <c r="K204" s="17"/>
      <c r="L204" s="16">
        <f t="shared" si="10"/>
        <v>0</v>
      </c>
      <c r="M204" s="16">
        <f t="shared" si="11"/>
        <v>0</v>
      </c>
      <c r="N204" s="16">
        <f t="shared" si="12"/>
        <v>0</v>
      </c>
      <c r="O204" s="16">
        <f t="shared" si="13"/>
        <v>0</v>
      </c>
      <c r="P204" s="16">
        <f t="shared" si="14"/>
        <v>0</v>
      </c>
      <c r="Q204" s="16">
        <f t="shared" si="15"/>
        <v>0</v>
      </c>
    </row>
    <row r="205" ht="18.75" customHeight="1" spans="1:17">
      <c r="A205" s="10"/>
      <c r="B205" s="30"/>
      <c r="C205" s="10"/>
      <c r="D205" s="10"/>
      <c r="E205" s="10"/>
      <c r="F205" s="30"/>
      <c r="G205" s="10"/>
      <c r="H205" s="15" t="str">
        <f t="shared" si="8"/>
        <v/>
      </c>
      <c r="I205" s="16" t="str">
        <f t="shared" si="9"/>
        <v/>
      </c>
      <c r="J205" s="17"/>
      <c r="K205" s="17"/>
      <c r="L205" s="16">
        <f t="shared" si="10"/>
        <v>0</v>
      </c>
      <c r="M205" s="16">
        <f t="shared" si="11"/>
        <v>0</v>
      </c>
      <c r="N205" s="16">
        <f t="shared" si="12"/>
        <v>0</v>
      </c>
      <c r="O205" s="16">
        <f t="shared" si="13"/>
        <v>0</v>
      </c>
      <c r="P205" s="16">
        <f t="shared" si="14"/>
        <v>0</v>
      </c>
      <c r="Q205" s="16">
        <f t="shared" si="15"/>
        <v>0</v>
      </c>
    </row>
    <row r="206" ht="18.75" customHeight="1" spans="1:17">
      <c r="A206" s="10"/>
      <c r="B206" s="30"/>
      <c r="C206" s="10"/>
      <c r="D206" s="10"/>
      <c r="E206" s="10"/>
      <c r="F206" s="30"/>
      <c r="G206" s="10"/>
      <c r="H206" s="15" t="str">
        <f t="shared" si="8"/>
        <v/>
      </c>
      <c r="I206" s="16" t="str">
        <f t="shared" si="9"/>
        <v/>
      </c>
      <c r="J206" s="17"/>
      <c r="K206" s="17"/>
      <c r="L206" s="16">
        <f t="shared" si="10"/>
        <v>0</v>
      </c>
      <c r="M206" s="16">
        <f t="shared" si="11"/>
        <v>0</v>
      </c>
      <c r="N206" s="16">
        <f t="shared" si="12"/>
        <v>0</v>
      </c>
      <c r="O206" s="16">
        <f t="shared" si="13"/>
        <v>0</v>
      </c>
      <c r="P206" s="16">
        <f t="shared" si="14"/>
        <v>0</v>
      </c>
      <c r="Q206" s="16">
        <f t="shared" si="15"/>
        <v>0</v>
      </c>
    </row>
    <row r="207" ht="18.75" customHeight="1" spans="1:17">
      <c r="A207" s="10"/>
      <c r="B207" s="30"/>
      <c r="C207" s="10"/>
      <c r="D207" s="10"/>
      <c r="E207" s="10"/>
      <c r="F207" s="30"/>
      <c r="G207" s="10"/>
      <c r="H207" s="15" t="str">
        <f t="shared" si="8"/>
        <v/>
      </c>
      <c r="I207" s="16" t="str">
        <f t="shared" si="9"/>
        <v/>
      </c>
      <c r="J207" s="17"/>
      <c r="K207" s="17"/>
      <c r="L207" s="16">
        <f t="shared" si="10"/>
        <v>0</v>
      </c>
      <c r="M207" s="16">
        <f t="shared" si="11"/>
        <v>0</v>
      </c>
      <c r="N207" s="16">
        <f t="shared" si="12"/>
        <v>0</v>
      </c>
      <c r="O207" s="16">
        <f t="shared" si="13"/>
        <v>0</v>
      </c>
      <c r="P207" s="16">
        <f t="shared" si="14"/>
        <v>0</v>
      </c>
      <c r="Q207" s="16">
        <f t="shared" si="15"/>
        <v>0</v>
      </c>
    </row>
    <row r="208" ht="18.75" customHeight="1" spans="1:17">
      <c r="A208" s="10"/>
      <c r="B208" s="30"/>
      <c r="C208" s="10"/>
      <c r="D208" s="10"/>
      <c r="E208" s="10"/>
      <c r="F208" s="30"/>
      <c r="G208" s="10"/>
      <c r="H208" s="15" t="str">
        <f t="shared" si="8"/>
        <v/>
      </c>
      <c r="I208" s="16" t="str">
        <f t="shared" si="9"/>
        <v/>
      </c>
      <c r="J208" s="17"/>
      <c r="K208" s="17"/>
      <c r="L208" s="16">
        <f t="shared" si="10"/>
        <v>0</v>
      </c>
      <c r="M208" s="16">
        <f t="shared" si="11"/>
        <v>0</v>
      </c>
      <c r="N208" s="16">
        <f t="shared" si="12"/>
        <v>0</v>
      </c>
      <c r="O208" s="16">
        <f t="shared" si="13"/>
        <v>0</v>
      </c>
      <c r="P208" s="16">
        <f t="shared" si="14"/>
        <v>0</v>
      </c>
      <c r="Q208" s="16">
        <f t="shared" si="15"/>
        <v>0</v>
      </c>
    </row>
    <row r="209" ht="18.75" customHeight="1" spans="1:17">
      <c r="A209" s="10"/>
      <c r="B209" s="30"/>
      <c r="C209" s="10"/>
      <c r="D209" s="10"/>
      <c r="E209" s="10"/>
      <c r="F209" s="30"/>
      <c r="G209" s="10"/>
      <c r="H209" s="15" t="str">
        <f t="shared" si="8"/>
        <v/>
      </c>
      <c r="I209" s="16" t="str">
        <f t="shared" si="9"/>
        <v/>
      </c>
      <c r="J209" s="17"/>
      <c r="K209" s="17"/>
      <c r="L209" s="16">
        <f t="shared" si="10"/>
        <v>0</v>
      </c>
      <c r="M209" s="16">
        <f t="shared" si="11"/>
        <v>0</v>
      </c>
      <c r="N209" s="16">
        <f t="shared" si="12"/>
        <v>0</v>
      </c>
      <c r="O209" s="16">
        <f t="shared" si="13"/>
        <v>0</v>
      </c>
      <c r="P209" s="16">
        <f t="shared" si="14"/>
        <v>0</v>
      </c>
      <c r="Q209" s="16">
        <f t="shared" si="15"/>
        <v>0</v>
      </c>
    </row>
    <row r="210" ht="18.75" customHeight="1" spans="1:17">
      <c r="A210" s="10"/>
      <c r="B210" s="30"/>
      <c r="C210" s="10"/>
      <c r="D210" s="10"/>
      <c r="E210" s="10"/>
      <c r="F210" s="30"/>
      <c r="G210" s="10"/>
      <c r="H210" s="15" t="str">
        <f t="shared" si="8"/>
        <v/>
      </c>
      <c r="I210" s="16" t="str">
        <f t="shared" si="9"/>
        <v/>
      </c>
      <c r="J210" s="17"/>
      <c r="K210" s="17"/>
      <c r="L210" s="16">
        <f t="shared" si="10"/>
        <v>0</v>
      </c>
      <c r="M210" s="16">
        <f t="shared" si="11"/>
        <v>0</v>
      </c>
      <c r="N210" s="16">
        <f t="shared" si="12"/>
        <v>0</v>
      </c>
      <c r="O210" s="16">
        <f t="shared" si="13"/>
        <v>0</v>
      </c>
      <c r="P210" s="16">
        <f t="shared" si="14"/>
        <v>0</v>
      </c>
      <c r="Q210" s="16">
        <f t="shared" si="15"/>
        <v>0</v>
      </c>
    </row>
    <row r="211" ht="18.75" customHeight="1" spans="1:17">
      <c r="A211" s="10"/>
      <c r="B211" s="30"/>
      <c r="C211" s="10"/>
      <c r="D211" s="10"/>
      <c r="E211" s="10"/>
      <c r="F211" s="30"/>
      <c r="G211" s="10"/>
      <c r="H211" s="15" t="str">
        <f t="shared" si="8"/>
        <v/>
      </c>
      <c r="I211" s="16" t="str">
        <f t="shared" si="9"/>
        <v/>
      </c>
      <c r="J211" s="17"/>
      <c r="K211" s="17"/>
      <c r="L211" s="16">
        <f t="shared" si="10"/>
        <v>0</v>
      </c>
      <c r="M211" s="16">
        <f t="shared" si="11"/>
        <v>0</v>
      </c>
      <c r="N211" s="16">
        <f t="shared" si="12"/>
        <v>0</v>
      </c>
      <c r="O211" s="16">
        <f t="shared" si="13"/>
        <v>0</v>
      </c>
      <c r="P211" s="16">
        <f t="shared" si="14"/>
        <v>0</v>
      </c>
      <c r="Q211" s="16">
        <f t="shared" si="15"/>
        <v>0</v>
      </c>
    </row>
    <row r="212" ht="18.75" customHeight="1" spans="1:17">
      <c r="A212" s="10"/>
      <c r="B212" s="30"/>
      <c r="C212" s="10"/>
      <c r="D212" s="10"/>
      <c r="E212" s="10"/>
      <c r="F212" s="30"/>
      <c r="G212" s="10"/>
      <c r="H212" s="15" t="str">
        <f t="shared" si="8"/>
        <v/>
      </c>
      <c r="I212" s="16" t="str">
        <f t="shared" si="9"/>
        <v/>
      </c>
      <c r="J212" s="17"/>
      <c r="K212" s="17"/>
      <c r="L212" s="16">
        <f t="shared" si="10"/>
        <v>0</v>
      </c>
      <c r="M212" s="16">
        <f t="shared" si="11"/>
        <v>0</v>
      </c>
      <c r="N212" s="16">
        <f t="shared" si="12"/>
        <v>0</v>
      </c>
      <c r="O212" s="16">
        <f t="shared" si="13"/>
        <v>0</v>
      </c>
      <c r="P212" s="16">
        <f t="shared" si="14"/>
        <v>0</v>
      </c>
      <c r="Q212" s="16">
        <f t="shared" si="15"/>
        <v>0</v>
      </c>
    </row>
    <row r="213" ht="18.75" customHeight="1" spans="1:17">
      <c r="A213" s="10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16">
        <f t="shared" si="15"/>
        <v>0</v>
      </c>
    </row>
    <row r="214" s="1" customFormat="1" ht="18.75" customHeight="1" spans="1:20">
      <c r="A214" s="10"/>
      <c r="B214" s="30"/>
      <c r="C214" s="10"/>
      <c r="D214" s="10"/>
      <c r="E214" s="10"/>
      <c r="F214" s="30"/>
      <c r="G214" s="10"/>
      <c r="H214" s="15" t="str">
        <f t="shared" ref="H214:H221" si="16">IFERROR(VLOOKUP($B214,$A$25:$N$62,7,FALSE),"")</f>
        <v/>
      </c>
      <c r="I214" s="16" t="str">
        <f t="shared" ref="I214:I222" si="17">IF($H202="Minor",1,IF($H202="Moderate",2,IF($H202="Major",3,IF($H202="Critical",4,""))))</f>
        <v/>
      </c>
      <c r="J214" s="17"/>
      <c r="K214" s="17"/>
      <c r="L214" s="16">
        <f t="shared" ref="L214:L222" si="18">IF(OR($G214="Exact TP",$G214="Equivalent TP"),1,0)</f>
        <v>0</v>
      </c>
      <c r="M214" s="16">
        <f t="shared" ref="M214:M222" si="19">IF(OR($G214="FP Extra",$G214="Harmful FP"),1,0)</f>
        <v>0</v>
      </c>
      <c r="N214" s="16">
        <f t="shared" ref="N214:N222" si="20">IF(OR($G214="FN",$G214="Partial"),1,0)</f>
        <v>0</v>
      </c>
      <c r="O214" s="16">
        <f t="shared" ref="O214:O222" si="21">IF($L202=1,$I202,0)</f>
        <v>0</v>
      </c>
      <c r="P214" s="16">
        <f t="shared" ref="P214:P222" si="22">IF($M202=1,$I202,0)</f>
        <v>0</v>
      </c>
      <c r="Q214" s="16">
        <f t="shared" si="15"/>
        <v>0</v>
      </c>
      <c r="R214" s="2"/>
      <c r="S214" s="2"/>
      <c r="T214" s="2"/>
    </row>
    <row r="215" ht="18.75" customHeight="1" spans="1:17">
      <c r="A215" s="10"/>
      <c r="B215" s="30"/>
      <c r="C215" s="10"/>
      <c r="D215" s="10"/>
      <c r="E215" s="10"/>
      <c r="F215" s="30"/>
      <c r="G215" s="10"/>
      <c r="H215" s="15" t="str">
        <f t="shared" si="16"/>
        <v/>
      </c>
      <c r="I215" s="16" t="str">
        <f t="shared" si="17"/>
        <v/>
      </c>
      <c r="J215" s="17"/>
      <c r="K215" s="17"/>
      <c r="L215" s="16">
        <f t="shared" si="18"/>
        <v>0</v>
      </c>
      <c r="M215" s="16">
        <f t="shared" si="19"/>
        <v>0</v>
      </c>
      <c r="N215" s="16">
        <f t="shared" si="20"/>
        <v>0</v>
      </c>
      <c r="O215" s="16">
        <f t="shared" si="21"/>
        <v>0</v>
      </c>
      <c r="P215" s="16">
        <f t="shared" si="22"/>
        <v>0</v>
      </c>
      <c r="Q215" s="16">
        <f t="shared" si="15"/>
        <v>0</v>
      </c>
    </row>
    <row r="216" ht="18.75" customHeight="1" spans="1:17">
      <c r="A216" s="10"/>
      <c r="B216" s="30"/>
      <c r="C216" s="10"/>
      <c r="D216" s="10"/>
      <c r="E216" s="10"/>
      <c r="F216" s="30"/>
      <c r="G216" s="10"/>
      <c r="H216" s="15" t="str">
        <f t="shared" si="16"/>
        <v/>
      </c>
      <c r="I216" s="16" t="str">
        <f t="shared" si="17"/>
        <v/>
      </c>
      <c r="J216" s="17"/>
      <c r="K216" s="17"/>
      <c r="L216" s="16">
        <f t="shared" si="18"/>
        <v>0</v>
      </c>
      <c r="M216" s="16">
        <f t="shared" si="19"/>
        <v>0</v>
      </c>
      <c r="N216" s="16">
        <f t="shared" si="20"/>
        <v>0</v>
      </c>
      <c r="O216" s="16">
        <f t="shared" si="21"/>
        <v>0</v>
      </c>
      <c r="P216" s="16">
        <f t="shared" si="22"/>
        <v>0</v>
      </c>
      <c r="Q216" s="16">
        <f t="shared" si="15"/>
        <v>0</v>
      </c>
    </row>
    <row r="217" ht="18.75" customHeight="1" spans="1:17">
      <c r="A217" s="10"/>
      <c r="B217" s="30"/>
      <c r="C217" s="10"/>
      <c r="D217" s="10"/>
      <c r="E217" s="10"/>
      <c r="F217" s="30"/>
      <c r="G217" s="10"/>
      <c r="H217" s="15" t="str">
        <f t="shared" si="16"/>
        <v/>
      </c>
      <c r="I217" s="16" t="str">
        <f t="shared" si="17"/>
        <v/>
      </c>
      <c r="J217" s="17"/>
      <c r="K217" s="17"/>
      <c r="L217" s="16">
        <f t="shared" si="18"/>
        <v>0</v>
      </c>
      <c r="M217" s="16">
        <f t="shared" si="19"/>
        <v>0</v>
      </c>
      <c r="N217" s="16">
        <f t="shared" si="20"/>
        <v>0</v>
      </c>
      <c r="O217" s="16">
        <f t="shared" si="21"/>
        <v>0</v>
      </c>
      <c r="P217" s="16">
        <f t="shared" si="22"/>
        <v>0</v>
      </c>
      <c r="Q217" s="16">
        <f t="shared" si="15"/>
        <v>0</v>
      </c>
    </row>
    <row r="218" ht="18.75" customHeight="1" spans="1:17">
      <c r="A218" s="10"/>
      <c r="B218" s="30"/>
      <c r="C218" s="10"/>
      <c r="D218" s="10"/>
      <c r="E218" s="10"/>
      <c r="F218" s="30"/>
      <c r="G218" s="10"/>
      <c r="H218" s="15" t="str">
        <f t="shared" si="16"/>
        <v/>
      </c>
      <c r="I218" s="16" t="str">
        <f t="shared" si="17"/>
        <v/>
      </c>
      <c r="J218" s="17"/>
      <c r="K218" s="17"/>
      <c r="L218" s="16">
        <f t="shared" si="18"/>
        <v>0</v>
      </c>
      <c r="M218" s="16">
        <f t="shared" si="19"/>
        <v>0</v>
      </c>
      <c r="N218" s="16">
        <f t="shared" si="20"/>
        <v>0</v>
      </c>
      <c r="O218" s="16">
        <f t="shared" si="21"/>
        <v>0</v>
      </c>
      <c r="P218" s="16">
        <f t="shared" si="22"/>
        <v>0</v>
      </c>
      <c r="Q218" s="16">
        <f t="shared" si="15"/>
        <v>0</v>
      </c>
    </row>
    <row r="219" ht="18.75" customHeight="1" spans="1:17">
      <c r="A219" s="10"/>
      <c r="B219" s="30"/>
      <c r="C219" s="10"/>
      <c r="D219" s="10"/>
      <c r="E219" s="10"/>
      <c r="F219" s="30"/>
      <c r="G219" s="10"/>
      <c r="H219" s="15" t="str">
        <f t="shared" si="16"/>
        <v/>
      </c>
      <c r="I219" s="16" t="str">
        <f t="shared" si="17"/>
        <v/>
      </c>
      <c r="J219" s="17"/>
      <c r="K219" s="17"/>
      <c r="L219" s="16">
        <f t="shared" si="18"/>
        <v>0</v>
      </c>
      <c r="M219" s="16">
        <f t="shared" si="19"/>
        <v>0</v>
      </c>
      <c r="N219" s="16">
        <f t="shared" si="20"/>
        <v>0</v>
      </c>
      <c r="O219" s="16">
        <f t="shared" si="21"/>
        <v>0</v>
      </c>
      <c r="P219" s="16">
        <f t="shared" si="22"/>
        <v>0</v>
      </c>
      <c r="Q219" s="16">
        <f t="shared" si="15"/>
        <v>0</v>
      </c>
    </row>
    <row r="220" ht="18.75" customHeight="1" spans="1:17">
      <c r="A220" s="10"/>
      <c r="B220" s="30"/>
      <c r="C220" s="10"/>
      <c r="D220" s="10"/>
      <c r="E220" s="10"/>
      <c r="F220" s="30"/>
      <c r="G220" s="10"/>
      <c r="H220" s="15" t="str">
        <f t="shared" si="16"/>
        <v/>
      </c>
      <c r="I220" s="16" t="str">
        <f t="shared" si="17"/>
        <v/>
      </c>
      <c r="J220" s="17"/>
      <c r="K220" s="17"/>
      <c r="L220" s="16">
        <f t="shared" si="18"/>
        <v>0</v>
      </c>
      <c r="M220" s="16">
        <f t="shared" si="19"/>
        <v>0</v>
      </c>
      <c r="N220" s="16">
        <f t="shared" si="20"/>
        <v>0</v>
      </c>
      <c r="O220" s="16">
        <f t="shared" si="21"/>
        <v>0</v>
      </c>
      <c r="P220" s="16">
        <f t="shared" si="22"/>
        <v>0</v>
      </c>
      <c r="Q220" s="16">
        <f t="shared" si="15"/>
        <v>0</v>
      </c>
    </row>
    <row r="221" ht="18.75" customHeight="1" spans="1:17">
      <c r="A221" s="10"/>
      <c r="B221" s="30"/>
      <c r="C221" s="10"/>
      <c r="D221" s="10"/>
      <c r="E221" s="10"/>
      <c r="F221" s="30"/>
      <c r="G221" s="10"/>
      <c r="H221" s="15" t="str">
        <f t="shared" si="16"/>
        <v/>
      </c>
      <c r="I221" s="16" t="str">
        <f t="shared" si="17"/>
        <v/>
      </c>
      <c r="J221" s="17"/>
      <c r="K221" s="17"/>
      <c r="L221" s="16">
        <f t="shared" si="18"/>
        <v>0</v>
      </c>
      <c r="M221" s="16">
        <f t="shared" si="19"/>
        <v>0</v>
      </c>
      <c r="N221" s="16">
        <f t="shared" si="20"/>
        <v>0</v>
      </c>
      <c r="O221" s="16">
        <f t="shared" si="21"/>
        <v>0</v>
      </c>
      <c r="P221" s="16">
        <f t="shared" si="22"/>
        <v>0</v>
      </c>
      <c r="Q221" s="16">
        <f t="shared" si="15"/>
        <v>0</v>
      </c>
    </row>
    <row r="222" ht="18.75" customHeight="1" spans="1:17">
      <c r="A222" s="10"/>
      <c r="B222" s="35"/>
      <c r="C222" s="35"/>
      <c r="D222" s="35"/>
      <c r="E222" s="35"/>
      <c r="F222" s="35"/>
      <c r="G222" s="35"/>
      <c r="H222" s="35"/>
      <c r="I222" s="16" t="str">
        <f t="shared" si="17"/>
        <v/>
      </c>
      <c r="J222" s="17"/>
      <c r="K222" s="17"/>
      <c r="L222" s="16">
        <f t="shared" si="18"/>
        <v>0</v>
      </c>
      <c r="M222" s="16">
        <f t="shared" si="19"/>
        <v>0</v>
      </c>
      <c r="N222" s="16">
        <f t="shared" si="20"/>
        <v>0</v>
      </c>
      <c r="O222" s="16">
        <f t="shared" si="21"/>
        <v>0</v>
      </c>
      <c r="P222" s="16">
        <f t="shared" si="22"/>
        <v>0</v>
      </c>
      <c r="Q222" s="16">
        <f t="shared" si="15"/>
        <v>0</v>
      </c>
    </row>
    <row r="223" s="1" customFormat="1" ht="18.75" customHeight="1" spans="1:20">
      <c r="A223" s="2"/>
      <c r="B223" s="21"/>
      <c r="C223" s="1"/>
      <c r="D223" s="1"/>
      <c r="E223" s="2"/>
      <c r="F223" s="22"/>
      <c r="G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="1" customFormat="1" ht="18.75" customHeight="1" spans="1:20">
      <c r="A224" s="2"/>
      <c r="B224" s="21"/>
      <c r="C224" s="1"/>
      <c r="D224" s="1"/>
      <c r="E224" s="2"/>
      <c r="F224" s="22"/>
      <c r="G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="1" customFormat="1" ht="18.75" customHeight="1" spans="1:20">
      <c r="A225" s="3" t="s">
        <v>452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6"/>
      <c r="Q225" s="2"/>
      <c r="R225" s="2"/>
      <c r="S225" s="2"/>
      <c r="T225" s="2"/>
    </row>
    <row r="226" s="1" customFormat="1" ht="18.75" customHeight="1" spans="1:19">
      <c r="A226" s="9" t="s">
        <v>147</v>
      </c>
      <c r="B226" s="25" t="s">
        <v>173</v>
      </c>
      <c r="C226" s="9" t="s">
        <v>453</v>
      </c>
      <c r="D226" s="9" t="s">
        <v>454</v>
      </c>
      <c r="E226" s="9" t="s">
        <v>455</v>
      </c>
      <c r="F226" s="25" t="s">
        <v>135</v>
      </c>
      <c r="G226" s="9" t="s">
        <v>456</v>
      </c>
      <c r="H226" s="9" t="s">
        <v>457</v>
      </c>
      <c r="I226" s="9" t="s">
        <v>458</v>
      </c>
      <c r="J226" s="9" t="s">
        <v>154</v>
      </c>
      <c r="K226" s="9" t="s">
        <v>459</v>
      </c>
      <c r="L226" s="9" t="s">
        <v>460</v>
      </c>
      <c r="M226" s="9" t="s">
        <v>461</v>
      </c>
      <c r="N226" s="9" t="s">
        <v>462</v>
      </c>
      <c r="O226" s="9" t="s">
        <v>463</v>
      </c>
      <c r="P226" s="9" t="s">
        <v>464</v>
      </c>
      <c r="Q226" s="9" t="s">
        <v>465</v>
      </c>
      <c r="R226" s="9" t="s">
        <v>139</v>
      </c>
      <c r="S226" s="9" t="s">
        <v>198</v>
      </c>
    </row>
    <row r="227" s="1" customFormat="1" ht="18.75" customHeight="1" spans="1:20">
      <c r="A227" s="26" t="s">
        <v>178</v>
      </c>
      <c r="B227" s="27" t="s">
        <v>0</v>
      </c>
      <c r="C227" s="28" t="s">
        <v>6</v>
      </c>
      <c r="D227" s="28" t="s">
        <v>466</v>
      </c>
      <c r="E227" s="18" t="str">
        <f>IFERROR(D215/C215,"")</f>
        <v/>
      </c>
      <c r="F227" s="27" t="s">
        <v>467</v>
      </c>
      <c r="G227" s="28" t="s">
        <v>468</v>
      </c>
      <c r="H227" s="28" t="s">
        <v>451</v>
      </c>
      <c r="I227" s="28" t="s">
        <v>469</v>
      </c>
      <c r="J227" s="18" t="str">
        <f>IFERROR((H215-I215)/H215,"")</f>
        <v/>
      </c>
      <c r="K227" s="28" t="s">
        <v>470</v>
      </c>
      <c r="L227" s="28" t="s">
        <v>471</v>
      </c>
      <c r="M227" s="18" t="str">
        <f>IFERROR((K215-L215)/K215,"")</f>
        <v/>
      </c>
      <c r="N227" s="28" t="s">
        <v>472</v>
      </c>
      <c r="O227" s="28" t="s">
        <v>473</v>
      </c>
      <c r="P227" s="20">
        <f>IFERROR(O215-N215,"")</f>
        <v>0</v>
      </c>
      <c r="Q227" s="19"/>
      <c r="R227" s="10"/>
      <c r="S227" s="10"/>
      <c r="T227" s="2"/>
    </row>
    <row r="228" s="1" customFormat="1" ht="18.75" customHeight="1" spans="1:20">
      <c r="A228" s="7"/>
      <c r="B228" s="30"/>
      <c r="C228" s="10"/>
      <c r="D228" s="10"/>
      <c r="E228" s="18" t="str">
        <f>IFERROR(D216/C216,"")</f>
        <v/>
      </c>
      <c r="F228" s="19"/>
      <c r="G228" s="10"/>
      <c r="H228" s="10"/>
      <c r="I228" s="10"/>
      <c r="J228" s="18" t="str">
        <f>IFERROR((H216-I216)/H216,"")</f>
        <v/>
      </c>
      <c r="K228" s="10"/>
      <c r="L228" s="10"/>
      <c r="M228" s="18" t="str">
        <f>IFERROR((K216-L216)/K216,"")</f>
        <v/>
      </c>
      <c r="N228" s="10"/>
      <c r="O228" s="10"/>
      <c r="P228" s="20">
        <f>IFERROR(O216-N216,"")</f>
        <v>0</v>
      </c>
      <c r="Q228" s="19"/>
      <c r="R228" s="10"/>
      <c r="S228" s="10"/>
      <c r="T228" s="2"/>
    </row>
    <row r="229" s="1" customFormat="1" ht="18.75" customHeight="1" spans="1:20">
      <c r="A229" s="7"/>
      <c r="B229" s="30"/>
      <c r="C229" s="10"/>
      <c r="D229" s="10"/>
      <c r="E229" s="18" t="str">
        <f>IFERROR(D217/C217,"")</f>
        <v/>
      </c>
      <c r="F229" s="19"/>
      <c r="G229" s="10"/>
      <c r="H229" s="10"/>
      <c r="I229" s="10"/>
      <c r="J229" s="18" t="str">
        <f>IFERROR((H217-I217)/H217,"")</f>
        <v/>
      </c>
      <c r="K229" s="10"/>
      <c r="L229" s="10"/>
      <c r="M229" s="18" t="str">
        <f>IFERROR((K217-L217)/K217,"")</f>
        <v/>
      </c>
      <c r="N229" s="10"/>
      <c r="O229" s="10"/>
      <c r="P229" s="20">
        <f>IFERROR(O217-N217,"")</f>
        <v>0</v>
      </c>
      <c r="Q229" s="19"/>
      <c r="R229" s="10"/>
      <c r="S229" s="10"/>
      <c r="T229" s="2"/>
    </row>
    <row r="230" s="1" customFormat="1" ht="18.75" customHeight="1" spans="1:20">
      <c r="A230" s="7"/>
      <c r="B230" s="30"/>
      <c r="C230" s="10"/>
      <c r="D230" s="10"/>
      <c r="E230" s="18" t="str">
        <f>IFERROR(D218/C218,"")</f>
        <v/>
      </c>
      <c r="F230" s="19"/>
      <c r="G230" s="10"/>
      <c r="H230" s="10"/>
      <c r="I230" s="10"/>
      <c r="J230" s="18" t="str">
        <f>IFERROR((H218-I218)/H218,"")</f>
        <v/>
      </c>
      <c r="K230" s="10"/>
      <c r="L230" s="10"/>
      <c r="M230" s="18" t="str">
        <f>IFERROR((K218-L218)/K218,"")</f>
        <v/>
      </c>
      <c r="N230" s="10"/>
      <c r="O230" s="10"/>
      <c r="P230" s="20">
        <f>IFERROR(O218-N218,"")</f>
        <v>0</v>
      </c>
      <c r="Q230" s="19"/>
      <c r="R230" s="10"/>
      <c r="S230" s="10"/>
      <c r="T230" s="2"/>
    </row>
    <row r="234" ht="15.75" spans="1:8">
      <c r="A234" s="3" t="s">
        <v>474</v>
      </c>
      <c r="B234" s="4"/>
      <c r="C234" s="4"/>
      <c r="D234" s="4"/>
      <c r="E234" s="4"/>
      <c r="F234" s="4"/>
      <c r="G234" s="4"/>
      <c r="H234" s="6"/>
    </row>
    <row r="235" ht="26.25" spans="1:20">
      <c r="A235" s="9" t="s">
        <v>147</v>
      </c>
      <c r="B235" s="25" t="s">
        <v>113</v>
      </c>
      <c r="C235" s="9" t="s">
        <v>124</v>
      </c>
      <c r="D235" s="9" t="s">
        <v>475</v>
      </c>
      <c r="E235" s="9" t="s">
        <v>476</v>
      </c>
      <c r="F235" s="25" t="s">
        <v>477</v>
      </c>
      <c r="G235" s="9" t="s">
        <v>478</v>
      </c>
      <c r="H235" s="9" t="s">
        <v>198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ht="90" spans="1:20">
      <c r="A236" s="28" t="s">
        <v>479</v>
      </c>
      <c r="B236" s="32" t="s">
        <v>480</v>
      </c>
      <c r="C236" s="28" t="s">
        <v>481</v>
      </c>
      <c r="D236" s="33" t="s">
        <v>482</v>
      </c>
      <c r="E236" s="28" t="s">
        <v>483</v>
      </c>
      <c r="F236" s="32" t="s">
        <v>484</v>
      </c>
      <c r="G236" s="28" t="s">
        <v>451</v>
      </c>
      <c r="H236" s="33" t="s">
        <v>485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ht="75" spans="1:20">
      <c r="A237" s="28" t="s">
        <v>486</v>
      </c>
      <c r="B237" s="32" t="s">
        <v>487</v>
      </c>
      <c r="C237" s="28" t="s">
        <v>488</v>
      </c>
      <c r="D237" s="33" t="s">
        <v>489</v>
      </c>
      <c r="E237" s="28" t="s">
        <v>490</v>
      </c>
      <c r="F237" s="32" t="s">
        <v>491</v>
      </c>
      <c r="G237" s="28" t="s">
        <v>451</v>
      </c>
      <c r="H237" s="33" t="s">
        <v>492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ht="75" spans="1:20">
      <c r="A238" s="28" t="s">
        <v>493</v>
      </c>
      <c r="B238" s="32" t="s">
        <v>494</v>
      </c>
      <c r="C238" s="28" t="s">
        <v>495</v>
      </c>
      <c r="D238" s="33" t="s">
        <v>496</v>
      </c>
      <c r="E238" s="28" t="s">
        <v>497</v>
      </c>
      <c r="F238" s="32" t="s">
        <v>498</v>
      </c>
      <c r="G238" s="28" t="s">
        <v>451</v>
      </c>
      <c r="H238" s="33" t="s">
        <v>499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ht="105" spans="1:20">
      <c r="A239" s="28" t="s">
        <v>36</v>
      </c>
      <c r="B239" s="32" t="s">
        <v>500</v>
      </c>
      <c r="C239" s="28" t="s">
        <v>501</v>
      </c>
      <c r="D239" s="33" t="s">
        <v>502</v>
      </c>
      <c r="E239" s="28" t="s">
        <v>503</v>
      </c>
      <c r="F239" s="32" t="s">
        <v>504</v>
      </c>
      <c r="G239" s="28" t="s">
        <v>37</v>
      </c>
      <c r="H239" s="33" t="s">
        <v>505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>
      <c r="A240" s="10"/>
      <c r="B240" s="34"/>
      <c r="C240" s="10"/>
      <c r="D240" s="11"/>
      <c r="E240" s="10"/>
      <c r="F240" s="34"/>
      <c r="G240" s="10"/>
      <c r="H240" s="1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>
      <c r="A241" s="10"/>
      <c r="B241" s="34"/>
      <c r="C241" s="10"/>
      <c r="D241" s="11"/>
      <c r="E241" s="10"/>
      <c r="F241" s="34"/>
      <c r="G241" s="10"/>
      <c r="H241" s="1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>
      <c r="A242" s="10"/>
      <c r="B242" s="34"/>
      <c r="C242" s="10"/>
      <c r="D242" s="11"/>
      <c r="E242" s="10"/>
      <c r="F242" s="34"/>
      <c r="G242" s="10"/>
      <c r="H242" s="1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</sheetData>
  <mergeCells count="9">
    <mergeCell ref="A1:T1"/>
    <mergeCell ref="A4:F4"/>
    <mergeCell ref="H4:T4"/>
    <mergeCell ref="A14:J14"/>
    <mergeCell ref="A23:N23"/>
    <mergeCell ref="A57:K57"/>
    <mergeCell ref="A89:Q89"/>
    <mergeCell ref="A213:P213"/>
    <mergeCell ref="A222:H222"/>
  </mergeCells>
  <pageMargins left="0.7" right="0.7" top="0.75" bottom="0.75" header="0.3" footer="0.3"/>
  <headerFooter/>
  <tableParts count="6">
    <tablePart r:id="rId1"/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T230"/>
  <sheetViews>
    <sheetView tabSelected="1" topLeftCell="A25" workbookViewId="0">
      <selection activeCell="A1" sqref="A1:T1"/>
    </sheetView>
  </sheetViews>
  <sheetFormatPr defaultColWidth="9" defaultRowHeight="15"/>
  <cols>
    <col min="1" max="2" width="18.0095238095238" style="2" customWidth="1"/>
    <col min="3" max="4" width="24.0095238095238" style="1" customWidth="1"/>
    <col min="5" max="5" width="18.0095238095238" style="2" customWidth="1"/>
    <col min="6" max="6" width="18.0095238095238" style="1" customWidth="1"/>
    <col min="7" max="7" width="14.0095238095238" style="1" customWidth="1"/>
    <col min="8" max="9" width="14.0095238095238" style="2" customWidth="1"/>
    <col min="10" max="11" width="18.0095238095238" style="2" customWidth="1"/>
    <col min="12" max="13" width="14.0095238095238" style="2" customWidth="1"/>
    <col min="14" max="14" width="18.0095238095238" style="2" customWidth="1"/>
    <col min="15" max="20" width="14.0095238095238" style="2" customWidth="1"/>
  </cols>
  <sheetData>
    <row r="1" ht="18.75" customHeight="1" spans="1:20">
      <c r="A1" s="3" t="s">
        <v>506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6"/>
    </row>
    <row r="2" s="1" customFormat="1" ht="18.75" customHeight="1" spans="1:1">
      <c r="A2" s="5" t="s">
        <v>142</v>
      </c>
    </row>
    <row r="3" ht="18.75" customHeight="1"/>
    <row r="4" ht="18.75" customHeight="1" spans="1:20">
      <c r="A4" s="3" t="s">
        <v>143</v>
      </c>
      <c r="B4" s="4"/>
      <c r="C4" s="4"/>
      <c r="D4" s="4"/>
      <c r="E4" s="4"/>
      <c r="F4" s="6"/>
      <c r="H4" s="3" t="s">
        <v>144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6"/>
    </row>
    <row r="5" ht="18.75" customHeight="1" spans="1:19">
      <c r="A5" s="7" t="s">
        <v>145</v>
      </c>
      <c r="B5" s="8" t="s">
        <v>507</v>
      </c>
      <c r="H5" s="9" t="s">
        <v>147</v>
      </c>
      <c r="I5" s="9" t="s">
        <v>148</v>
      </c>
      <c r="J5" s="9" t="s">
        <v>37</v>
      </c>
      <c r="K5" s="9" t="s">
        <v>149</v>
      </c>
      <c r="L5" s="9" t="s">
        <v>49</v>
      </c>
      <c r="M5" s="9" t="s">
        <v>150</v>
      </c>
      <c r="N5" s="9" t="s">
        <v>151</v>
      </c>
      <c r="O5" s="9" t="s">
        <v>152</v>
      </c>
      <c r="P5" s="9" t="s">
        <v>153</v>
      </c>
      <c r="Q5" s="9" t="s">
        <v>135</v>
      </c>
      <c r="R5" s="9" t="s">
        <v>154</v>
      </c>
      <c r="S5" s="9" t="s">
        <v>155</v>
      </c>
    </row>
    <row r="6" ht="18.75" customHeight="1" spans="1:19">
      <c r="A6" s="7" t="s">
        <v>156</v>
      </c>
      <c r="B6" s="8"/>
      <c r="H6" s="7" t="s">
        <v>0</v>
      </c>
      <c r="I6" s="12">
        <f>SUMIFS($L$89:$L$210,$A$89:$A$210,$H6)</f>
        <v>0</v>
      </c>
      <c r="J6" s="12">
        <f>COUNTIFS($A$89:$A$210,$H6,$G$89:$G$210,"Partial")</f>
        <v>0</v>
      </c>
      <c r="K6" s="12">
        <f>SUMIFS($M$89:$M$210,$A$89:$A$210,$H6)</f>
        <v>0</v>
      </c>
      <c r="L6" s="12">
        <f>SUMIFS($N$89:$N$210,$A$89:$A$210,$H6)</f>
        <v>0</v>
      </c>
      <c r="M6" s="13" t="str">
        <f>IFERROR(I6/(I6+K6),"")</f>
        <v/>
      </c>
      <c r="N6" s="13" t="str">
        <f>IFERROR(I6/(I6+L6),"")</f>
        <v/>
      </c>
      <c r="O6" s="13" t="str">
        <f>IFERROR(2*M6*N6/(M6+N6),"")</f>
        <v/>
      </c>
      <c r="P6" s="13" t="str">
        <f>IFERROR(2*(SUMIFS($O$89:$O$210,$A$89:$A$210,$H6)/(SUMIFS($O$89:$O$210,$A$89:$A$210,$H6)+SUMIFS($P$89:$P$210,$A$89:$A$210,$H6)))*(SUMIFS($O$89:$O$210,$A$89:$A$210,$H6)/(SUMIFS($O$89:$O$210,$A$89:$A$210,$H6)+SUMIFS($Q$89:$Q$210,$A$89:$A$210,$H6)))/((SUMIFS($O$89:$O$210,$A$89:$A$210,$H6)/(SUMIFS($O$89:$O$210,$A$89:$A$210,$H6)+SUMIFS($P$89:$P$210,$A$89:$A$210,$H6)))+(SUMIFS($O$89:$O$210,$A$89:$A$210,$H6)/(SUMIFS($O$89:$O$210,$A$89:$A$210,$H6)+SUMIFS($Q$89:$Q$210,$A$89:$A$210,$H6)))),"")</f>
        <v/>
      </c>
      <c r="Q6" s="12">
        <f>IFERROR(INDEX($F$215:$F$218,MATCH($H6,$A$215:$A$218,0)),"")</f>
        <v>0</v>
      </c>
      <c r="R6" s="13" t="str">
        <f>IFERROR(INDEX($J$215:$J$218,MATCH($H6,$A$215:$A$218,0)),"")</f>
        <v/>
      </c>
      <c r="S6" s="14">
        <f>IFERROR(INDEX($R$215:$R$218,MATCH($H6,$A$215:$A$218,0)),"")</f>
        <v>0</v>
      </c>
    </row>
    <row r="7" ht="18.75" customHeight="1" spans="1:19">
      <c r="A7" s="7" t="s">
        <v>158</v>
      </c>
      <c r="B7" s="8"/>
      <c r="H7" s="7" t="s">
        <v>15</v>
      </c>
      <c r="I7" s="12">
        <f>SUMIFS($L$89:$L$210,$A$89:$A$210,$H7)</f>
        <v>0</v>
      </c>
      <c r="J7" s="12">
        <f>COUNTIFS($A$89:$A$210,$H7,$G$89:$G$210,"Partial")</f>
        <v>0</v>
      </c>
      <c r="K7" s="12">
        <f>SUMIFS($M$89:$M$210,$A$89:$A$210,$H7)</f>
        <v>0</v>
      </c>
      <c r="L7" s="12">
        <f>SUMIFS($N$89:$N$210,$A$89:$A$210,$H7)</f>
        <v>0</v>
      </c>
      <c r="M7" s="13" t="str">
        <f>IFERROR(I7/(I7+K7),"")</f>
        <v/>
      </c>
      <c r="N7" s="13" t="str">
        <f>IFERROR(I7/(I7+L7),"")</f>
        <v/>
      </c>
      <c r="O7" s="13" t="str">
        <f>IFERROR(2*M7*N7/(M7+N7),"")</f>
        <v/>
      </c>
      <c r="P7" s="13" t="str">
        <f>IFERROR(2*(SUMIFS($O$89:$O$210,$A$89:$A$210,$H7)/(SUMIFS($O$89:$O$210,$A$89:$A$210,$H7)+SUMIFS($P$89:$P$210,$A$89:$A$210,$H7)))*(SUMIFS($O$89:$O$210,$A$89:$A$210,$H7)/(SUMIFS($O$89:$O$210,$A$89:$A$210,$H7)+SUMIFS($Q$89:$Q$210,$A$89:$A$210,$H7)))/((SUMIFS($O$89:$O$210,$A$89:$A$210,$H7)/(SUMIFS($O$89:$O$210,$A$89:$A$210,$H7)+SUMIFS($P$89:$P$210,$A$89:$A$210,$H7)))+(SUMIFS($O$89:$O$210,$A$89:$A$210,$H7)/(SUMIFS($O$89:$O$210,$A$89:$A$210,$H7)+SUMIFS($Q$89:$Q$210,$A$89:$A$210,$H7)))),"")</f>
        <v/>
      </c>
      <c r="Q7" s="12">
        <f>IFERROR(INDEX($F$215:$F$218,MATCH($H7,$A$215:$A$218,0)),"")</f>
        <v>0</v>
      </c>
      <c r="R7" s="13" t="str">
        <f>IFERROR(INDEX($J$215:$J$218,MATCH($H7,$A$215:$A$218,0)),"")</f>
        <v/>
      </c>
      <c r="S7" s="14">
        <f>IFERROR(INDEX($R$215:$R$218,MATCH($H7,$A$215:$A$218,0)),"")</f>
        <v>0</v>
      </c>
    </row>
    <row r="8" ht="18.75" customHeight="1" spans="1:19">
      <c r="A8" s="7" t="s">
        <v>107</v>
      </c>
      <c r="B8" s="8"/>
      <c r="H8" s="7" t="s">
        <v>30</v>
      </c>
      <c r="I8" s="12">
        <f>SUMIFS($L$89:$L$210,$A$89:$A$210,$H8)</f>
        <v>0</v>
      </c>
      <c r="J8" s="12">
        <f>COUNTIFS($A$89:$A$210,$H8,$G$89:$G$210,"Partial")</f>
        <v>0</v>
      </c>
      <c r="K8" s="12">
        <f>SUMIFS($M$89:$M$210,$A$89:$A$210,$H8)</f>
        <v>0</v>
      </c>
      <c r="L8" s="12">
        <f>SUMIFS($N$89:$N$210,$A$89:$A$210,$H8)</f>
        <v>0</v>
      </c>
      <c r="M8" s="13" t="str">
        <f>IFERROR(I8/(I8+K8),"")</f>
        <v/>
      </c>
      <c r="N8" s="13" t="str">
        <f>IFERROR(I8/(I8+L8),"")</f>
        <v/>
      </c>
      <c r="O8" s="13" t="str">
        <f>IFERROR(2*M8*N8/(M8+N8),"")</f>
        <v/>
      </c>
      <c r="P8" s="13" t="str">
        <f>IFERROR(2*(SUMIFS($O$89:$O$210,$A$89:$A$210,$H8)/(SUMIFS($O$89:$O$210,$A$89:$A$210,$H8)+SUMIFS($P$89:$P$210,$A$89:$A$210,$H8)))*(SUMIFS($O$89:$O$210,$A$89:$A$210,$H8)/(SUMIFS($O$89:$O$210,$A$89:$A$210,$H8)+SUMIFS($Q$89:$Q$210,$A$89:$A$210,$H8)))/((SUMIFS($O$89:$O$210,$A$89:$A$210,$H8)/(SUMIFS($O$89:$O$210,$A$89:$A$210,$H8)+SUMIFS($P$89:$P$210,$A$89:$A$210,$H8)))+(SUMIFS($O$89:$O$210,$A$89:$A$210,$H8)/(SUMIFS($O$89:$O$210,$A$89:$A$210,$H8)+SUMIFS($Q$89:$Q$210,$A$89:$A$210,$H8)))),"")</f>
        <v/>
      </c>
      <c r="Q8" s="12">
        <f>IFERROR(INDEX($F$215:$F$218,MATCH($H8,$A$215:$A$218,0)),"")</f>
        <v>0</v>
      </c>
      <c r="R8" s="13" t="str">
        <f>IFERROR(INDEX($J$215:$J$218,MATCH($H8,$A$215:$A$218,0)),"")</f>
        <v/>
      </c>
      <c r="S8" s="14">
        <f>IFERROR(INDEX($R$215:$R$218,MATCH($H8,$A$215:$A$218,0)),"")</f>
        <v>0</v>
      </c>
    </row>
    <row r="9" ht="18.75" customHeight="1" spans="1:19">
      <c r="A9" s="7" t="s">
        <v>160</v>
      </c>
      <c r="B9" s="8"/>
      <c r="H9" s="7" t="s">
        <v>43</v>
      </c>
      <c r="I9" s="12">
        <f>SUMIFS($L$89:$L$210,$A$89:$A$210,$H9)</f>
        <v>0</v>
      </c>
      <c r="J9" s="12">
        <f>COUNTIFS($A$89:$A$210,$H9,$G$89:$G$210,"Partial")</f>
        <v>0</v>
      </c>
      <c r="K9" s="12">
        <f>SUMIFS($M$89:$M$210,$A$89:$A$210,$H9)</f>
        <v>0</v>
      </c>
      <c r="L9" s="12">
        <f>SUMIFS($N$89:$N$210,$A$89:$A$210,$H9)</f>
        <v>0</v>
      </c>
      <c r="M9" s="13" t="str">
        <f>IFERROR(I9/(I9+K9),"")</f>
        <v/>
      </c>
      <c r="N9" s="13" t="str">
        <f>IFERROR(I9/(I9+L9),"")</f>
        <v/>
      </c>
      <c r="O9" s="13" t="str">
        <f>IFERROR(2*M9*N9/(M9+N9),"")</f>
        <v/>
      </c>
      <c r="P9" s="13" t="str">
        <f>IFERROR(2*(SUMIFS($O$89:$O$210,$A$89:$A$210,$H9)/(SUMIFS($O$89:$O$210,$A$89:$A$210,$H9)+SUMIFS($P$89:$P$210,$A$89:$A$210,$H9)))*(SUMIFS($O$89:$O$210,$A$89:$A$210,$H9)/(SUMIFS($O$89:$O$210,$A$89:$A$210,$H9)+SUMIFS($Q$89:$Q$210,$A$89:$A$210,$H9)))/((SUMIFS($O$89:$O$210,$A$89:$A$210,$H9)/(SUMIFS($O$89:$O$210,$A$89:$A$210,$H9)+SUMIFS($P$89:$P$210,$A$89:$A$210,$H9)))+(SUMIFS($O$89:$O$210,$A$89:$A$210,$H9)/(SUMIFS($O$89:$O$210,$A$89:$A$210,$H9)+SUMIFS($Q$89:$Q$210,$A$89:$A$210,$H9)))),"")</f>
        <v/>
      </c>
      <c r="Q9" s="12">
        <f>IFERROR(INDEX($F$215:$F$218,MATCH($H9,$A$215:$A$218,0)),"")</f>
        <v>0</v>
      </c>
      <c r="R9" s="13" t="str">
        <f>IFERROR(INDEX($J$215:$J$218,MATCH($H9,$A$215:$A$218,0)),"")</f>
        <v/>
      </c>
      <c r="S9" s="14">
        <f>IFERROR(INDEX($R$215:$R$218,MATCH($H9,$A$215:$A$218,0)),"")</f>
        <v>0</v>
      </c>
    </row>
    <row r="10" ht="18.75" customHeight="1" spans="1:2">
      <c r="A10" s="7" t="s">
        <v>161</v>
      </c>
      <c r="B10" s="8"/>
    </row>
    <row r="11" ht="18.75" customHeight="1" spans="1:2">
      <c r="A11" s="7" t="s">
        <v>162</v>
      </c>
      <c r="B11" s="8"/>
    </row>
    <row r="12" ht="18.75" customHeight="1" spans="1:2">
      <c r="A12" s="7" t="s">
        <v>163</v>
      </c>
      <c r="B12" s="8"/>
    </row>
    <row r="13" ht="18.75" customHeight="1"/>
    <row r="14" ht="18.75" customHeight="1" spans="1:10">
      <c r="A14" s="3" t="s">
        <v>165</v>
      </c>
      <c r="B14" s="4"/>
      <c r="C14" s="4"/>
      <c r="D14" s="4"/>
      <c r="E14" s="4"/>
      <c r="F14" s="4"/>
      <c r="G14" s="4"/>
      <c r="H14" s="4"/>
      <c r="I14" s="4"/>
      <c r="J14" s="6"/>
    </row>
    <row r="15" s="1" customFormat="1" ht="18.75" customHeight="1" spans="1:10">
      <c r="A15" s="9" t="s">
        <v>147</v>
      </c>
      <c r="B15" s="9" t="s">
        <v>166</v>
      </c>
      <c r="C15" s="9" t="s">
        <v>167</v>
      </c>
      <c r="D15" s="9" t="s">
        <v>168</v>
      </c>
      <c r="E15" s="9" t="s">
        <v>169</v>
      </c>
      <c r="F15" s="9" t="s">
        <v>110</v>
      </c>
      <c r="G15" s="9" t="s">
        <v>170</v>
      </c>
      <c r="H15" s="9" t="s">
        <v>171</v>
      </c>
      <c r="I15" s="9" t="s">
        <v>172</v>
      </c>
      <c r="J15" s="9" t="s">
        <v>173</v>
      </c>
    </row>
    <row r="16" ht="18.75" customHeight="1" spans="1:10">
      <c r="A16" s="7" t="s">
        <v>0</v>
      </c>
      <c r="B16" s="10"/>
      <c r="C16" s="10"/>
      <c r="D16" s="10"/>
      <c r="E16" s="10"/>
      <c r="F16" s="10"/>
      <c r="G16" s="10"/>
      <c r="H16" s="10"/>
      <c r="I16" s="10"/>
      <c r="J16" s="10"/>
    </row>
    <row r="17" ht="18.75" customHeight="1" spans="1:10">
      <c r="A17" s="7" t="s">
        <v>15</v>
      </c>
      <c r="B17" s="10"/>
      <c r="C17" s="10"/>
      <c r="D17" s="10"/>
      <c r="E17" s="10"/>
      <c r="F17" s="10"/>
      <c r="G17" s="10"/>
      <c r="H17" s="10"/>
      <c r="I17" s="10"/>
      <c r="J17" s="10"/>
    </row>
    <row r="18" ht="18.75" customHeight="1" spans="1:10">
      <c r="A18" s="7" t="s">
        <v>30</v>
      </c>
      <c r="B18" s="10"/>
      <c r="C18" s="10"/>
      <c r="D18" s="10"/>
      <c r="E18" s="10"/>
      <c r="F18" s="10"/>
      <c r="G18" s="10"/>
      <c r="H18" s="10"/>
      <c r="I18" s="10"/>
      <c r="J18" s="10"/>
    </row>
    <row r="19" ht="18.75" customHeight="1" spans="1:10">
      <c r="A19" s="7" t="s">
        <v>43</v>
      </c>
      <c r="B19" s="10"/>
      <c r="C19" s="10"/>
      <c r="D19" s="10"/>
      <c r="E19" s="10"/>
      <c r="F19" s="10"/>
      <c r="G19" s="10"/>
      <c r="H19" s="10"/>
      <c r="I19" s="10"/>
      <c r="J19" s="10"/>
    </row>
    <row r="20" ht="18.75" customHeight="1"/>
    <row r="21" ht="18.75" customHeight="1"/>
    <row r="22" ht="18.75" customHeight="1"/>
    <row r="23" ht="18.75" customHeight="1" spans="1:14">
      <c r="A23" s="3" t="s">
        <v>189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6"/>
    </row>
    <row r="24" s="1" customFormat="1" ht="18.75" customHeight="1" spans="1:14">
      <c r="A24" s="9" t="s">
        <v>113</v>
      </c>
      <c r="B24" s="9" t="s">
        <v>190</v>
      </c>
      <c r="C24" s="9" t="s">
        <v>191</v>
      </c>
      <c r="D24" s="9" t="s">
        <v>115</v>
      </c>
      <c r="E24" s="9" t="s">
        <v>117</v>
      </c>
      <c r="F24" s="9" t="s">
        <v>192</v>
      </c>
      <c r="G24" s="9" t="s">
        <v>119</v>
      </c>
      <c r="H24" s="9" t="s">
        <v>193</v>
      </c>
      <c r="I24" s="9" t="s">
        <v>194</v>
      </c>
      <c r="J24" s="9" t="s">
        <v>195</v>
      </c>
      <c r="K24" s="9" t="s">
        <v>121</v>
      </c>
      <c r="L24" s="9" t="s">
        <v>196</v>
      </c>
      <c r="M24" s="9" t="s">
        <v>197</v>
      </c>
      <c r="N24" s="9" t="s">
        <v>198</v>
      </c>
    </row>
    <row r="25" s="1" customFormat="1" ht="18.75" customHeight="1" spans="1:14">
      <c r="A25" s="10"/>
      <c r="B25" s="11"/>
      <c r="C25" s="10"/>
      <c r="D25" s="11"/>
      <c r="E25" s="10"/>
      <c r="F25" s="11"/>
      <c r="G25" s="10"/>
      <c r="H25" s="11"/>
      <c r="I25" s="10"/>
      <c r="J25" s="11"/>
      <c r="K25" s="10"/>
      <c r="L25" s="11"/>
      <c r="M25" s="10"/>
      <c r="N25" s="11"/>
    </row>
    <row r="26" s="1" customFormat="1" ht="18.75" customHeight="1" spans="1:14">
      <c r="A26" s="10"/>
      <c r="B26" s="11"/>
      <c r="C26" s="10"/>
      <c r="D26" s="11"/>
      <c r="E26" s="10"/>
      <c r="F26" s="11"/>
      <c r="G26" s="10"/>
      <c r="H26" s="11"/>
      <c r="I26" s="10"/>
      <c r="J26" s="11"/>
      <c r="K26" s="10"/>
      <c r="L26" s="11"/>
      <c r="M26" s="10"/>
      <c r="N26" s="11"/>
    </row>
    <row r="27" s="1" customFormat="1" ht="18.75" customHeight="1" spans="1:14">
      <c r="A27" s="10"/>
      <c r="B27" s="11"/>
      <c r="C27" s="10"/>
      <c r="D27" s="11"/>
      <c r="E27" s="10"/>
      <c r="F27" s="11"/>
      <c r="G27" s="10"/>
      <c r="H27" s="11"/>
      <c r="I27" s="10"/>
      <c r="J27" s="11"/>
      <c r="K27" s="10"/>
      <c r="L27" s="11"/>
      <c r="M27" s="10"/>
      <c r="N27" s="11"/>
    </row>
    <row r="28" s="1" customFormat="1" ht="18.75" customHeight="1" spans="1:14">
      <c r="A28" s="10"/>
      <c r="B28" s="11"/>
      <c r="C28" s="10"/>
      <c r="D28" s="11"/>
      <c r="E28" s="10"/>
      <c r="F28" s="11"/>
      <c r="G28" s="10"/>
      <c r="H28" s="11"/>
      <c r="I28" s="10"/>
      <c r="J28" s="11"/>
      <c r="K28" s="10"/>
      <c r="L28" s="11"/>
      <c r="M28" s="10"/>
      <c r="N28" s="11"/>
    </row>
    <row r="29" s="1" customFormat="1" ht="18.75" customHeight="1" spans="1:14">
      <c r="A29" s="10"/>
      <c r="B29" s="11"/>
      <c r="C29" s="10"/>
      <c r="D29" s="11"/>
      <c r="E29" s="10"/>
      <c r="F29" s="11"/>
      <c r="G29" s="10"/>
      <c r="H29" s="11"/>
      <c r="I29" s="10"/>
      <c r="J29" s="11"/>
      <c r="K29" s="10"/>
      <c r="L29" s="11"/>
      <c r="M29" s="10"/>
      <c r="N29" s="11"/>
    </row>
    <row r="30" s="1" customFormat="1" ht="18.75" customHeight="1" spans="1:14">
      <c r="A30" s="10"/>
      <c r="B30" s="11"/>
      <c r="C30" s="10"/>
      <c r="D30" s="11"/>
      <c r="E30" s="10"/>
      <c r="F30" s="11"/>
      <c r="G30" s="10"/>
      <c r="H30" s="11"/>
      <c r="I30" s="10"/>
      <c r="J30" s="11"/>
      <c r="K30" s="10"/>
      <c r="L30" s="11"/>
      <c r="M30" s="10"/>
      <c r="N30" s="11"/>
    </row>
    <row r="31" s="1" customFormat="1" ht="18.75" customHeight="1" spans="1:14">
      <c r="A31" s="10"/>
      <c r="B31" s="11"/>
      <c r="C31" s="10"/>
      <c r="D31" s="11"/>
      <c r="E31" s="10"/>
      <c r="F31" s="11"/>
      <c r="G31" s="10"/>
      <c r="H31" s="11"/>
      <c r="I31" s="10"/>
      <c r="J31" s="11"/>
      <c r="K31" s="10"/>
      <c r="L31" s="11"/>
      <c r="M31" s="10"/>
      <c r="N31" s="11"/>
    </row>
    <row r="32" s="1" customFormat="1" ht="18.75" customHeight="1" spans="1:14">
      <c r="A32" s="10"/>
      <c r="B32" s="11"/>
      <c r="C32" s="10"/>
      <c r="D32" s="11"/>
      <c r="E32" s="10"/>
      <c r="F32" s="11"/>
      <c r="G32" s="10"/>
      <c r="H32" s="11"/>
      <c r="I32" s="10"/>
      <c r="J32" s="11"/>
      <c r="K32" s="10"/>
      <c r="L32" s="11"/>
      <c r="M32" s="10"/>
      <c r="N32" s="11"/>
    </row>
    <row r="33" s="1" customFormat="1" ht="18.75" customHeight="1" spans="1:14">
      <c r="A33" s="10"/>
      <c r="B33" s="11"/>
      <c r="C33" s="10"/>
      <c r="D33" s="11"/>
      <c r="E33" s="10"/>
      <c r="F33" s="11"/>
      <c r="G33" s="10"/>
      <c r="H33" s="11"/>
      <c r="I33" s="10"/>
      <c r="J33" s="11"/>
      <c r="K33" s="10"/>
      <c r="L33" s="11"/>
      <c r="M33" s="10"/>
      <c r="N33" s="11"/>
    </row>
    <row r="34" s="1" customFormat="1" ht="18.75" customHeight="1" spans="1:14">
      <c r="A34" s="10"/>
      <c r="B34" s="11"/>
      <c r="C34" s="10"/>
      <c r="D34" s="11"/>
      <c r="E34" s="10"/>
      <c r="F34" s="11"/>
      <c r="G34" s="10"/>
      <c r="H34" s="11"/>
      <c r="I34" s="10"/>
      <c r="J34" s="11"/>
      <c r="K34" s="10"/>
      <c r="L34" s="11"/>
      <c r="M34" s="10"/>
      <c r="N34" s="11"/>
    </row>
    <row r="35" s="1" customFormat="1" ht="18.75" customHeight="1" spans="1:14">
      <c r="A35" s="10"/>
      <c r="B35" s="11"/>
      <c r="C35" s="10"/>
      <c r="D35" s="11"/>
      <c r="E35" s="10"/>
      <c r="F35" s="11"/>
      <c r="G35" s="10"/>
      <c r="H35" s="11"/>
      <c r="I35" s="10"/>
      <c r="J35" s="11"/>
      <c r="K35" s="10"/>
      <c r="L35" s="11"/>
      <c r="M35" s="10"/>
      <c r="N35" s="11"/>
    </row>
    <row r="36" s="1" customFormat="1" ht="18.75" customHeight="1" spans="1:14">
      <c r="A36" s="10"/>
      <c r="B36" s="11"/>
      <c r="C36" s="10"/>
      <c r="D36" s="11"/>
      <c r="E36" s="10"/>
      <c r="F36" s="11"/>
      <c r="G36" s="10"/>
      <c r="H36" s="11"/>
      <c r="I36" s="10"/>
      <c r="J36" s="11"/>
      <c r="K36" s="10"/>
      <c r="L36" s="11"/>
      <c r="M36" s="10"/>
      <c r="N36" s="11"/>
    </row>
    <row r="37" s="1" customFormat="1" ht="18.75" customHeight="1" spans="1:14">
      <c r="A37" s="10"/>
      <c r="B37" s="11"/>
      <c r="C37" s="10"/>
      <c r="D37" s="11"/>
      <c r="E37" s="10"/>
      <c r="F37" s="11"/>
      <c r="G37" s="10"/>
      <c r="H37" s="11"/>
      <c r="I37" s="10"/>
      <c r="J37" s="11"/>
      <c r="K37" s="10"/>
      <c r="L37" s="11"/>
      <c r="M37" s="10"/>
      <c r="N37" s="11"/>
    </row>
    <row r="38" s="1" customFormat="1" ht="18.75" customHeight="1" spans="1:14">
      <c r="A38" s="10"/>
      <c r="B38" s="11"/>
      <c r="C38" s="10"/>
      <c r="D38" s="11"/>
      <c r="E38" s="10"/>
      <c r="F38" s="11"/>
      <c r="G38" s="10"/>
      <c r="H38" s="11"/>
      <c r="I38" s="10"/>
      <c r="J38" s="11"/>
      <c r="K38" s="10"/>
      <c r="L38" s="11"/>
      <c r="M38" s="10"/>
      <c r="N38" s="11"/>
    </row>
    <row r="39" s="1" customFormat="1" ht="18.75" customHeight="1" spans="1:14">
      <c r="A39" s="10"/>
      <c r="B39" s="11"/>
      <c r="C39" s="10"/>
      <c r="D39" s="11"/>
      <c r="E39" s="10"/>
      <c r="F39" s="11"/>
      <c r="G39" s="10"/>
      <c r="H39" s="11"/>
      <c r="I39" s="10"/>
      <c r="J39" s="11"/>
      <c r="K39" s="10"/>
      <c r="L39" s="11"/>
      <c r="M39" s="10"/>
      <c r="N39" s="11"/>
    </row>
    <row r="40" s="1" customFormat="1" ht="18.75" customHeight="1" spans="1:14">
      <c r="A40" s="10"/>
      <c r="B40" s="11"/>
      <c r="C40" s="10"/>
      <c r="D40" s="11"/>
      <c r="E40" s="10"/>
      <c r="F40" s="11"/>
      <c r="G40" s="10"/>
      <c r="H40" s="11"/>
      <c r="I40" s="10"/>
      <c r="J40" s="11"/>
      <c r="K40" s="10"/>
      <c r="L40" s="11"/>
      <c r="M40" s="10"/>
      <c r="N40" s="11"/>
    </row>
    <row r="41" s="1" customFormat="1" ht="18.75" customHeight="1" spans="1:14">
      <c r="A41" s="10"/>
      <c r="B41" s="11"/>
      <c r="C41" s="10"/>
      <c r="D41" s="11"/>
      <c r="E41" s="10"/>
      <c r="F41" s="11"/>
      <c r="G41" s="10"/>
      <c r="H41" s="11"/>
      <c r="I41" s="10"/>
      <c r="J41" s="11"/>
      <c r="K41" s="10"/>
      <c r="L41" s="11"/>
      <c r="M41" s="10"/>
      <c r="N41" s="11"/>
    </row>
    <row r="42" s="1" customFormat="1" ht="18.75" customHeight="1" spans="1:14">
      <c r="A42" s="10"/>
      <c r="B42" s="11"/>
      <c r="C42" s="10"/>
      <c r="D42" s="11"/>
      <c r="E42" s="10"/>
      <c r="F42" s="11"/>
      <c r="G42" s="10"/>
      <c r="H42" s="11"/>
      <c r="I42" s="10"/>
      <c r="J42" s="11"/>
      <c r="K42" s="10"/>
      <c r="L42" s="11"/>
      <c r="M42" s="10"/>
      <c r="N42" s="11"/>
    </row>
    <row r="43" s="1" customFormat="1" ht="18.75" customHeight="1" spans="1:14">
      <c r="A43" s="10"/>
      <c r="B43" s="11"/>
      <c r="C43" s="10"/>
      <c r="D43" s="11"/>
      <c r="E43" s="10"/>
      <c r="F43" s="11"/>
      <c r="G43" s="10"/>
      <c r="H43" s="11"/>
      <c r="I43" s="10"/>
      <c r="J43" s="11"/>
      <c r="K43" s="10"/>
      <c r="L43" s="11"/>
      <c r="M43" s="10"/>
      <c r="N43" s="11"/>
    </row>
    <row r="44" s="1" customFormat="1" ht="18.75" customHeight="1" spans="1:14">
      <c r="A44" s="10"/>
      <c r="B44" s="11"/>
      <c r="C44" s="10"/>
      <c r="D44" s="11"/>
      <c r="E44" s="10"/>
      <c r="F44" s="11"/>
      <c r="G44" s="10"/>
      <c r="H44" s="11"/>
      <c r="I44" s="10"/>
      <c r="J44" s="11"/>
      <c r="K44" s="10"/>
      <c r="L44" s="11"/>
      <c r="M44" s="10"/>
      <c r="N44" s="11"/>
    </row>
    <row r="45" s="1" customFormat="1" ht="18.75" customHeight="1" spans="1:14">
      <c r="A45" s="10"/>
      <c r="B45" s="11"/>
      <c r="C45" s="10"/>
      <c r="D45" s="11"/>
      <c r="E45" s="10"/>
      <c r="F45" s="11"/>
      <c r="G45" s="10"/>
      <c r="H45" s="11"/>
      <c r="I45" s="10"/>
      <c r="J45" s="11"/>
      <c r="K45" s="10"/>
      <c r="L45" s="11"/>
      <c r="M45" s="10"/>
      <c r="N45" s="11"/>
    </row>
    <row r="46" s="1" customFormat="1" ht="18.75" customHeight="1" spans="1:14">
      <c r="A46" s="10"/>
      <c r="B46" s="11"/>
      <c r="C46" s="10"/>
      <c r="D46" s="11"/>
      <c r="E46" s="10"/>
      <c r="F46" s="11"/>
      <c r="G46" s="10"/>
      <c r="H46" s="11"/>
      <c r="I46" s="10"/>
      <c r="J46" s="11"/>
      <c r="K46" s="10"/>
      <c r="L46" s="11"/>
      <c r="M46" s="10"/>
      <c r="N46" s="11"/>
    </row>
    <row r="47" s="1" customFormat="1" ht="18.75" customHeight="1" spans="1:14">
      <c r="A47" s="10"/>
      <c r="B47" s="11"/>
      <c r="C47" s="10"/>
      <c r="D47" s="11"/>
      <c r="E47" s="10"/>
      <c r="F47" s="11"/>
      <c r="G47" s="10"/>
      <c r="H47" s="11"/>
      <c r="I47" s="10"/>
      <c r="J47" s="11"/>
      <c r="K47" s="10"/>
      <c r="L47" s="11"/>
      <c r="M47" s="10"/>
      <c r="N47" s="11"/>
    </row>
    <row r="48" s="1" customFormat="1" ht="18.75" customHeight="1" spans="1:14">
      <c r="A48" s="10"/>
      <c r="B48" s="11"/>
      <c r="C48" s="10"/>
      <c r="D48" s="11"/>
      <c r="E48" s="10"/>
      <c r="F48" s="11"/>
      <c r="G48" s="10"/>
      <c r="H48" s="11"/>
      <c r="I48" s="10"/>
      <c r="J48" s="11"/>
      <c r="K48" s="10"/>
      <c r="L48" s="11"/>
      <c r="M48" s="10"/>
      <c r="N48" s="11"/>
    </row>
    <row r="49" s="1" customFormat="1" ht="18.75" customHeight="1" spans="1:14">
      <c r="A49" s="10"/>
      <c r="B49" s="11"/>
      <c r="C49" s="10"/>
      <c r="D49" s="11"/>
      <c r="E49" s="10"/>
      <c r="F49" s="11"/>
      <c r="G49" s="10"/>
      <c r="H49" s="11"/>
      <c r="I49" s="10"/>
      <c r="J49" s="11"/>
      <c r="K49" s="10"/>
      <c r="L49" s="11"/>
      <c r="M49" s="10"/>
      <c r="N49" s="11"/>
    </row>
    <row r="50" s="1" customFormat="1" ht="18.75" customHeight="1" spans="1:14">
      <c r="A50" s="10"/>
      <c r="B50" s="11"/>
      <c r="C50" s="10"/>
      <c r="D50" s="11"/>
      <c r="E50" s="10"/>
      <c r="F50" s="11"/>
      <c r="G50" s="10"/>
      <c r="H50" s="11"/>
      <c r="I50" s="10"/>
      <c r="J50" s="11"/>
      <c r="K50" s="10"/>
      <c r="L50" s="11"/>
      <c r="M50" s="10"/>
      <c r="N50" s="11"/>
    </row>
    <row r="51" s="1" customFormat="1" ht="18.75" customHeight="1" spans="1:14">
      <c r="A51" s="10"/>
      <c r="B51" s="11"/>
      <c r="C51" s="10"/>
      <c r="D51" s="11"/>
      <c r="E51" s="10"/>
      <c r="F51" s="11"/>
      <c r="G51" s="10"/>
      <c r="H51" s="11"/>
      <c r="I51" s="10"/>
      <c r="J51" s="11"/>
      <c r="K51" s="10"/>
      <c r="L51" s="11"/>
      <c r="M51" s="10"/>
      <c r="N51" s="11"/>
    </row>
    <row r="52" s="1" customFormat="1" ht="18.75" customHeight="1" spans="1:14">
      <c r="A52" s="10"/>
      <c r="B52" s="11"/>
      <c r="C52" s="10"/>
      <c r="D52" s="11"/>
      <c r="E52" s="10"/>
      <c r="F52" s="11"/>
      <c r="G52" s="10"/>
      <c r="H52" s="11"/>
      <c r="I52" s="10"/>
      <c r="J52" s="11"/>
      <c r="K52" s="10"/>
      <c r="L52" s="11"/>
      <c r="M52" s="10"/>
      <c r="N52" s="11"/>
    </row>
    <row r="53" s="1" customFormat="1" ht="18.75" customHeight="1" spans="1:14">
      <c r="A53" s="10"/>
      <c r="B53" s="11"/>
      <c r="C53" s="10"/>
      <c r="D53" s="11"/>
      <c r="E53" s="10"/>
      <c r="F53" s="11"/>
      <c r="G53" s="10"/>
      <c r="H53" s="11"/>
      <c r="I53" s="10"/>
      <c r="J53" s="11"/>
      <c r="K53" s="10"/>
      <c r="L53" s="11"/>
      <c r="M53" s="10"/>
      <c r="N53" s="11"/>
    </row>
    <row r="54" s="1" customFormat="1" ht="18.75" customHeight="1" spans="1:14">
      <c r="A54" s="10"/>
      <c r="B54" s="11"/>
      <c r="C54" s="10"/>
      <c r="D54" s="11"/>
      <c r="E54" s="10"/>
      <c r="F54" s="11"/>
      <c r="G54" s="10"/>
      <c r="H54" s="11"/>
      <c r="I54" s="10"/>
      <c r="J54" s="11"/>
      <c r="K54" s="10"/>
      <c r="L54" s="11"/>
      <c r="M54" s="10"/>
      <c r="N54" s="11"/>
    </row>
    <row r="55" ht="18.75" customHeight="1"/>
    <row r="56" ht="18.75" customHeight="1"/>
    <row r="57" ht="18.75" customHeight="1" spans="1:11">
      <c r="A57" s="3" t="s">
        <v>340</v>
      </c>
      <c r="B57" s="4"/>
      <c r="C57" s="4"/>
      <c r="D57" s="4"/>
      <c r="E57" s="4"/>
      <c r="F57" s="4"/>
      <c r="G57" s="4"/>
      <c r="H57" s="4"/>
      <c r="I57" s="4"/>
      <c r="J57" s="4"/>
      <c r="K57" s="6"/>
    </row>
    <row r="58" s="1" customFormat="1" ht="18.75" customHeight="1" spans="1:11">
      <c r="A58" s="9" t="s">
        <v>124</v>
      </c>
      <c r="B58" s="9" t="s">
        <v>147</v>
      </c>
      <c r="C58" s="9" t="s">
        <v>341</v>
      </c>
      <c r="D58" s="9" t="s">
        <v>342</v>
      </c>
      <c r="E58" s="9" t="s">
        <v>343</v>
      </c>
      <c r="F58" s="9" t="s">
        <v>344</v>
      </c>
      <c r="G58" s="9" t="s">
        <v>171</v>
      </c>
      <c r="H58" s="9" t="s">
        <v>172</v>
      </c>
      <c r="I58" s="9" t="s">
        <v>345</v>
      </c>
      <c r="J58" s="9" t="s">
        <v>126</v>
      </c>
      <c r="K58" s="9" t="s">
        <v>198</v>
      </c>
    </row>
    <row r="59" s="1" customFormat="1" ht="18.75" customHeight="1" spans="1:11">
      <c r="A59" s="10"/>
      <c r="B59" s="11"/>
      <c r="C59" s="10"/>
      <c r="D59" s="11"/>
      <c r="E59" s="10"/>
      <c r="F59" s="11"/>
      <c r="G59" s="10"/>
      <c r="H59" s="11"/>
      <c r="I59" s="10"/>
      <c r="J59" s="11"/>
      <c r="K59" s="10"/>
    </row>
    <row r="60" s="1" customFormat="1" ht="18.75" customHeight="1" spans="1:11">
      <c r="A60" s="10"/>
      <c r="B60" s="11"/>
      <c r="C60" s="10"/>
      <c r="D60" s="11"/>
      <c r="E60" s="10"/>
      <c r="F60" s="11"/>
      <c r="G60" s="10"/>
      <c r="H60" s="11"/>
      <c r="I60" s="10"/>
      <c r="J60" s="11"/>
      <c r="K60" s="10"/>
    </row>
    <row r="61" s="1" customFormat="1" ht="18.75" customHeight="1" spans="1:11">
      <c r="A61" s="10"/>
      <c r="B61" s="11"/>
      <c r="C61" s="10"/>
      <c r="D61" s="11"/>
      <c r="E61" s="10"/>
      <c r="F61" s="11"/>
      <c r="G61" s="10"/>
      <c r="H61" s="11"/>
      <c r="I61" s="10"/>
      <c r="J61" s="11"/>
      <c r="K61" s="10"/>
    </row>
    <row r="62" s="1" customFormat="1" ht="18.75" customHeight="1" spans="1:11">
      <c r="A62" s="10"/>
      <c r="B62" s="11"/>
      <c r="C62" s="10"/>
      <c r="D62" s="11"/>
      <c r="E62" s="10"/>
      <c r="F62" s="11"/>
      <c r="G62" s="10"/>
      <c r="H62" s="11"/>
      <c r="I62" s="10"/>
      <c r="J62" s="11"/>
      <c r="K62" s="10"/>
    </row>
    <row r="63" s="1" customFormat="1" ht="18.75" customHeight="1" spans="1:11">
      <c r="A63" s="10"/>
      <c r="B63" s="11"/>
      <c r="C63" s="10"/>
      <c r="D63" s="11"/>
      <c r="E63" s="10"/>
      <c r="F63" s="11"/>
      <c r="G63" s="10"/>
      <c r="H63" s="11"/>
      <c r="I63" s="10"/>
      <c r="J63" s="11"/>
      <c r="K63" s="10"/>
    </row>
    <row r="64" s="1" customFormat="1" ht="18.75" customHeight="1" spans="1:11">
      <c r="A64" s="10"/>
      <c r="B64" s="11"/>
      <c r="C64" s="10"/>
      <c r="D64" s="11"/>
      <c r="E64" s="10"/>
      <c r="F64" s="11"/>
      <c r="G64" s="10"/>
      <c r="H64" s="11"/>
      <c r="I64" s="10"/>
      <c r="J64" s="11"/>
      <c r="K64" s="10"/>
    </row>
    <row r="65" s="1" customFormat="1" ht="18.75" customHeight="1" spans="1:11">
      <c r="A65" s="10"/>
      <c r="B65" s="11"/>
      <c r="C65" s="10"/>
      <c r="D65" s="11"/>
      <c r="E65" s="10"/>
      <c r="F65" s="11"/>
      <c r="G65" s="10"/>
      <c r="H65" s="11"/>
      <c r="I65" s="10"/>
      <c r="J65" s="11"/>
      <c r="K65" s="10"/>
    </row>
    <row r="66" s="1" customFormat="1" ht="18.75" customHeight="1" spans="1:11">
      <c r="A66" s="10"/>
      <c r="B66" s="11"/>
      <c r="C66" s="10"/>
      <c r="D66" s="11"/>
      <c r="E66" s="10"/>
      <c r="F66" s="11"/>
      <c r="G66" s="10"/>
      <c r="H66" s="11"/>
      <c r="I66" s="10"/>
      <c r="J66" s="11"/>
      <c r="K66" s="10"/>
    </row>
    <row r="67" s="1" customFormat="1" ht="18.75" customHeight="1" spans="1:11">
      <c r="A67" s="10"/>
      <c r="B67" s="11"/>
      <c r="C67" s="10"/>
      <c r="D67" s="11"/>
      <c r="E67" s="10"/>
      <c r="F67" s="11"/>
      <c r="G67" s="10"/>
      <c r="H67" s="11"/>
      <c r="I67" s="10"/>
      <c r="J67" s="11"/>
      <c r="K67" s="10"/>
    </row>
    <row r="68" s="1" customFormat="1" ht="18.75" customHeight="1" spans="1:11">
      <c r="A68" s="10"/>
      <c r="B68" s="11"/>
      <c r="C68" s="10"/>
      <c r="D68" s="11"/>
      <c r="E68" s="10"/>
      <c r="F68" s="11"/>
      <c r="G68" s="10"/>
      <c r="H68" s="11"/>
      <c r="I68" s="10"/>
      <c r="J68" s="11"/>
      <c r="K68" s="10"/>
    </row>
    <row r="69" s="1" customFormat="1" ht="18.75" customHeight="1" spans="1:11">
      <c r="A69" s="10"/>
      <c r="B69" s="11"/>
      <c r="C69" s="10"/>
      <c r="D69" s="11"/>
      <c r="E69" s="10"/>
      <c r="F69" s="11"/>
      <c r="G69" s="10"/>
      <c r="H69" s="11"/>
      <c r="I69" s="10"/>
      <c r="J69" s="11"/>
      <c r="K69" s="10"/>
    </row>
    <row r="70" s="1" customFormat="1" ht="18.75" customHeight="1" spans="1:11">
      <c r="A70" s="10"/>
      <c r="B70" s="11"/>
      <c r="C70" s="10"/>
      <c r="D70" s="11"/>
      <c r="E70" s="10"/>
      <c r="F70" s="11"/>
      <c r="G70" s="10"/>
      <c r="H70" s="11"/>
      <c r="I70" s="10"/>
      <c r="J70" s="11"/>
      <c r="K70" s="10"/>
    </row>
    <row r="71" s="1" customFormat="1" ht="18.75" customHeight="1" spans="1:11">
      <c r="A71" s="10"/>
      <c r="B71" s="11"/>
      <c r="C71" s="10"/>
      <c r="D71" s="11"/>
      <c r="E71" s="10"/>
      <c r="F71" s="11"/>
      <c r="G71" s="10"/>
      <c r="H71" s="11"/>
      <c r="I71" s="10"/>
      <c r="J71" s="11"/>
      <c r="K71" s="10"/>
    </row>
    <row r="72" s="1" customFormat="1" ht="18.75" customHeight="1" spans="1:11">
      <c r="A72" s="10"/>
      <c r="B72" s="11"/>
      <c r="C72" s="10"/>
      <c r="D72" s="11"/>
      <c r="E72" s="10"/>
      <c r="F72" s="11"/>
      <c r="G72" s="10"/>
      <c r="H72" s="11"/>
      <c r="I72" s="10"/>
      <c r="J72" s="11"/>
      <c r="K72" s="10"/>
    </row>
    <row r="73" s="1" customFormat="1" ht="18.75" customHeight="1" spans="1:11">
      <c r="A73" s="10"/>
      <c r="B73" s="11"/>
      <c r="C73" s="10"/>
      <c r="D73" s="11"/>
      <c r="E73" s="10"/>
      <c r="F73" s="11"/>
      <c r="G73" s="10"/>
      <c r="H73" s="11"/>
      <c r="I73" s="10"/>
      <c r="J73" s="11"/>
      <c r="K73" s="10"/>
    </row>
    <row r="74" s="1" customFormat="1" ht="18.75" customHeight="1" spans="1:11">
      <c r="A74" s="10"/>
      <c r="B74" s="11"/>
      <c r="C74" s="10"/>
      <c r="D74" s="11"/>
      <c r="E74" s="10"/>
      <c r="F74" s="11"/>
      <c r="G74" s="10"/>
      <c r="H74" s="11"/>
      <c r="I74" s="10"/>
      <c r="J74" s="11"/>
      <c r="K74" s="10"/>
    </row>
    <row r="75" s="1" customFormat="1" ht="18.75" customHeight="1" spans="1:11">
      <c r="A75" s="10"/>
      <c r="B75" s="11"/>
      <c r="C75" s="10"/>
      <c r="D75" s="11"/>
      <c r="E75" s="10"/>
      <c r="F75" s="11"/>
      <c r="G75" s="10"/>
      <c r="H75" s="11"/>
      <c r="I75" s="10"/>
      <c r="J75" s="11"/>
      <c r="K75" s="10"/>
    </row>
    <row r="76" s="1" customFormat="1" ht="18.75" customHeight="1" spans="1:11">
      <c r="A76" s="10"/>
      <c r="B76" s="11"/>
      <c r="C76" s="10"/>
      <c r="D76" s="11"/>
      <c r="E76" s="10"/>
      <c r="F76" s="11"/>
      <c r="G76" s="10"/>
      <c r="H76" s="11"/>
      <c r="I76" s="10"/>
      <c r="J76" s="11"/>
      <c r="K76" s="10"/>
    </row>
    <row r="77" s="1" customFormat="1" ht="18.75" customHeight="1" spans="1:11">
      <c r="A77" s="10"/>
      <c r="B77" s="11"/>
      <c r="C77" s="10"/>
      <c r="D77" s="11"/>
      <c r="E77" s="10"/>
      <c r="F77" s="11"/>
      <c r="G77" s="10"/>
      <c r="H77" s="11"/>
      <c r="I77" s="10"/>
      <c r="J77" s="11"/>
      <c r="K77" s="10"/>
    </row>
    <row r="78" s="1" customFormat="1" ht="18.75" customHeight="1" spans="1:11">
      <c r="A78" s="10"/>
      <c r="B78" s="11"/>
      <c r="C78" s="10"/>
      <c r="D78" s="11"/>
      <c r="E78" s="10"/>
      <c r="F78" s="11"/>
      <c r="G78" s="10"/>
      <c r="H78" s="11"/>
      <c r="I78" s="10"/>
      <c r="J78" s="11"/>
      <c r="K78" s="10"/>
    </row>
    <row r="79" s="1" customFormat="1" ht="18.75" customHeight="1" spans="1:11">
      <c r="A79" s="10"/>
      <c r="B79" s="11"/>
      <c r="C79" s="10"/>
      <c r="D79" s="11"/>
      <c r="E79" s="10"/>
      <c r="F79" s="11"/>
      <c r="G79" s="10"/>
      <c r="H79" s="11"/>
      <c r="I79" s="10"/>
      <c r="J79" s="11"/>
      <c r="K79" s="10"/>
    </row>
    <row r="80" s="1" customFormat="1" ht="18.75" customHeight="1" spans="1:11">
      <c r="A80" s="10"/>
      <c r="B80" s="11"/>
      <c r="C80" s="10"/>
      <c r="D80" s="11"/>
      <c r="E80" s="10"/>
      <c r="F80" s="11"/>
      <c r="G80" s="10"/>
      <c r="H80" s="11"/>
      <c r="I80" s="10"/>
      <c r="J80" s="11"/>
      <c r="K80" s="10"/>
    </row>
    <row r="81" s="1" customFormat="1" ht="18.75" customHeight="1" spans="1:11">
      <c r="A81" s="10"/>
      <c r="B81" s="11"/>
      <c r="C81" s="10"/>
      <c r="D81" s="11"/>
      <c r="E81" s="10"/>
      <c r="F81" s="11"/>
      <c r="G81" s="10"/>
      <c r="H81" s="11"/>
      <c r="I81" s="10"/>
      <c r="J81" s="11"/>
      <c r="K81" s="10"/>
    </row>
    <row r="82" s="1" customFormat="1" ht="18.75" customHeight="1" spans="1:11">
      <c r="A82" s="10"/>
      <c r="B82" s="11"/>
      <c r="C82" s="10"/>
      <c r="D82" s="11"/>
      <c r="E82" s="10"/>
      <c r="F82" s="11"/>
      <c r="G82" s="10"/>
      <c r="H82" s="11"/>
      <c r="I82" s="10"/>
      <c r="J82" s="11"/>
      <c r="K82" s="10"/>
    </row>
    <row r="83" s="1" customFormat="1" ht="18.75" customHeight="1" spans="1:11">
      <c r="A83" s="10"/>
      <c r="B83" s="11"/>
      <c r="C83" s="10"/>
      <c r="D83" s="11"/>
      <c r="E83" s="10"/>
      <c r="F83" s="11"/>
      <c r="G83" s="10"/>
      <c r="H83" s="11"/>
      <c r="I83" s="10"/>
      <c r="J83" s="11"/>
      <c r="K83" s="10"/>
    </row>
    <row r="84" s="1" customFormat="1" ht="18.75" customHeight="1" spans="1:11">
      <c r="A84" s="10"/>
      <c r="B84" s="11"/>
      <c r="C84" s="10"/>
      <c r="D84" s="11"/>
      <c r="E84" s="10"/>
      <c r="F84" s="11"/>
      <c r="G84" s="10"/>
      <c r="H84" s="11"/>
      <c r="I84" s="10"/>
      <c r="J84" s="11"/>
      <c r="K84" s="10"/>
    </row>
    <row r="85" s="1" customFormat="1" ht="18.75" customHeight="1" spans="1:11">
      <c r="A85" s="10"/>
      <c r="B85" s="11"/>
      <c r="C85" s="10"/>
      <c r="D85" s="11"/>
      <c r="E85" s="10"/>
      <c r="F85" s="11"/>
      <c r="G85" s="10"/>
      <c r="H85" s="11"/>
      <c r="I85" s="10"/>
      <c r="J85" s="11"/>
      <c r="K85" s="10"/>
    </row>
    <row r="86" s="1" customFormat="1" ht="18.75" customHeight="1" spans="1:11">
      <c r="A86" s="10"/>
      <c r="B86" s="11"/>
      <c r="C86" s="10"/>
      <c r="D86" s="11"/>
      <c r="E86" s="10"/>
      <c r="F86" s="11"/>
      <c r="G86" s="10"/>
      <c r="H86" s="11"/>
      <c r="I86" s="10"/>
      <c r="J86" s="11"/>
      <c r="K86" s="10"/>
    </row>
    <row r="87" s="1" customFormat="1" ht="18.75" customHeight="1" spans="1:11">
      <c r="A87" s="10"/>
      <c r="B87" s="11"/>
      <c r="C87" s="10"/>
      <c r="D87" s="11"/>
      <c r="E87" s="10"/>
      <c r="F87" s="11"/>
      <c r="G87" s="10"/>
      <c r="H87" s="11"/>
      <c r="I87" s="10"/>
      <c r="J87" s="11"/>
      <c r="K87" s="10"/>
    </row>
    <row r="88" s="1" customFormat="1" ht="18.75" customHeight="1" spans="1:11">
      <c r="A88" s="10"/>
      <c r="B88" s="11"/>
      <c r="C88" s="10"/>
      <c r="D88" s="11"/>
      <c r="E88" s="10"/>
      <c r="F88" s="11"/>
      <c r="G88" s="10"/>
      <c r="H88" s="11"/>
      <c r="I88" s="10"/>
      <c r="J88" s="11"/>
      <c r="K88" s="10"/>
    </row>
    <row r="89" ht="18.75" customHeight="1" spans="1:17">
      <c r="A89" s="3" t="s">
        <v>437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6"/>
    </row>
    <row r="90" s="1" customFormat="1" ht="18.75" customHeight="1" spans="1:17">
      <c r="A90" s="9" t="s">
        <v>147</v>
      </c>
      <c r="B90" s="9" t="s">
        <v>113</v>
      </c>
      <c r="C90" s="9" t="s">
        <v>124</v>
      </c>
      <c r="D90" s="9" t="s">
        <v>438</v>
      </c>
      <c r="E90" s="9" t="s">
        <v>439</v>
      </c>
      <c r="F90" s="9" t="s">
        <v>440</v>
      </c>
      <c r="G90" s="9" t="s">
        <v>129</v>
      </c>
      <c r="H90" s="9" t="s">
        <v>119</v>
      </c>
      <c r="I90" s="9" t="s">
        <v>441</v>
      </c>
      <c r="J90" s="9" t="s">
        <v>442</v>
      </c>
      <c r="K90" s="9" t="s">
        <v>443</v>
      </c>
      <c r="L90" s="9" t="s">
        <v>444</v>
      </c>
      <c r="M90" s="9" t="s">
        <v>445</v>
      </c>
      <c r="N90" s="9" t="s">
        <v>446</v>
      </c>
      <c r="O90" s="9" t="s">
        <v>447</v>
      </c>
      <c r="P90" s="9" t="s">
        <v>448</v>
      </c>
      <c r="Q90" s="9" t="s">
        <v>449</v>
      </c>
    </row>
    <row r="91" ht="18.75" customHeight="1" spans="1:17">
      <c r="A91" s="10"/>
      <c r="B91" s="10"/>
      <c r="C91" s="10"/>
      <c r="D91" s="10"/>
      <c r="E91" s="10"/>
      <c r="F91" s="10"/>
      <c r="G91" s="10"/>
      <c r="H91" s="15" t="str">
        <f t="shared" ref="H91:H154" si="0">IFERROR(VLOOKUP($B91,$A$25:$N$54,7,FALSE),"")</f>
        <v/>
      </c>
      <c r="I91" s="16" t="str">
        <f t="shared" ref="I91:I154" si="1">IF($H91="Minor",1,IF($H91="Moderate",2,IF($H91="Major",3,IF($H91="Critical",4,""))))</f>
        <v/>
      </c>
      <c r="J91" s="17"/>
      <c r="K91" s="17"/>
      <c r="L91" s="16">
        <f t="shared" ref="L91:L154" si="2">IF(OR($G91="Exact TP",$G91="Equivalent TP"),1,0)</f>
        <v>0</v>
      </c>
      <c r="M91" s="16">
        <f t="shared" ref="M91:M154" si="3">IF(OR($G91="FP Extra",$G91="Harmful FP"),1,0)</f>
        <v>0</v>
      </c>
      <c r="N91" s="16">
        <f t="shared" ref="N91:N154" si="4">IF(OR($G91="FN",$G91="Partial"),1,0)</f>
        <v>0</v>
      </c>
      <c r="O91" s="16">
        <f t="shared" ref="O91:O154" si="5">IF($L91=1,$I91,0)</f>
        <v>0</v>
      </c>
      <c r="P91" s="16">
        <f t="shared" ref="P91:P154" si="6">IF($M91=1,$I91,0)</f>
        <v>0</v>
      </c>
      <c r="Q91" s="16">
        <f t="shared" ref="Q91:Q154" si="7">IF($N91=1,$I91,0)</f>
        <v>0</v>
      </c>
    </row>
    <row r="92" ht="18.75" customHeight="1" spans="1:17">
      <c r="A92" s="10"/>
      <c r="B92" s="10"/>
      <c r="C92" s="10"/>
      <c r="D92" s="10"/>
      <c r="E92" s="10"/>
      <c r="F92" s="10"/>
      <c r="G92" s="10"/>
      <c r="H92" s="15" t="str">
        <f t="shared" si="0"/>
        <v/>
      </c>
      <c r="I92" s="16" t="str">
        <f t="shared" si="1"/>
        <v/>
      </c>
      <c r="J92" s="17"/>
      <c r="K92" s="17"/>
      <c r="L92" s="16">
        <f t="shared" si="2"/>
        <v>0</v>
      </c>
      <c r="M92" s="16">
        <f t="shared" si="3"/>
        <v>0</v>
      </c>
      <c r="N92" s="16">
        <f t="shared" si="4"/>
        <v>0</v>
      </c>
      <c r="O92" s="16">
        <f t="shared" si="5"/>
        <v>0</v>
      </c>
      <c r="P92" s="16">
        <f t="shared" si="6"/>
        <v>0</v>
      </c>
      <c r="Q92" s="16">
        <f t="shared" si="7"/>
        <v>0</v>
      </c>
    </row>
    <row r="93" ht="18.75" customHeight="1" spans="1:17">
      <c r="A93" s="10"/>
      <c r="B93" s="10"/>
      <c r="C93" s="10"/>
      <c r="D93" s="10"/>
      <c r="E93" s="10"/>
      <c r="F93" s="10"/>
      <c r="G93" s="10"/>
      <c r="H93" s="15" t="str">
        <f t="shared" si="0"/>
        <v/>
      </c>
      <c r="I93" s="16" t="str">
        <f t="shared" si="1"/>
        <v/>
      </c>
      <c r="J93" s="17"/>
      <c r="K93" s="17"/>
      <c r="L93" s="16">
        <f t="shared" si="2"/>
        <v>0</v>
      </c>
      <c r="M93" s="16">
        <f t="shared" si="3"/>
        <v>0</v>
      </c>
      <c r="N93" s="16">
        <f t="shared" si="4"/>
        <v>0</v>
      </c>
      <c r="O93" s="16">
        <f t="shared" si="5"/>
        <v>0</v>
      </c>
      <c r="P93" s="16">
        <f t="shared" si="6"/>
        <v>0</v>
      </c>
      <c r="Q93" s="16">
        <f t="shared" si="7"/>
        <v>0</v>
      </c>
    </row>
    <row r="94" ht="18.75" customHeight="1" spans="1:17">
      <c r="A94" s="10"/>
      <c r="B94" s="10"/>
      <c r="C94" s="10"/>
      <c r="D94" s="10"/>
      <c r="E94" s="10"/>
      <c r="F94" s="10"/>
      <c r="G94" s="10"/>
      <c r="H94" s="15" t="str">
        <f t="shared" si="0"/>
        <v/>
      </c>
      <c r="I94" s="16" t="str">
        <f t="shared" si="1"/>
        <v/>
      </c>
      <c r="J94" s="17"/>
      <c r="K94" s="17"/>
      <c r="L94" s="16">
        <f t="shared" si="2"/>
        <v>0</v>
      </c>
      <c r="M94" s="16">
        <f t="shared" si="3"/>
        <v>0</v>
      </c>
      <c r="N94" s="16">
        <f t="shared" si="4"/>
        <v>0</v>
      </c>
      <c r="O94" s="16">
        <f t="shared" si="5"/>
        <v>0</v>
      </c>
      <c r="P94" s="16">
        <f t="shared" si="6"/>
        <v>0</v>
      </c>
      <c r="Q94" s="16">
        <f t="shared" si="7"/>
        <v>0</v>
      </c>
    </row>
    <row r="95" ht="18.75" customHeight="1" spans="1:17">
      <c r="A95" s="10"/>
      <c r="B95" s="10"/>
      <c r="C95" s="10"/>
      <c r="D95" s="10"/>
      <c r="E95" s="10"/>
      <c r="F95" s="10"/>
      <c r="G95" s="10"/>
      <c r="H95" s="15" t="str">
        <f t="shared" si="0"/>
        <v/>
      </c>
      <c r="I95" s="16" t="str">
        <f t="shared" si="1"/>
        <v/>
      </c>
      <c r="J95" s="17"/>
      <c r="K95" s="17"/>
      <c r="L95" s="16">
        <f t="shared" si="2"/>
        <v>0</v>
      </c>
      <c r="M95" s="16">
        <f t="shared" si="3"/>
        <v>0</v>
      </c>
      <c r="N95" s="16">
        <f t="shared" si="4"/>
        <v>0</v>
      </c>
      <c r="O95" s="16">
        <f t="shared" si="5"/>
        <v>0</v>
      </c>
      <c r="P95" s="16">
        <f t="shared" si="6"/>
        <v>0</v>
      </c>
      <c r="Q95" s="16">
        <f t="shared" si="7"/>
        <v>0</v>
      </c>
    </row>
    <row r="96" ht="18.75" customHeight="1" spans="1:17">
      <c r="A96" s="10"/>
      <c r="B96" s="10"/>
      <c r="C96" s="10"/>
      <c r="D96" s="10"/>
      <c r="E96" s="10"/>
      <c r="F96" s="10"/>
      <c r="G96" s="10"/>
      <c r="H96" s="15" t="str">
        <f t="shared" si="0"/>
        <v/>
      </c>
      <c r="I96" s="16" t="str">
        <f t="shared" si="1"/>
        <v/>
      </c>
      <c r="J96" s="17"/>
      <c r="K96" s="17"/>
      <c r="L96" s="16">
        <f t="shared" si="2"/>
        <v>0</v>
      </c>
      <c r="M96" s="16">
        <f t="shared" si="3"/>
        <v>0</v>
      </c>
      <c r="N96" s="16">
        <f t="shared" si="4"/>
        <v>0</v>
      </c>
      <c r="O96" s="16">
        <f t="shared" si="5"/>
        <v>0</v>
      </c>
      <c r="P96" s="16">
        <f t="shared" si="6"/>
        <v>0</v>
      </c>
      <c r="Q96" s="16">
        <f t="shared" si="7"/>
        <v>0</v>
      </c>
    </row>
    <row r="97" ht="18.75" customHeight="1" spans="1:17">
      <c r="A97" s="10"/>
      <c r="B97" s="10"/>
      <c r="C97" s="10"/>
      <c r="D97" s="10"/>
      <c r="E97" s="10"/>
      <c r="F97" s="10"/>
      <c r="G97" s="10"/>
      <c r="H97" s="15" t="str">
        <f t="shared" si="0"/>
        <v/>
      </c>
      <c r="I97" s="16" t="str">
        <f t="shared" si="1"/>
        <v/>
      </c>
      <c r="J97" s="17"/>
      <c r="K97" s="17"/>
      <c r="L97" s="16">
        <f t="shared" si="2"/>
        <v>0</v>
      </c>
      <c r="M97" s="16">
        <f t="shared" si="3"/>
        <v>0</v>
      </c>
      <c r="N97" s="16">
        <f t="shared" si="4"/>
        <v>0</v>
      </c>
      <c r="O97" s="16">
        <f t="shared" si="5"/>
        <v>0</v>
      </c>
      <c r="P97" s="16">
        <f t="shared" si="6"/>
        <v>0</v>
      </c>
      <c r="Q97" s="16">
        <f t="shared" si="7"/>
        <v>0</v>
      </c>
    </row>
    <row r="98" ht="18.75" customHeight="1" spans="1:17">
      <c r="A98" s="10"/>
      <c r="B98" s="10"/>
      <c r="C98" s="10"/>
      <c r="D98" s="10"/>
      <c r="E98" s="10"/>
      <c r="F98" s="10"/>
      <c r="G98" s="10"/>
      <c r="H98" s="15" t="str">
        <f t="shared" si="0"/>
        <v/>
      </c>
      <c r="I98" s="16" t="str">
        <f t="shared" si="1"/>
        <v/>
      </c>
      <c r="J98" s="17"/>
      <c r="K98" s="17"/>
      <c r="L98" s="16">
        <f t="shared" si="2"/>
        <v>0</v>
      </c>
      <c r="M98" s="16">
        <f t="shared" si="3"/>
        <v>0</v>
      </c>
      <c r="N98" s="16">
        <f t="shared" si="4"/>
        <v>0</v>
      </c>
      <c r="O98" s="16">
        <f t="shared" si="5"/>
        <v>0</v>
      </c>
      <c r="P98" s="16">
        <f t="shared" si="6"/>
        <v>0</v>
      </c>
      <c r="Q98" s="16">
        <f t="shared" si="7"/>
        <v>0</v>
      </c>
    </row>
    <row r="99" ht="18.75" customHeight="1" spans="1:17">
      <c r="A99" s="10"/>
      <c r="B99" s="10"/>
      <c r="C99" s="10"/>
      <c r="D99" s="10"/>
      <c r="E99" s="10"/>
      <c r="F99" s="10"/>
      <c r="G99" s="10"/>
      <c r="H99" s="15" t="str">
        <f t="shared" si="0"/>
        <v/>
      </c>
      <c r="I99" s="16" t="str">
        <f t="shared" si="1"/>
        <v/>
      </c>
      <c r="J99" s="17"/>
      <c r="K99" s="17"/>
      <c r="L99" s="16">
        <f t="shared" si="2"/>
        <v>0</v>
      </c>
      <c r="M99" s="16">
        <f t="shared" si="3"/>
        <v>0</v>
      </c>
      <c r="N99" s="16">
        <f t="shared" si="4"/>
        <v>0</v>
      </c>
      <c r="O99" s="16">
        <f t="shared" si="5"/>
        <v>0</v>
      </c>
      <c r="P99" s="16">
        <f t="shared" si="6"/>
        <v>0</v>
      </c>
      <c r="Q99" s="16">
        <f t="shared" si="7"/>
        <v>0</v>
      </c>
    </row>
    <row r="100" ht="18.75" customHeight="1" spans="1:17">
      <c r="A100" s="10"/>
      <c r="B100" s="10"/>
      <c r="C100" s="10"/>
      <c r="D100" s="10"/>
      <c r="E100" s="10"/>
      <c r="F100" s="10"/>
      <c r="G100" s="10"/>
      <c r="H100" s="15" t="str">
        <f t="shared" si="0"/>
        <v/>
      </c>
      <c r="I100" s="16" t="str">
        <f t="shared" si="1"/>
        <v/>
      </c>
      <c r="J100" s="17"/>
      <c r="K100" s="17"/>
      <c r="L100" s="16">
        <f t="shared" si="2"/>
        <v>0</v>
      </c>
      <c r="M100" s="16">
        <f t="shared" si="3"/>
        <v>0</v>
      </c>
      <c r="N100" s="16">
        <f t="shared" si="4"/>
        <v>0</v>
      </c>
      <c r="O100" s="16">
        <f t="shared" si="5"/>
        <v>0</v>
      </c>
      <c r="P100" s="16">
        <f t="shared" si="6"/>
        <v>0</v>
      </c>
      <c r="Q100" s="16">
        <f t="shared" si="7"/>
        <v>0</v>
      </c>
    </row>
    <row r="101" ht="18.75" customHeight="1" spans="1:17">
      <c r="A101" s="10"/>
      <c r="B101" s="10"/>
      <c r="C101" s="10"/>
      <c r="D101" s="10"/>
      <c r="E101" s="10"/>
      <c r="F101" s="10"/>
      <c r="G101" s="10"/>
      <c r="H101" s="15" t="str">
        <f t="shared" si="0"/>
        <v/>
      </c>
      <c r="I101" s="16" t="str">
        <f t="shared" si="1"/>
        <v/>
      </c>
      <c r="J101" s="17"/>
      <c r="K101" s="17"/>
      <c r="L101" s="16">
        <f t="shared" si="2"/>
        <v>0</v>
      </c>
      <c r="M101" s="16">
        <f t="shared" si="3"/>
        <v>0</v>
      </c>
      <c r="N101" s="16">
        <f t="shared" si="4"/>
        <v>0</v>
      </c>
      <c r="O101" s="16">
        <f t="shared" si="5"/>
        <v>0</v>
      </c>
      <c r="P101" s="16">
        <f t="shared" si="6"/>
        <v>0</v>
      </c>
      <c r="Q101" s="16">
        <f t="shared" si="7"/>
        <v>0</v>
      </c>
    </row>
    <row r="102" ht="18.75" customHeight="1" spans="1:17">
      <c r="A102" s="10"/>
      <c r="B102" s="10"/>
      <c r="C102" s="10"/>
      <c r="D102" s="10"/>
      <c r="E102" s="10"/>
      <c r="F102" s="10"/>
      <c r="G102" s="10"/>
      <c r="H102" s="15" t="str">
        <f t="shared" si="0"/>
        <v/>
      </c>
      <c r="I102" s="16" t="str">
        <f t="shared" si="1"/>
        <v/>
      </c>
      <c r="J102" s="17"/>
      <c r="K102" s="17"/>
      <c r="L102" s="16">
        <f t="shared" si="2"/>
        <v>0</v>
      </c>
      <c r="M102" s="16">
        <f t="shared" si="3"/>
        <v>0</v>
      </c>
      <c r="N102" s="16">
        <f t="shared" si="4"/>
        <v>0</v>
      </c>
      <c r="O102" s="16">
        <f t="shared" si="5"/>
        <v>0</v>
      </c>
      <c r="P102" s="16">
        <f t="shared" si="6"/>
        <v>0</v>
      </c>
      <c r="Q102" s="16">
        <f t="shared" si="7"/>
        <v>0</v>
      </c>
    </row>
    <row r="103" ht="18.75" customHeight="1" spans="1:17">
      <c r="A103" s="10"/>
      <c r="B103" s="10"/>
      <c r="C103" s="10"/>
      <c r="D103" s="10"/>
      <c r="E103" s="10"/>
      <c r="F103" s="10"/>
      <c r="G103" s="10"/>
      <c r="H103" s="15" t="str">
        <f t="shared" si="0"/>
        <v/>
      </c>
      <c r="I103" s="16" t="str">
        <f t="shared" si="1"/>
        <v/>
      </c>
      <c r="J103" s="17"/>
      <c r="K103" s="17"/>
      <c r="L103" s="16">
        <f t="shared" si="2"/>
        <v>0</v>
      </c>
      <c r="M103" s="16">
        <f t="shared" si="3"/>
        <v>0</v>
      </c>
      <c r="N103" s="16">
        <f t="shared" si="4"/>
        <v>0</v>
      </c>
      <c r="O103" s="16">
        <f t="shared" si="5"/>
        <v>0</v>
      </c>
      <c r="P103" s="16">
        <f t="shared" si="6"/>
        <v>0</v>
      </c>
      <c r="Q103" s="16">
        <f t="shared" si="7"/>
        <v>0</v>
      </c>
    </row>
    <row r="104" ht="18.75" customHeight="1" spans="1:17">
      <c r="A104" s="10"/>
      <c r="B104" s="10"/>
      <c r="C104" s="10"/>
      <c r="D104" s="10"/>
      <c r="E104" s="10"/>
      <c r="F104" s="10"/>
      <c r="G104" s="10"/>
      <c r="H104" s="15" t="str">
        <f t="shared" si="0"/>
        <v/>
      </c>
      <c r="I104" s="16" t="str">
        <f t="shared" si="1"/>
        <v/>
      </c>
      <c r="J104" s="17"/>
      <c r="K104" s="17"/>
      <c r="L104" s="16">
        <f t="shared" si="2"/>
        <v>0</v>
      </c>
      <c r="M104" s="16">
        <f t="shared" si="3"/>
        <v>0</v>
      </c>
      <c r="N104" s="16">
        <f t="shared" si="4"/>
        <v>0</v>
      </c>
      <c r="O104" s="16">
        <f t="shared" si="5"/>
        <v>0</v>
      </c>
      <c r="P104" s="16">
        <f t="shared" si="6"/>
        <v>0</v>
      </c>
      <c r="Q104" s="16">
        <f t="shared" si="7"/>
        <v>0</v>
      </c>
    </row>
    <row r="105" ht="18.75" customHeight="1" spans="1:17">
      <c r="A105" s="10"/>
      <c r="B105" s="10"/>
      <c r="C105" s="10"/>
      <c r="D105" s="10"/>
      <c r="E105" s="10"/>
      <c r="F105" s="10"/>
      <c r="G105" s="10"/>
      <c r="H105" s="15" t="str">
        <f t="shared" si="0"/>
        <v/>
      </c>
      <c r="I105" s="16" t="str">
        <f t="shared" si="1"/>
        <v/>
      </c>
      <c r="J105" s="17"/>
      <c r="K105" s="17"/>
      <c r="L105" s="16">
        <f t="shared" si="2"/>
        <v>0</v>
      </c>
      <c r="M105" s="16">
        <f t="shared" si="3"/>
        <v>0</v>
      </c>
      <c r="N105" s="16">
        <f t="shared" si="4"/>
        <v>0</v>
      </c>
      <c r="O105" s="16">
        <f t="shared" si="5"/>
        <v>0</v>
      </c>
      <c r="P105" s="16">
        <f t="shared" si="6"/>
        <v>0</v>
      </c>
      <c r="Q105" s="16">
        <f t="shared" si="7"/>
        <v>0</v>
      </c>
    </row>
    <row r="106" ht="18.75" customHeight="1" spans="1:17">
      <c r="A106" s="10"/>
      <c r="B106" s="10"/>
      <c r="C106" s="10"/>
      <c r="D106" s="10"/>
      <c r="E106" s="10"/>
      <c r="F106" s="10"/>
      <c r="G106" s="10"/>
      <c r="H106" s="15" t="str">
        <f t="shared" si="0"/>
        <v/>
      </c>
      <c r="I106" s="16" t="str">
        <f t="shared" si="1"/>
        <v/>
      </c>
      <c r="J106" s="17"/>
      <c r="K106" s="17"/>
      <c r="L106" s="16">
        <f t="shared" si="2"/>
        <v>0</v>
      </c>
      <c r="M106" s="16">
        <f t="shared" si="3"/>
        <v>0</v>
      </c>
      <c r="N106" s="16">
        <f t="shared" si="4"/>
        <v>0</v>
      </c>
      <c r="O106" s="16">
        <f t="shared" si="5"/>
        <v>0</v>
      </c>
      <c r="P106" s="16">
        <f t="shared" si="6"/>
        <v>0</v>
      </c>
      <c r="Q106" s="16">
        <f t="shared" si="7"/>
        <v>0</v>
      </c>
    </row>
    <row r="107" ht="18.75" customHeight="1" spans="1:17">
      <c r="A107" s="10"/>
      <c r="B107" s="10"/>
      <c r="C107" s="10"/>
      <c r="D107" s="10"/>
      <c r="E107" s="10"/>
      <c r="F107" s="10"/>
      <c r="G107" s="10"/>
      <c r="H107" s="15" t="str">
        <f t="shared" si="0"/>
        <v/>
      </c>
      <c r="I107" s="16" t="str">
        <f t="shared" si="1"/>
        <v/>
      </c>
      <c r="J107" s="17"/>
      <c r="K107" s="17"/>
      <c r="L107" s="16">
        <f t="shared" si="2"/>
        <v>0</v>
      </c>
      <c r="M107" s="16">
        <f t="shared" si="3"/>
        <v>0</v>
      </c>
      <c r="N107" s="16">
        <f t="shared" si="4"/>
        <v>0</v>
      </c>
      <c r="O107" s="16">
        <f t="shared" si="5"/>
        <v>0</v>
      </c>
      <c r="P107" s="16">
        <f t="shared" si="6"/>
        <v>0</v>
      </c>
      <c r="Q107" s="16">
        <f t="shared" si="7"/>
        <v>0</v>
      </c>
    </row>
    <row r="108" ht="18.75" customHeight="1" spans="1:17">
      <c r="A108" s="10"/>
      <c r="B108" s="10"/>
      <c r="C108" s="10"/>
      <c r="D108" s="10"/>
      <c r="E108" s="10"/>
      <c r="F108" s="10"/>
      <c r="G108" s="10"/>
      <c r="H108" s="15" t="str">
        <f t="shared" si="0"/>
        <v/>
      </c>
      <c r="I108" s="16" t="str">
        <f t="shared" si="1"/>
        <v/>
      </c>
      <c r="J108" s="17"/>
      <c r="K108" s="17"/>
      <c r="L108" s="16">
        <f t="shared" si="2"/>
        <v>0</v>
      </c>
      <c r="M108" s="16">
        <f t="shared" si="3"/>
        <v>0</v>
      </c>
      <c r="N108" s="16">
        <f t="shared" si="4"/>
        <v>0</v>
      </c>
      <c r="O108" s="16">
        <f t="shared" si="5"/>
        <v>0</v>
      </c>
      <c r="P108" s="16">
        <f t="shared" si="6"/>
        <v>0</v>
      </c>
      <c r="Q108" s="16">
        <f t="shared" si="7"/>
        <v>0</v>
      </c>
    </row>
    <row r="109" ht="18.75" customHeight="1" spans="1:17">
      <c r="A109" s="10"/>
      <c r="B109" s="10"/>
      <c r="C109" s="10"/>
      <c r="D109" s="10"/>
      <c r="E109" s="10"/>
      <c r="F109" s="10"/>
      <c r="G109" s="10"/>
      <c r="H109" s="15" t="str">
        <f t="shared" si="0"/>
        <v/>
      </c>
      <c r="I109" s="16" t="str">
        <f t="shared" si="1"/>
        <v/>
      </c>
      <c r="J109" s="17"/>
      <c r="K109" s="17"/>
      <c r="L109" s="16">
        <f t="shared" si="2"/>
        <v>0</v>
      </c>
      <c r="M109" s="16">
        <f t="shared" si="3"/>
        <v>0</v>
      </c>
      <c r="N109" s="16">
        <f t="shared" si="4"/>
        <v>0</v>
      </c>
      <c r="O109" s="16">
        <f t="shared" si="5"/>
        <v>0</v>
      </c>
      <c r="P109" s="16">
        <f t="shared" si="6"/>
        <v>0</v>
      </c>
      <c r="Q109" s="16">
        <f t="shared" si="7"/>
        <v>0</v>
      </c>
    </row>
    <row r="110" ht="18.75" customHeight="1" spans="1:17">
      <c r="A110" s="10"/>
      <c r="B110" s="10"/>
      <c r="C110" s="10"/>
      <c r="D110" s="10"/>
      <c r="E110" s="10"/>
      <c r="F110" s="10"/>
      <c r="G110" s="10"/>
      <c r="H110" s="15" t="str">
        <f t="shared" si="0"/>
        <v/>
      </c>
      <c r="I110" s="16" t="str">
        <f t="shared" si="1"/>
        <v/>
      </c>
      <c r="J110" s="17"/>
      <c r="K110" s="17"/>
      <c r="L110" s="16">
        <f t="shared" si="2"/>
        <v>0</v>
      </c>
      <c r="M110" s="16">
        <f t="shared" si="3"/>
        <v>0</v>
      </c>
      <c r="N110" s="16">
        <f t="shared" si="4"/>
        <v>0</v>
      </c>
      <c r="O110" s="16">
        <f t="shared" si="5"/>
        <v>0</v>
      </c>
      <c r="P110" s="16">
        <f t="shared" si="6"/>
        <v>0</v>
      </c>
      <c r="Q110" s="16">
        <f t="shared" si="7"/>
        <v>0</v>
      </c>
    </row>
    <row r="111" ht="18.75" customHeight="1" spans="1:17">
      <c r="A111" s="10"/>
      <c r="B111" s="10"/>
      <c r="C111" s="10"/>
      <c r="D111" s="10"/>
      <c r="E111" s="10"/>
      <c r="F111" s="10"/>
      <c r="G111" s="10"/>
      <c r="H111" s="15" t="str">
        <f t="shared" si="0"/>
        <v/>
      </c>
      <c r="I111" s="16" t="str">
        <f t="shared" si="1"/>
        <v/>
      </c>
      <c r="J111" s="17"/>
      <c r="K111" s="17"/>
      <c r="L111" s="16">
        <f t="shared" si="2"/>
        <v>0</v>
      </c>
      <c r="M111" s="16">
        <f t="shared" si="3"/>
        <v>0</v>
      </c>
      <c r="N111" s="16">
        <f t="shared" si="4"/>
        <v>0</v>
      </c>
      <c r="O111" s="16">
        <f t="shared" si="5"/>
        <v>0</v>
      </c>
      <c r="P111" s="16">
        <f t="shared" si="6"/>
        <v>0</v>
      </c>
      <c r="Q111" s="16">
        <f t="shared" si="7"/>
        <v>0</v>
      </c>
    </row>
    <row r="112" ht="18.75" customHeight="1" spans="1:17">
      <c r="A112" s="10"/>
      <c r="B112" s="10"/>
      <c r="C112" s="10"/>
      <c r="D112" s="10"/>
      <c r="E112" s="10"/>
      <c r="F112" s="10"/>
      <c r="G112" s="10"/>
      <c r="H112" s="15" t="str">
        <f t="shared" si="0"/>
        <v/>
      </c>
      <c r="I112" s="16" t="str">
        <f t="shared" si="1"/>
        <v/>
      </c>
      <c r="J112" s="17"/>
      <c r="K112" s="17"/>
      <c r="L112" s="16">
        <f t="shared" si="2"/>
        <v>0</v>
      </c>
      <c r="M112" s="16">
        <f t="shared" si="3"/>
        <v>0</v>
      </c>
      <c r="N112" s="16">
        <f t="shared" si="4"/>
        <v>0</v>
      </c>
      <c r="O112" s="16">
        <f t="shared" si="5"/>
        <v>0</v>
      </c>
      <c r="P112" s="16">
        <f t="shared" si="6"/>
        <v>0</v>
      </c>
      <c r="Q112" s="16">
        <f t="shared" si="7"/>
        <v>0</v>
      </c>
    </row>
    <row r="113" ht="18.75" customHeight="1" spans="1:17">
      <c r="A113" s="10"/>
      <c r="B113" s="10"/>
      <c r="C113" s="10"/>
      <c r="D113" s="10"/>
      <c r="E113" s="10"/>
      <c r="F113" s="10"/>
      <c r="G113" s="10"/>
      <c r="H113" s="15" t="str">
        <f t="shared" si="0"/>
        <v/>
      </c>
      <c r="I113" s="16" t="str">
        <f t="shared" si="1"/>
        <v/>
      </c>
      <c r="J113" s="17"/>
      <c r="K113" s="17"/>
      <c r="L113" s="16">
        <f t="shared" si="2"/>
        <v>0</v>
      </c>
      <c r="M113" s="16">
        <f t="shared" si="3"/>
        <v>0</v>
      </c>
      <c r="N113" s="16">
        <f t="shared" si="4"/>
        <v>0</v>
      </c>
      <c r="O113" s="16">
        <f t="shared" si="5"/>
        <v>0</v>
      </c>
      <c r="P113" s="16">
        <f t="shared" si="6"/>
        <v>0</v>
      </c>
      <c r="Q113" s="16">
        <f t="shared" si="7"/>
        <v>0</v>
      </c>
    </row>
    <row r="114" ht="18.75" customHeight="1" spans="1:17">
      <c r="A114" s="10"/>
      <c r="B114" s="10"/>
      <c r="C114" s="10"/>
      <c r="D114" s="10"/>
      <c r="E114" s="10"/>
      <c r="F114" s="10"/>
      <c r="G114" s="10"/>
      <c r="H114" s="15" t="str">
        <f t="shared" si="0"/>
        <v/>
      </c>
      <c r="I114" s="16" t="str">
        <f t="shared" si="1"/>
        <v/>
      </c>
      <c r="J114" s="17"/>
      <c r="K114" s="17"/>
      <c r="L114" s="16">
        <f t="shared" si="2"/>
        <v>0</v>
      </c>
      <c r="M114" s="16">
        <f t="shared" si="3"/>
        <v>0</v>
      </c>
      <c r="N114" s="16">
        <f t="shared" si="4"/>
        <v>0</v>
      </c>
      <c r="O114" s="16">
        <f t="shared" si="5"/>
        <v>0</v>
      </c>
      <c r="P114" s="16">
        <f t="shared" si="6"/>
        <v>0</v>
      </c>
      <c r="Q114" s="16">
        <f t="shared" si="7"/>
        <v>0</v>
      </c>
    </row>
    <row r="115" ht="18.75" customHeight="1" spans="1:17">
      <c r="A115" s="10"/>
      <c r="B115" s="10"/>
      <c r="C115" s="10"/>
      <c r="D115" s="10"/>
      <c r="E115" s="10"/>
      <c r="F115" s="10"/>
      <c r="G115" s="10"/>
      <c r="H115" s="15" t="str">
        <f t="shared" si="0"/>
        <v/>
      </c>
      <c r="I115" s="16" t="str">
        <f t="shared" si="1"/>
        <v/>
      </c>
      <c r="J115" s="17"/>
      <c r="K115" s="17"/>
      <c r="L115" s="16">
        <f t="shared" si="2"/>
        <v>0</v>
      </c>
      <c r="M115" s="16">
        <f t="shared" si="3"/>
        <v>0</v>
      </c>
      <c r="N115" s="16">
        <f t="shared" si="4"/>
        <v>0</v>
      </c>
      <c r="O115" s="16">
        <f t="shared" si="5"/>
        <v>0</v>
      </c>
      <c r="P115" s="16">
        <f t="shared" si="6"/>
        <v>0</v>
      </c>
      <c r="Q115" s="16">
        <f t="shared" si="7"/>
        <v>0</v>
      </c>
    </row>
    <row r="116" ht="18.75" customHeight="1" spans="1:17">
      <c r="A116" s="10"/>
      <c r="B116" s="10"/>
      <c r="C116" s="10"/>
      <c r="D116" s="10"/>
      <c r="E116" s="10"/>
      <c r="F116" s="10"/>
      <c r="G116" s="10"/>
      <c r="H116" s="15" t="str">
        <f t="shared" si="0"/>
        <v/>
      </c>
      <c r="I116" s="16" t="str">
        <f t="shared" si="1"/>
        <v/>
      </c>
      <c r="J116" s="17"/>
      <c r="K116" s="17"/>
      <c r="L116" s="16">
        <f t="shared" si="2"/>
        <v>0</v>
      </c>
      <c r="M116" s="16">
        <f t="shared" si="3"/>
        <v>0</v>
      </c>
      <c r="N116" s="16">
        <f t="shared" si="4"/>
        <v>0</v>
      </c>
      <c r="O116" s="16">
        <f t="shared" si="5"/>
        <v>0</v>
      </c>
      <c r="P116" s="16">
        <f t="shared" si="6"/>
        <v>0</v>
      </c>
      <c r="Q116" s="16">
        <f t="shared" si="7"/>
        <v>0</v>
      </c>
    </row>
    <row r="117" ht="18.75" customHeight="1" spans="1:17">
      <c r="A117" s="10"/>
      <c r="B117" s="10"/>
      <c r="C117" s="10"/>
      <c r="D117" s="10"/>
      <c r="E117" s="10"/>
      <c r="F117" s="10"/>
      <c r="G117" s="10"/>
      <c r="H117" s="15" t="str">
        <f t="shared" si="0"/>
        <v/>
      </c>
      <c r="I117" s="16" t="str">
        <f t="shared" si="1"/>
        <v/>
      </c>
      <c r="J117" s="17"/>
      <c r="K117" s="17"/>
      <c r="L117" s="16">
        <f t="shared" si="2"/>
        <v>0</v>
      </c>
      <c r="M117" s="16">
        <f t="shared" si="3"/>
        <v>0</v>
      </c>
      <c r="N117" s="16">
        <f t="shared" si="4"/>
        <v>0</v>
      </c>
      <c r="O117" s="16">
        <f t="shared" si="5"/>
        <v>0</v>
      </c>
      <c r="P117" s="16">
        <f t="shared" si="6"/>
        <v>0</v>
      </c>
      <c r="Q117" s="16">
        <f t="shared" si="7"/>
        <v>0</v>
      </c>
    </row>
    <row r="118" ht="18.75" customHeight="1" spans="1:17">
      <c r="A118" s="10"/>
      <c r="B118" s="10"/>
      <c r="C118" s="10"/>
      <c r="D118" s="10"/>
      <c r="E118" s="10"/>
      <c r="F118" s="10"/>
      <c r="G118" s="10"/>
      <c r="H118" s="15" t="str">
        <f t="shared" si="0"/>
        <v/>
      </c>
      <c r="I118" s="16" t="str">
        <f t="shared" si="1"/>
        <v/>
      </c>
      <c r="J118" s="17"/>
      <c r="K118" s="17"/>
      <c r="L118" s="16">
        <f t="shared" si="2"/>
        <v>0</v>
      </c>
      <c r="M118" s="16">
        <f t="shared" si="3"/>
        <v>0</v>
      </c>
      <c r="N118" s="16">
        <f t="shared" si="4"/>
        <v>0</v>
      </c>
      <c r="O118" s="16">
        <f t="shared" si="5"/>
        <v>0</v>
      </c>
      <c r="P118" s="16">
        <f t="shared" si="6"/>
        <v>0</v>
      </c>
      <c r="Q118" s="16">
        <f t="shared" si="7"/>
        <v>0</v>
      </c>
    </row>
    <row r="119" ht="18.75" customHeight="1" spans="1:17">
      <c r="A119" s="10"/>
      <c r="B119" s="10"/>
      <c r="C119" s="10"/>
      <c r="D119" s="10"/>
      <c r="E119" s="10"/>
      <c r="F119" s="10"/>
      <c r="G119" s="10"/>
      <c r="H119" s="15" t="str">
        <f t="shared" si="0"/>
        <v/>
      </c>
      <c r="I119" s="16" t="str">
        <f t="shared" si="1"/>
        <v/>
      </c>
      <c r="J119" s="17"/>
      <c r="K119" s="17"/>
      <c r="L119" s="16">
        <f t="shared" si="2"/>
        <v>0</v>
      </c>
      <c r="M119" s="16">
        <f t="shared" si="3"/>
        <v>0</v>
      </c>
      <c r="N119" s="16">
        <f t="shared" si="4"/>
        <v>0</v>
      </c>
      <c r="O119" s="16">
        <f t="shared" si="5"/>
        <v>0</v>
      </c>
      <c r="P119" s="16">
        <f t="shared" si="6"/>
        <v>0</v>
      </c>
      <c r="Q119" s="16">
        <f t="shared" si="7"/>
        <v>0</v>
      </c>
    </row>
    <row r="120" ht="18.75" customHeight="1" spans="1:17">
      <c r="A120" s="10"/>
      <c r="B120" s="10"/>
      <c r="C120" s="10"/>
      <c r="D120" s="10"/>
      <c r="E120" s="10"/>
      <c r="F120" s="10"/>
      <c r="G120" s="10"/>
      <c r="H120" s="15" t="str">
        <f t="shared" si="0"/>
        <v/>
      </c>
      <c r="I120" s="16" t="str">
        <f t="shared" si="1"/>
        <v/>
      </c>
      <c r="J120" s="17"/>
      <c r="K120" s="17"/>
      <c r="L120" s="16">
        <f t="shared" si="2"/>
        <v>0</v>
      </c>
      <c r="M120" s="16">
        <f t="shared" si="3"/>
        <v>0</v>
      </c>
      <c r="N120" s="16">
        <f t="shared" si="4"/>
        <v>0</v>
      </c>
      <c r="O120" s="16">
        <f t="shared" si="5"/>
        <v>0</v>
      </c>
      <c r="P120" s="16">
        <f t="shared" si="6"/>
        <v>0</v>
      </c>
      <c r="Q120" s="16">
        <f t="shared" si="7"/>
        <v>0</v>
      </c>
    </row>
    <row r="121" ht="18.75" customHeight="1" spans="1:17">
      <c r="A121" s="10"/>
      <c r="B121" s="10"/>
      <c r="C121" s="10"/>
      <c r="D121" s="10"/>
      <c r="E121" s="10"/>
      <c r="F121" s="10"/>
      <c r="G121" s="10"/>
      <c r="H121" s="15" t="str">
        <f t="shared" si="0"/>
        <v/>
      </c>
      <c r="I121" s="16" t="str">
        <f t="shared" si="1"/>
        <v/>
      </c>
      <c r="J121" s="17"/>
      <c r="K121" s="17"/>
      <c r="L121" s="16">
        <f t="shared" si="2"/>
        <v>0</v>
      </c>
      <c r="M121" s="16">
        <f t="shared" si="3"/>
        <v>0</v>
      </c>
      <c r="N121" s="16">
        <f t="shared" si="4"/>
        <v>0</v>
      </c>
      <c r="O121" s="16">
        <f t="shared" si="5"/>
        <v>0</v>
      </c>
      <c r="P121" s="16">
        <f t="shared" si="6"/>
        <v>0</v>
      </c>
      <c r="Q121" s="16">
        <f t="shared" si="7"/>
        <v>0</v>
      </c>
    </row>
    <row r="122" ht="18.75" customHeight="1" spans="1:17">
      <c r="A122" s="10"/>
      <c r="B122" s="10"/>
      <c r="C122" s="10"/>
      <c r="D122" s="10"/>
      <c r="E122" s="10"/>
      <c r="F122" s="10"/>
      <c r="G122" s="10"/>
      <c r="H122" s="15" t="str">
        <f t="shared" si="0"/>
        <v/>
      </c>
      <c r="I122" s="16" t="str">
        <f t="shared" si="1"/>
        <v/>
      </c>
      <c r="J122" s="17"/>
      <c r="K122" s="17"/>
      <c r="L122" s="16">
        <f t="shared" si="2"/>
        <v>0</v>
      </c>
      <c r="M122" s="16">
        <f t="shared" si="3"/>
        <v>0</v>
      </c>
      <c r="N122" s="16">
        <f t="shared" si="4"/>
        <v>0</v>
      </c>
      <c r="O122" s="16">
        <f t="shared" si="5"/>
        <v>0</v>
      </c>
      <c r="P122" s="16">
        <f t="shared" si="6"/>
        <v>0</v>
      </c>
      <c r="Q122" s="16">
        <f t="shared" si="7"/>
        <v>0</v>
      </c>
    </row>
    <row r="123" ht="18.75" customHeight="1" spans="1:17">
      <c r="A123" s="10"/>
      <c r="B123" s="10"/>
      <c r="C123" s="10"/>
      <c r="D123" s="10"/>
      <c r="E123" s="10"/>
      <c r="F123" s="10"/>
      <c r="G123" s="10"/>
      <c r="H123" s="15" t="str">
        <f t="shared" si="0"/>
        <v/>
      </c>
      <c r="I123" s="16" t="str">
        <f t="shared" si="1"/>
        <v/>
      </c>
      <c r="J123" s="17"/>
      <c r="K123" s="17"/>
      <c r="L123" s="16">
        <f t="shared" si="2"/>
        <v>0</v>
      </c>
      <c r="M123" s="16">
        <f t="shared" si="3"/>
        <v>0</v>
      </c>
      <c r="N123" s="16">
        <f t="shared" si="4"/>
        <v>0</v>
      </c>
      <c r="O123" s="16">
        <f t="shared" si="5"/>
        <v>0</v>
      </c>
      <c r="P123" s="16">
        <f t="shared" si="6"/>
        <v>0</v>
      </c>
      <c r="Q123" s="16">
        <f t="shared" si="7"/>
        <v>0</v>
      </c>
    </row>
    <row r="124" ht="18.75" customHeight="1" spans="1:17">
      <c r="A124" s="10"/>
      <c r="B124" s="10"/>
      <c r="C124" s="10"/>
      <c r="D124" s="10"/>
      <c r="E124" s="10"/>
      <c r="F124" s="10"/>
      <c r="G124" s="10"/>
      <c r="H124" s="15" t="str">
        <f t="shared" si="0"/>
        <v/>
      </c>
      <c r="I124" s="16" t="str">
        <f t="shared" si="1"/>
        <v/>
      </c>
      <c r="J124" s="17"/>
      <c r="K124" s="17"/>
      <c r="L124" s="16">
        <f t="shared" si="2"/>
        <v>0</v>
      </c>
      <c r="M124" s="16">
        <f t="shared" si="3"/>
        <v>0</v>
      </c>
      <c r="N124" s="16">
        <f t="shared" si="4"/>
        <v>0</v>
      </c>
      <c r="O124" s="16">
        <f t="shared" si="5"/>
        <v>0</v>
      </c>
      <c r="P124" s="16">
        <f t="shared" si="6"/>
        <v>0</v>
      </c>
      <c r="Q124" s="16">
        <f t="shared" si="7"/>
        <v>0</v>
      </c>
    </row>
    <row r="125" ht="18.75" customHeight="1" spans="1:17">
      <c r="A125" s="10"/>
      <c r="B125" s="10"/>
      <c r="C125" s="10"/>
      <c r="D125" s="10"/>
      <c r="E125" s="10"/>
      <c r="F125" s="10"/>
      <c r="G125" s="10"/>
      <c r="H125" s="15" t="str">
        <f t="shared" si="0"/>
        <v/>
      </c>
      <c r="I125" s="16" t="str">
        <f t="shared" si="1"/>
        <v/>
      </c>
      <c r="J125" s="17"/>
      <c r="K125" s="17"/>
      <c r="L125" s="16">
        <f t="shared" si="2"/>
        <v>0</v>
      </c>
      <c r="M125" s="16">
        <f t="shared" si="3"/>
        <v>0</v>
      </c>
      <c r="N125" s="16">
        <f t="shared" si="4"/>
        <v>0</v>
      </c>
      <c r="O125" s="16">
        <f t="shared" si="5"/>
        <v>0</v>
      </c>
      <c r="P125" s="16">
        <f t="shared" si="6"/>
        <v>0</v>
      </c>
      <c r="Q125" s="16">
        <f t="shared" si="7"/>
        <v>0</v>
      </c>
    </row>
    <row r="126" ht="18.75" customHeight="1" spans="1:17">
      <c r="A126" s="10"/>
      <c r="B126" s="10"/>
      <c r="C126" s="10"/>
      <c r="D126" s="10"/>
      <c r="E126" s="10"/>
      <c r="F126" s="10"/>
      <c r="G126" s="10"/>
      <c r="H126" s="15" t="str">
        <f t="shared" si="0"/>
        <v/>
      </c>
      <c r="I126" s="16" t="str">
        <f t="shared" si="1"/>
        <v/>
      </c>
      <c r="J126" s="17"/>
      <c r="K126" s="17"/>
      <c r="L126" s="16">
        <f t="shared" si="2"/>
        <v>0</v>
      </c>
      <c r="M126" s="16">
        <f t="shared" si="3"/>
        <v>0</v>
      </c>
      <c r="N126" s="16">
        <f t="shared" si="4"/>
        <v>0</v>
      </c>
      <c r="O126" s="16">
        <f t="shared" si="5"/>
        <v>0</v>
      </c>
      <c r="P126" s="16">
        <f t="shared" si="6"/>
        <v>0</v>
      </c>
      <c r="Q126" s="16">
        <f t="shared" si="7"/>
        <v>0</v>
      </c>
    </row>
    <row r="127" ht="18.75" customHeight="1" spans="1:17">
      <c r="A127" s="10"/>
      <c r="B127" s="10"/>
      <c r="C127" s="10"/>
      <c r="D127" s="10"/>
      <c r="E127" s="10"/>
      <c r="F127" s="10"/>
      <c r="G127" s="10"/>
      <c r="H127" s="15" t="str">
        <f t="shared" si="0"/>
        <v/>
      </c>
      <c r="I127" s="16" t="str">
        <f t="shared" si="1"/>
        <v/>
      </c>
      <c r="J127" s="17"/>
      <c r="K127" s="17"/>
      <c r="L127" s="16">
        <f t="shared" si="2"/>
        <v>0</v>
      </c>
      <c r="M127" s="16">
        <f t="shared" si="3"/>
        <v>0</v>
      </c>
      <c r="N127" s="16">
        <f t="shared" si="4"/>
        <v>0</v>
      </c>
      <c r="O127" s="16">
        <f t="shared" si="5"/>
        <v>0</v>
      </c>
      <c r="P127" s="16">
        <f t="shared" si="6"/>
        <v>0</v>
      </c>
      <c r="Q127" s="16">
        <f t="shared" si="7"/>
        <v>0</v>
      </c>
    </row>
    <row r="128" ht="18.75" customHeight="1" spans="1:17">
      <c r="A128" s="10"/>
      <c r="B128" s="10"/>
      <c r="C128" s="10"/>
      <c r="D128" s="10"/>
      <c r="E128" s="10"/>
      <c r="F128" s="10"/>
      <c r="G128" s="10"/>
      <c r="H128" s="15" t="str">
        <f t="shared" si="0"/>
        <v/>
      </c>
      <c r="I128" s="16" t="str">
        <f t="shared" si="1"/>
        <v/>
      </c>
      <c r="J128" s="17"/>
      <c r="K128" s="17"/>
      <c r="L128" s="16">
        <f t="shared" si="2"/>
        <v>0</v>
      </c>
      <c r="M128" s="16">
        <f t="shared" si="3"/>
        <v>0</v>
      </c>
      <c r="N128" s="16">
        <f t="shared" si="4"/>
        <v>0</v>
      </c>
      <c r="O128" s="16">
        <f t="shared" si="5"/>
        <v>0</v>
      </c>
      <c r="P128" s="16">
        <f t="shared" si="6"/>
        <v>0</v>
      </c>
      <c r="Q128" s="16">
        <f t="shared" si="7"/>
        <v>0</v>
      </c>
    </row>
    <row r="129" ht="18.75" customHeight="1" spans="1:17">
      <c r="A129" s="10"/>
      <c r="B129" s="10"/>
      <c r="C129" s="10"/>
      <c r="D129" s="10"/>
      <c r="E129" s="10"/>
      <c r="F129" s="10"/>
      <c r="G129" s="10"/>
      <c r="H129" s="15" t="str">
        <f t="shared" si="0"/>
        <v/>
      </c>
      <c r="I129" s="16" t="str">
        <f t="shared" si="1"/>
        <v/>
      </c>
      <c r="J129" s="17"/>
      <c r="K129" s="17"/>
      <c r="L129" s="16">
        <f t="shared" si="2"/>
        <v>0</v>
      </c>
      <c r="M129" s="16">
        <f t="shared" si="3"/>
        <v>0</v>
      </c>
      <c r="N129" s="16">
        <f t="shared" si="4"/>
        <v>0</v>
      </c>
      <c r="O129" s="16">
        <f t="shared" si="5"/>
        <v>0</v>
      </c>
      <c r="P129" s="16">
        <f t="shared" si="6"/>
        <v>0</v>
      </c>
      <c r="Q129" s="16">
        <f t="shared" si="7"/>
        <v>0</v>
      </c>
    </row>
    <row r="130" ht="18.75" customHeight="1" spans="1:17">
      <c r="A130" s="10"/>
      <c r="B130" s="10"/>
      <c r="C130" s="10"/>
      <c r="D130" s="10"/>
      <c r="E130" s="10"/>
      <c r="F130" s="10"/>
      <c r="G130" s="10"/>
      <c r="H130" s="15" t="str">
        <f t="shared" si="0"/>
        <v/>
      </c>
      <c r="I130" s="16" t="str">
        <f t="shared" si="1"/>
        <v/>
      </c>
      <c r="J130" s="17"/>
      <c r="K130" s="17"/>
      <c r="L130" s="16">
        <f t="shared" si="2"/>
        <v>0</v>
      </c>
      <c r="M130" s="16">
        <f t="shared" si="3"/>
        <v>0</v>
      </c>
      <c r="N130" s="16">
        <f t="shared" si="4"/>
        <v>0</v>
      </c>
      <c r="O130" s="16">
        <f t="shared" si="5"/>
        <v>0</v>
      </c>
      <c r="P130" s="16">
        <f t="shared" si="6"/>
        <v>0</v>
      </c>
      <c r="Q130" s="16">
        <f t="shared" si="7"/>
        <v>0</v>
      </c>
    </row>
    <row r="131" ht="18.75" customHeight="1" spans="1:17">
      <c r="A131" s="10"/>
      <c r="B131" s="10"/>
      <c r="C131" s="10"/>
      <c r="D131" s="10"/>
      <c r="E131" s="10"/>
      <c r="F131" s="10"/>
      <c r="G131" s="10"/>
      <c r="H131" s="15" t="str">
        <f t="shared" si="0"/>
        <v/>
      </c>
      <c r="I131" s="16" t="str">
        <f t="shared" si="1"/>
        <v/>
      </c>
      <c r="J131" s="17"/>
      <c r="K131" s="17"/>
      <c r="L131" s="16">
        <f t="shared" si="2"/>
        <v>0</v>
      </c>
      <c r="M131" s="16">
        <f t="shared" si="3"/>
        <v>0</v>
      </c>
      <c r="N131" s="16">
        <f t="shared" si="4"/>
        <v>0</v>
      </c>
      <c r="O131" s="16">
        <f t="shared" si="5"/>
        <v>0</v>
      </c>
      <c r="P131" s="16">
        <f t="shared" si="6"/>
        <v>0</v>
      </c>
      <c r="Q131" s="16">
        <f t="shared" si="7"/>
        <v>0</v>
      </c>
    </row>
    <row r="132" ht="18.75" customHeight="1" spans="1:17">
      <c r="A132" s="10"/>
      <c r="B132" s="10"/>
      <c r="C132" s="10"/>
      <c r="D132" s="10"/>
      <c r="E132" s="10"/>
      <c r="F132" s="10"/>
      <c r="G132" s="10"/>
      <c r="H132" s="15" t="str">
        <f t="shared" si="0"/>
        <v/>
      </c>
      <c r="I132" s="16" t="str">
        <f t="shared" si="1"/>
        <v/>
      </c>
      <c r="J132" s="17"/>
      <c r="K132" s="17"/>
      <c r="L132" s="16">
        <f t="shared" si="2"/>
        <v>0</v>
      </c>
      <c r="M132" s="16">
        <f t="shared" si="3"/>
        <v>0</v>
      </c>
      <c r="N132" s="16">
        <f t="shared" si="4"/>
        <v>0</v>
      </c>
      <c r="O132" s="16">
        <f t="shared" si="5"/>
        <v>0</v>
      </c>
      <c r="P132" s="16">
        <f t="shared" si="6"/>
        <v>0</v>
      </c>
      <c r="Q132" s="16">
        <f t="shared" si="7"/>
        <v>0</v>
      </c>
    </row>
    <row r="133" ht="18.75" customHeight="1" spans="1:17">
      <c r="A133" s="10"/>
      <c r="B133" s="10"/>
      <c r="C133" s="10"/>
      <c r="D133" s="10"/>
      <c r="E133" s="10"/>
      <c r="F133" s="10"/>
      <c r="G133" s="10"/>
      <c r="H133" s="15" t="str">
        <f t="shared" si="0"/>
        <v/>
      </c>
      <c r="I133" s="16" t="str">
        <f t="shared" si="1"/>
        <v/>
      </c>
      <c r="J133" s="17"/>
      <c r="K133" s="17"/>
      <c r="L133" s="16">
        <f t="shared" si="2"/>
        <v>0</v>
      </c>
      <c r="M133" s="16">
        <f t="shared" si="3"/>
        <v>0</v>
      </c>
      <c r="N133" s="16">
        <f t="shared" si="4"/>
        <v>0</v>
      </c>
      <c r="O133" s="16">
        <f t="shared" si="5"/>
        <v>0</v>
      </c>
      <c r="P133" s="16">
        <f t="shared" si="6"/>
        <v>0</v>
      </c>
      <c r="Q133" s="16">
        <f t="shared" si="7"/>
        <v>0</v>
      </c>
    </row>
    <row r="134" ht="18.75" customHeight="1" spans="1:17">
      <c r="A134" s="10"/>
      <c r="B134" s="10"/>
      <c r="C134" s="10"/>
      <c r="D134" s="10"/>
      <c r="E134" s="10"/>
      <c r="F134" s="10"/>
      <c r="G134" s="10"/>
      <c r="H134" s="15" t="str">
        <f t="shared" si="0"/>
        <v/>
      </c>
      <c r="I134" s="16" t="str">
        <f t="shared" si="1"/>
        <v/>
      </c>
      <c r="J134" s="17"/>
      <c r="K134" s="17"/>
      <c r="L134" s="16">
        <f t="shared" si="2"/>
        <v>0</v>
      </c>
      <c r="M134" s="16">
        <f t="shared" si="3"/>
        <v>0</v>
      </c>
      <c r="N134" s="16">
        <f t="shared" si="4"/>
        <v>0</v>
      </c>
      <c r="O134" s="16">
        <f t="shared" si="5"/>
        <v>0</v>
      </c>
      <c r="P134" s="16">
        <f t="shared" si="6"/>
        <v>0</v>
      </c>
      <c r="Q134" s="16">
        <f t="shared" si="7"/>
        <v>0</v>
      </c>
    </row>
    <row r="135" ht="18.75" customHeight="1" spans="1:17">
      <c r="A135" s="10"/>
      <c r="B135" s="10"/>
      <c r="C135" s="10"/>
      <c r="D135" s="10"/>
      <c r="E135" s="10"/>
      <c r="F135" s="10"/>
      <c r="G135" s="10"/>
      <c r="H135" s="15" t="str">
        <f t="shared" si="0"/>
        <v/>
      </c>
      <c r="I135" s="16" t="str">
        <f t="shared" si="1"/>
        <v/>
      </c>
      <c r="J135" s="17"/>
      <c r="K135" s="17"/>
      <c r="L135" s="16">
        <f t="shared" si="2"/>
        <v>0</v>
      </c>
      <c r="M135" s="16">
        <f t="shared" si="3"/>
        <v>0</v>
      </c>
      <c r="N135" s="16">
        <f t="shared" si="4"/>
        <v>0</v>
      </c>
      <c r="O135" s="16">
        <f t="shared" si="5"/>
        <v>0</v>
      </c>
      <c r="P135" s="16">
        <f t="shared" si="6"/>
        <v>0</v>
      </c>
      <c r="Q135" s="16">
        <f t="shared" si="7"/>
        <v>0</v>
      </c>
    </row>
    <row r="136" ht="18.75" customHeight="1" spans="1:17">
      <c r="A136" s="10"/>
      <c r="B136" s="10"/>
      <c r="C136" s="10"/>
      <c r="D136" s="10"/>
      <c r="E136" s="10"/>
      <c r="F136" s="10"/>
      <c r="G136" s="10"/>
      <c r="H136" s="15" t="str">
        <f t="shared" si="0"/>
        <v/>
      </c>
      <c r="I136" s="16" t="str">
        <f t="shared" si="1"/>
        <v/>
      </c>
      <c r="J136" s="17"/>
      <c r="K136" s="17"/>
      <c r="L136" s="16">
        <f t="shared" si="2"/>
        <v>0</v>
      </c>
      <c r="M136" s="16">
        <f t="shared" si="3"/>
        <v>0</v>
      </c>
      <c r="N136" s="16">
        <f t="shared" si="4"/>
        <v>0</v>
      </c>
      <c r="O136" s="16">
        <f t="shared" si="5"/>
        <v>0</v>
      </c>
      <c r="P136" s="16">
        <f t="shared" si="6"/>
        <v>0</v>
      </c>
      <c r="Q136" s="16">
        <f t="shared" si="7"/>
        <v>0</v>
      </c>
    </row>
    <row r="137" ht="18.75" customHeight="1" spans="1:17">
      <c r="A137" s="10"/>
      <c r="B137" s="10"/>
      <c r="C137" s="10"/>
      <c r="D137" s="10"/>
      <c r="E137" s="10"/>
      <c r="F137" s="10"/>
      <c r="G137" s="10"/>
      <c r="H137" s="15" t="str">
        <f t="shared" si="0"/>
        <v/>
      </c>
      <c r="I137" s="16" t="str">
        <f t="shared" si="1"/>
        <v/>
      </c>
      <c r="J137" s="17"/>
      <c r="K137" s="17"/>
      <c r="L137" s="16">
        <f t="shared" si="2"/>
        <v>0</v>
      </c>
      <c r="M137" s="16">
        <f t="shared" si="3"/>
        <v>0</v>
      </c>
      <c r="N137" s="16">
        <f t="shared" si="4"/>
        <v>0</v>
      </c>
      <c r="O137" s="16">
        <f t="shared" si="5"/>
        <v>0</v>
      </c>
      <c r="P137" s="16">
        <f t="shared" si="6"/>
        <v>0</v>
      </c>
      <c r="Q137" s="16">
        <f t="shared" si="7"/>
        <v>0</v>
      </c>
    </row>
    <row r="138" ht="18.75" customHeight="1" spans="1:17">
      <c r="A138" s="10"/>
      <c r="B138" s="10"/>
      <c r="C138" s="10"/>
      <c r="D138" s="10"/>
      <c r="E138" s="10"/>
      <c r="F138" s="10"/>
      <c r="G138" s="10"/>
      <c r="H138" s="15" t="str">
        <f t="shared" si="0"/>
        <v/>
      </c>
      <c r="I138" s="16" t="str">
        <f t="shared" si="1"/>
        <v/>
      </c>
      <c r="J138" s="17"/>
      <c r="K138" s="17"/>
      <c r="L138" s="16">
        <f t="shared" si="2"/>
        <v>0</v>
      </c>
      <c r="M138" s="16">
        <f t="shared" si="3"/>
        <v>0</v>
      </c>
      <c r="N138" s="16">
        <f t="shared" si="4"/>
        <v>0</v>
      </c>
      <c r="O138" s="16">
        <f t="shared" si="5"/>
        <v>0</v>
      </c>
      <c r="P138" s="16">
        <f t="shared" si="6"/>
        <v>0</v>
      </c>
      <c r="Q138" s="16">
        <f t="shared" si="7"/>
        <v>0</v>
      </c>
    </row>
    <row r="139" ht="18.75" customHeight="1" spans="1:17">
      <c r="A139" s="10"/>
      <c r="B139" s="10"/>
      <c r="C139" s="10"/>
      <c r="D139" s="10"/>
      <c r="E139" s="10"/>
      <c r="F139" s="10"/>
      <c r="G139" s="10"/>
      <c r="H139" s="15" t="str">
        <f t="shared" si="0"/>
        <v/>
      </c>
      <c r="I139" s="16" t="str">
        <f t="shared" si="1"/>
        <v/>
      </c>
      <c r="J139" s="17"/>
      <c r="K139" s="17"/>
      <c r="L139" s="16">
        <f t="shared" si="2"/>
        <v>0</v>
      </c>
      <c r="M139" s="16">
        <f t="shared" si="3"/>
        <v>0</v>
      </c>
      <c r="N139" s="16">
        <f t="shared" si="4"/>
        <v>0</v>
      </c>
      <c r="O139" s="16">
        <f t="shared" si="5"/>
        <v>0</v>
      </c>
      <c r="P139" s="16">
        <f t="shared" si="6"/>
        <v>0</v>
      </c>
      <c r="Q139" s="16">
        <f t="shared" si="7"/>
        <v>0</v>
      </c>
    </row>
    <row r="140" ht="18.75" customHeight="1" spans="1:17">
      <c r="A140" s="10"/>
      <c r="B140" s="10"/>
      <c r="C140" s="10"/>
      <c r="D140" s="10"/>
      <c r="E140" s="10"/>
      <c r="F140" s="10"/>
      <c r="G140" s="10"/>
      <c r="H140" s="15" t="str">
        <f t="shared" si="0"/>
        <v/>
      </c>
      <c r="I140" s="16" t="str">
        <f t="shared" si="1"/>
        <v/>
      </c>
      <c r="J140" s="17"/>
      <c r="K140" s="17"/>
      <c r="L140" s="16">
        <f t="shared" si="2"/>
        <v>0</v>
      </c>
      <c r="M140" s="16">
        <f t="shared" si="3"/>
        <v>0</v>
      </c>
      <c r="N140" s="16">
        <f t="shared" si="4"/>
        <v>0</v>
      </c>
      <c r="O140" s="16">
        <f t="shared" si="5"/>
        <v>0</v>
      </c>
      <c r="P140" s="16">
        <f t="shared" si="6"/>
        <v>0</v>
      </c>
      <c r="Q140" s="16">
        <f t="shared" si="7"/>
        <v>0</v>
      </c>
    </row>
    <row r="141" ht="18.75" customHeight="1" spans="1:17">
      <c r="A141" s="10"/>
      <c r="B141" s="10"/>
      <c r="C141" s="10"/>
      <c r="D141" s="10"/>
      <c r="E141" s="10"/>
      <c r="F141" s="10"/>
      <c r="G141" s="10"/>
      <c r="H141" s="15" t="str">
        <f t="shared" si="0"/>
        <v/>
      </c>
      <c r="I141" s="16" t="str">
        <f t="shared" si="1"/>
        <v/>
      </c>
      <c r="J141" s="17"/>
      <c r="K141" s="17"/>
      <c r="L141" s="16">
        <f t="shared" si="2"/>
        <v>0</v>
      </c>
      <c r="M141" s="16">
        <f t="shared" si="3"/>
        <v>0</v>
      </c>
      <c r="N141" s="16">
        <f t="shared" si="4"/>
        <v>0</v>
      </c>
      <c r="O141" s="16">
        <f t="shared" si="5"/>
        <v>0</v>
      </c>
      <c r="P141" s="16">
        <f t="shared" si="6"/>
        <v>0</v>
      </c>
      <c r="Q141" s="16">
        <f t="shared" si="7"/>
        <v>0</v>
      </c>
    </row>
    <row r="142" ht="18.75" customHeight="1" spans="1:17">
      <c r="A142" s="10"/>
      <c r="B142" s="10"/>
      <c r="C142" s="10"/>
      <c r="D142" s="10"/>
      <c r="E142" s="10"/>
      <c r="F142" s="10"/>
      <c r="G142" s="10"/>
      <c r="H142" s="15" t="str">
        <f t="shared" si="0"/>
        <v/>
      </c>
      <c r="I142" s="16" t="str">
        <f t="shared" si="1"/>
        <v/>
      </c>
      <c r="J142" s="17"/>
      <c r="K142" s="17"/>
      <c r="L142" s="16">
        <f t="shared" si="2"/>
        <v>0</v>
      </c>
      <c r="M142" s="16">
        <f t="shared" si="3"/>
        <v>0</v>
      </c>
      <c r="N142" s="16">
        <f t="shared" si="4"/>
        <v>0</v>
      </c>
      <c r="O142" s="16">
        <f t="shared" si="5"/>
        <v>0</v>
      </c>
      <c r="P142" s="16">
        <f t="shared" si="6"/>
        <v>0</v>
      </c>
      <c r="Q142" s="16">
        <f t="shared" si="7"/>
        <v>0</v>
      </c>
    </row>
    <row r="143" ht="18.75" customHeight="1" spans="1:17">
      <c r="A143" s="10"/>
      <c r="B143" s="10"/>
      <c r="C143" s="10"/>
      <c r="D143" s="10"/>
      <c r="E143" s="10"/>
      <c r="F143" s="10"/>
      <c r="G143" s="10"/>
      <c r="H143" s="15" t="str">
        <f t="shared" si="0"/>
        <v/>
      </c>
      <c r="I143" s="16" t="str">
        <f t="shared" si="1"/>
        <v/>
      </c>
      <c r="J143" s="17"/>
      <c r="K143" s="17"/>
      <c r="L143" s="16">
        <f t="shared" si="2"/>
        <v>0</v>
      </c>
      <c r="M143" s="16">
        <f t="shared" si="3"/>
        <v>0</v>
      </c>
      <c r="N143" s="16">
        <f t="shared" si="4"/>
        <v>0</v>
      </c>
      <c r="O143" s="16">
        <f t="shared" si="5"/>
        <v>0</v>
      </c>
      <c r="P143" s="16">
        <f t="shared" si="6"/>
        <v>0</v>
      </c>
      <c r="Q143" s="16">
        <f t="shared" si="7"/>
        <v>0</v>
      </c>
    </row>
    <row r="144" ht="18.75" customHeight="1" spans="1:17">
      <c r="A144" s="10"/>
      <c r="B144" s="10"/>
      <c r="C144" s="10"/>
      <c r="D144" s="10"/>
      <c r="E144" s="10"/>
      <c r="F144" s="10"/>
      <c r="G144" s="10"/>
      <c r="H144" s="15" t="str">
        <f t="shared" si="0"/>
        <v/>
      </c>
      <c r="I144" s="16" t="str">
        <f t="shared" si="1"/>
        <v/>
      </c>
      <c r="J144" s="17"/>
      <c r="K144" s="17"/>
      <c r="L144" s="16">
        <f t="shared" si="2"/>
        <v>0</v>
      </c>
      <c r="M144" s="16">
        <f t="shared" si="3"/>
        <v>0</v>
      </c>
      <c r="N144" s="16">
        <f t="shared" si="4"/>
        <v>0</v>
      </c>
      <c r="O144" s="16">
        <f t="shared" si="5"/>
        <v>0</v>
      </c>
      <c r="P144" s="16">
        <f t="shared" si="6"/>
        <v>0</v>
      </c>
      <c r="Q144" s="16">
        <f t="shared" si="7"/>
        <v>0</v>
      </c>
    </row>
    <row r="145" ht="18.75" customHeight="1" spans="1:17">
      <c r="A145" s="10"/>
      <c r="B145" s="10"/>
      <c r="C145" s="10"/>
      <c r="D145" s="10"/>
      <c r="E145" s="10"/>
      <c r="F145" s="10"/>
      <c r="G145" s="10"/>
      <c r="H145" s="15" t="str">
        <f t="shared" si="0"/>
        <v/>
      </c>
      <c r="I145" s="16" t="str">
        <f t="shared" si="1"/>
        <v/>
      </c>
      <c r="J145" s="17"/>
      <c r="K145" s="17"/>
      <c r="L145" s="16">
        <f t="shared" si="2"/>
        <v>0</v>
      </c>
      <c r="M145" s="16">
        <f t="shared" si="3"/>
        <v>0</v>
      </c>
      <c r="N145" s="16">
        <f t="shared" si="4"/>
        <v>0</v>
      </c>
      <c r="O145" s="16">
        <f t="shared" si="5"/>
        <v>0</v>
      </c>
      <c r="P145" s="16">
        <f t="shared" si="6"/>
        <v>0</v>
      </c>
      <c r="Q145" s="16">
        <f t="shared" si="7"/>
        <v>0</v>
      </c>
    </row>
    <row r="146" ht="18.75" customHeight="1" spans="1:17">
      <c r="A146" s="10"/>
      <c r="B146" s="10"/>
      <c r="C146" s="10"/>
      <c r="D146" s="10"/>
      <c r="E146" s="10"/>
      <c r="F146" s="10"/>
      <c r="G146" s="10"/>
      <c r="H146" s="15" t="str">
        <f t="shared" si="0"/>
        <v/>
      </c>
      <c r="I146" s="16" t="str">
        <f t="shared" si="1"/>
        <v/>
      </c>
      <c r="J146" s="17"/>
      <c r="K146" s="17"/>
      <c r="L146" s="16">
        <f t="shared" si="2"/>
        <v>0</v>
      </c>
      <c r="M146" s="16">
        <f t="shared" si="3"/>
        <v>0</v>
      </c>
      <c r="N146" s="16">
        <f t="shared" si="4"/>
        <v>0</v>
      </c>
      <c r="O146" s="16">
        <f t="shared" si="5"/>
        <v>0</v>
      </c>
      <c r="P146" s="16">
        <f t="shared" si="6"/>
        <v>0</v>
      </c>
      <c r="Q146" s="16">
        <f t="shared" si="7"/>
        <v>0</v>
      </c>
    </row>
    <row r="147" ht="18.75" customHeight="1" spans="1:17">
      <c r="A147" s="10"/>
      <c r="B147" s="10"/>
      <c r="C147" s="10"/>
      <c r="D147" s="10"/>
      <c r="E147" s="10"/>
      <c r="F147" s="10"/>
      <c r="G147" s="10"/>
      <c r="H147" s="15" t="str">
        <f t="shared" si="0"/>
        <v/>
      </c>
      <c r="I147" s="16" t="str">
        <f t="shared" si="1"/>
        <v/>
      </c>
      <c r="J147" s="17"/>
      <c r="K147" s="17"/>
      <c r="L147" s="16">
        <f t="shared" si="2"/>
        <v>0</v>
      </c>
      <c r="M147" s="16">
        <f t="shared" si="3"/>
        <v>0</v>
      </c>
      <c r="N147" s="16">
        <f t="shared" si="4"/>
        <v>0</v>
      </c>
      <c r="O147" s="16">
        <f t="shared" si="5"/>
        <v>0</v>
      </c>
      <c r="P147" s="16">
        <f t="shared" si="6"/>
        <v>0</v>
      </c>
      <c r="Q147" s="16">
        <f t="shared" si="7"/>
        <v>0</v>
      </c>
    </row>
    <row r="148" ht="18.75" customHeight="1" spans="1:17">
      <c r="A148" s="10"/>
      <c r="B148" s="10"/>
      <c r="C148" s="10"/>
      <c r="D148" s="10"/>
      <c r="E148" s="10"/>
      <c r="F148" s="10"/>
      <c r="G148" s="10"/>
      <c r="H148" s="15" t="str">
        <f t="shared" si="0"/>
        <v/>
      </c>
      <c r="I148" s="16" t="str">
        <f t="shared" si="1"/>
        <v/>
      </c>
      <c r="J148" s="17"/>
      <c r="K148" s="17"/>
      <c r="L148" s="16">
        <f t="shared" si="2"/>
        <v>0</v>
      </c>
      <c r="M148" s="16">
        <f t="shared" si="3"/>
        <v>0</v>
      </c>
      <c r="N148" s="16">
        <f t="shared" si="4"/>
        <v>0</v>
      </c>
      <c r="O148" s="16">
        <f t="shared" si="5"/>
        <v>0</v>
      </c>
      <c r="P148" s="16">
        <f t="shared" si="6"/>
        <v>0</v>
      </c>
      <c r="Q148" s="16">
        <f t="shared" si="7"/>
        <v>0</v>
      </c>
    </row>
    <row r="149" ht="18.75" customHeight="1" spans="1:17">
      <c r="A149" s="10"/>
      <c r="B149" s="10"/>
      <c r="C149" s="10"/>
      <c r="D149" s="10"/>
      <c r="E149" s="10"/>
      <c r="F149" s="10"/>
      <c r="G149" s="10"/>
      <c r="H149" s="15" t="str">
        <f t="shared" si="0"/>
        <v/>
      </c>
      <c r="I149" s="16" t="str">
        <f t="shared" si="1"/>
        <v/>
      </c>
      <c r="J149" s="17"/>
      <c r="K149" s="17"/>
      <c r="L149" s="16">
        <f t="shared" si="2"/>
        <v>0</v>
      </c>
      <c r="M149" s="16">
        <f t="shared" si="3"/>
        <v>0</v>
      </c>
      <c r="N149" s="16">
        <f t="shared" si="4"/>
        <v>0</v>
      </c>
      <c r="O149" s="16">
        <f t="shared" si="5"/>
        <v>0</v>
      </c>
      <c r="P149" s="16">
        <f t="shared" si="6"/>
        <v>0</v>
      </c>
      <c r="Q149" s="16">
        <f t="shared" si="7"/>
        <v>0</v>
      </c>
    </row>
    <row r="150" ht="18.75" customHeight="1" spans="1:17">
      <c r="A150" s="10"/>
      <c r="B150" s="10"/>
      <c r="C150" s="10"/>
      <c r="D150" s="10"/>
      <c r="E150" s="10"/>
      <c r="F150" s="10"/>
      <c r="G150" s="10"/>
      <c r="H150" s="15" t="str">
        <f t="shared" si="0"/>
        <v/>
      </c>
      <c r="I150" s="16" t="str">
        <f t="shared" si="1"/>
        <v/>
      </c>
      <c r="J150" s="17"/>
      <c r="K150" s="17"/>
      <c r="L150" s="16">
        <f t="shared" si="2"/>
        <v>0</v>
      </c>
      <c r="M150" s="16">
        <f t="shared" si="3"/>
        <v>0</v>
      </c>
      <c r="N150" s="16">
        <f t="shared" si="4"/>
        <v>0</v>
      </c>
      <c r="O150" s="16">
        <f t="shared" si="5"/>
        <v>0</v>
      </c>
      <c r="P150" s="16">
        <f t="shared" si="6"/>
        <v>0</v>
      </c>
      <c r="Q150" s="16">
        <f t="shared" si="7"/>
        <v>0</v>
      </c>
    </row>
    <row r="151" ht="18.75" customHeight="1" spans="1:17">
      <c r="A151" s="10"/>
      <c r="B151" s="10"/>
      <c r="C151" s="10"/>
      <c r="D151" s="10"/>
      <c r="E151" s="10"/>
      <c r="F151" s="10"/>
      <c r="G151" s="10"/>
      <c r="H151" s="15" t="str">
        <f t="shared" si="0"/>
        <v/>
      </c>
      <c r="I151" s="16" t="str">
        <f t="shared" si="1"/>
        <v/>
      </c>
      <c r="J151" s="17"/>
      <c r="K151" s="17"/>
      <c r="L151" s="16">
        <f t="shared" si="2"/>
        <v>0</v>
      </c>
      <c r="M151" s="16">
        <f t="shared" si="3"/>
        <v>0</v>
      </c>
      <c r="N151" s="16">
        <f t="shared" si="4"/>
        <v>0</v>
      </c>
      <c r="O151" s="16">
        <f t="shared" si="5"/>
        <v>0</v>
      </c>
      <c r="P151" s="16">
        <f t="shared" si="6"/>
        <v>0</v>
      </c>
      <c r="Q151" s="16">
        <f t="shared" si="7"/>
        <v>0</v>
      </c>
    </row>
    <row r="152" ht="18.75" customHeight="1" spans="1:17">
      <c r="A152" s="10"/>
      <c r="B152" s="10"/>
      <c r="C152" s="10"/>
      <c r="D152" s="10"/>
      <c r="E152" s="10"/>
      <c r="F152" s="10"/>
      <c r="G152" s="10"/>
      <c r="H152" s="15" t="str">
        <f t="shared" si="0"/>
        <v/>
      </c>
      <c r="I152" s="16" t="str">
        <f t="shared" si="1"/>
        <v/>
      </c>
      <c r="J152" s="17"/>
      <c r="K152" s="17"/>
      <c r="L152" s="16">
        <f t="shared" si="2"/>
        <v>0</v>
      </c>
      <c r="M152" s="16">
        <f t="shared" si="3"/>
        <v>0</v>
      </c>
      <c r="N152" s="16">
        <f t="shared" si="4"/>
        <v>0</v>
      </c>
      <c r="O152" s="16">
        <f t="shared" si="5"/>
        <v>0</v>
      </c>
      <c r="P152" s="16">
        <f t="shared" si="6"/>
        <v>0</v>
      </c>
      <c r="Q152" s="16">
        <f t="shared" si="7"/>
        <v>0</v>
      </c>
    </row>
    <row r="153" ht="18.75" customHeight="1" spans="1:17">
      <c r="A153" s="10"/>
      <c r="B153" s="10"/>
      <c r="C153" s="10"/>
      <c r="D153" s="10"/>
      <c r="E153" s="10"/>
      <c r="F153" s="10"/>
      <c r="G153" s="10"/>
      <c r="H153" s="15" t="str">
        <f t="shared" si="0"/>
        <v/>
      </c>
      <c r="I153" s="16" t="str">
        <f t="shared" si="1"/>
        <v/>
      </c>
      <c r="J153" s="17"/>
      <c r="K153" s="17"/>
      <c r="L153" s="16">
        <f t="shared" si="2"/>
        <v>0</v>
      </c>
      <c r="M153" s="16">
        <f t="shared" si="3"/>
        <v>0</v>
      </c>
      <c r="N153" s="16">
        <f t="shared" si="4"/>
        <v>0</v>
      </c>
      <c r="O153" s="16">
        <f t="shared" si="5"/>
        <v>0</v>
      </c>
      <c r="P153" s="16">
        <f t="shared" si="6"/>
        <v>0</v>
      </c>
      <c r="Q153" s="16">
        <f t="shared" si="7"/>
        <v>0</v>
      </c>
    </row>
    <row r="154" ht="18.75" customHeight="1" spans="1:17">
      <c r="A154" s="10"/>
      <c r="B154" s="10"/>
      <c r="C154" s="10"/>
      <c r="D154" s="10"/>
      <c r="E154" s="10"/>
      <c r="F154" s="10"/>
      <c r="G154" s="10"/>
      <c r="H154" s="15" t="str">
        <f t="shared" si="0"/>
        <v/>
      </c>
      <c r="I154" s="16" t="str">
        <f t="shared" si="1"/>
        <v/>
      </c>
      <c r="J154" s="17"/>
      <c r="K154" s="17"/>
      <c r="L154" s="16">
        <f t="shared" si="2"/>
        <v>0</v>
      </c>
      <c r="M154" s="16">
        <f t="shared" si="3"/>
        <v>0</v>
      </c>
      <c r="N154" s="16">
        <f t="shared" si="4"/>
        <v>0</v>
      </c>
      <c r="O154" s="16">
        <f t="shared" si="5"/>
        <v>0</v>
      </c>
      <c r="P154" s="16">
        <f t="shared" si="6"/>
        <v>0</v>
      </c>
      <c r="Q154" s="16">
        <f t="shared" si="7"/>
        <v>0</v>
      </c>
    </row>
    <row r="155" ht="18.75" customHeight="1" spans="1:17">
      <c r="A155" s="10"/>
      <c r="B155" s="10"/>
      <c r="C155" s="10"/>
      <c r="D155" s="10"/>
      <c r="E155" s="10"/>
      <c r="F155" s="10"/>
      <c r="G155" s="10"/>
      <c r="H155" s="15" t="str">
        <f t="shared" ref="H155:H210" si="8">IFERROR(VLOOKUP($B155,$A$25:$N$54,7,FALSE),"")</f>
        <v/>
      </c>
      <c r="I155" s="16" t="str">
        <f t="shared" ref="I155:I210" si="9">IF($H155="Minor",1,IF($H155="Moderate",2,IF($H155="Major",3,IF($H155="Critical",4,""))))</f>
        <v/>
      </c>
      <c r="J155" s="17"/>
      <c r="K155" s="17"/>
      <c r="L155" s="16">
        <f t="shared" ref="L155:L210" si="10">IF(OR($G155="Exact TP",$G155="Equivalent TP"),1,0)</f>
        <v>0</v>
      </c>
      <c r="M155" s="16">
        <f t="shared" ref="M155:M210" si="11">IF(OR($G155="FP Extra",$G155="Harmful FP"),1,0)</f>
        <v>0</v>
      </c>
      <c r="N155" s="16">
        <f t="shared" ref="N155:N210" si="12">IF(OR($G155="FN",$G155="Partial"),1,0)</f>
        <v>0</v>
      </c>
      <c r="O155" s="16">
        <f t="shared" ref="O155:O210" si="13">IF($L155=1,$I155,0)</f>
        <v>0</v>
      </c>
      <c r="P155" s="16">
        <f t="shared" ref="P155:P210" si="14">IF($M155=1,$I155,0)</f>
        <v>0</v>
      </c>
      <c r="Q155" s="16">
        <f t="shared" ref="Q155:Q210" si="15">IF($N155=1,$I155,0)</f>
        <v>0</v>
      </c>
    </row>
    <row r="156" ht="18.75" customHeight="1" spans="1:17">
      <c r="A156" s="10"/>
      <c r="B156" s="10"/>
      <c r="C156" s="10"/>
      <c r="D156" s="10"/>
      <c r="E156" s="10"/>
      <c r="F156" s="10"/>
      <c r="G156" s="10"/>
      <c r="H156" s="15" t="str">
        <f t="shared" si="8"/>
        <v/>
      </c>
      <c r="I156" s="16" t="str">
        <f t="shared" si="9"/>
        <v/>
      </c>
      <c r="J156" s="17"/>
      <c r="K156" s="17"/>
      <c r="L156" s="16">
        <f t="shared" si="10"/>
        <v>0</v>
      </c>
      <c r="M156" s="16">
        <f t="shared" si="11"/>
        <v>0</v>
      </c>
      <c r="N156" s="16">
        <f t="shared" si="12"/>
        <v>0</v>
      </c>
      <c r="O156" s="16">
        <f t="shared" si="13"/>
        <v>0</v>
      </c>
      <c r="P156" s="16">
        <f t="shared" si="14"/>
        <v>0</v>
      </c>
      <c r="Q156" s="16">
        <f t="shared" si="15"/>
        <v>0</v>
      </c>
    </row>
    <row r="157" ht="18.75" customHeight="1" spans="1:17">
      <c r="A157" s="10"/>
      <c r="B157" s="10"/>
      <c r="C157" s="10"/>
      <c r="D157" s="10"/>
      <c r="E157" s="10"/>
      <c r="F157" s="10"/>
      <c r="G157" s="10"/>
      <c r="H157" s="15" t="str">
        <f t="shared" si="8"/>
        <v/>
      </c>
      <c r="I157" s="16" t="str">
        <f t="shared" si="9"/>
        <v/>
      </c>
      <c r="J157" s="17"/>
      <c r="K157" s="17"/>
      <c r="L157" s="16">
        <f t="shared" si="10"/>
        <v>0</v>
      </c>
      <c r="M157" s="16">
        <f t="shared" si="11"/>
        <v>0</v>
      </c>
      <c r="N157" s="16">
        <f t="shared" si="12"/>
        <v>0</v>
      </c>
      <c r="O157" s="16">
        <f t="shared" si="13"/>
        <v>0</v>
      </c>
      <c r="P157" s="16">
        <f t="shared" si="14"/>
        <v>0</v>
      </c>
      <c r="Q157" s="16">
        <f t="shared" si="15"/>
        <v>0</v>
      </c>
    </row>
    <row r="158" ht="18.75" customHeight="1" spans="1:17">
      <c r="A158" s="10"/>
      <c r="B158" s="10"/>
      <c r="C158" s="10"/>
      <c r="D158" s="10"/>
      <c r="E158" s="10"/>
      <c r="F158" s="10"/>
      <c r="G158" s="10"/>
      <c r="H158" s="15" t="str">
        <f t="shared" si="8"/>
        <v/>
      </c>
      <c r="I158" s="16" t="str">
        <f t="shared" si="9"/>
        <v/>
      </c>
      <c r="J158" s="17"/>
      <c r="K158" s="17"/>
      <c r="L158" s="16">
        <f t="shared" si="10"/>
        <v>0</v>
      </c>
      <c r="M158" s="16">
        <f t="shared" si="11"/>
        <v>0</v>
      </c>
      <c r="N158" s="16">
        <f t="shared" si="12"/>
        <v>0</v>
      </c>
      <c r="O158" s="16">
        <f t="shared" si="13"/>
        <v>0</v>
      </c>
      <c r="P158" s="16">
        <f t="shared" si="14"/>
        <v>0</v>
      </c>
      <c r="Q158" s="16">
        <f t="shared" si="15"/>
        <v>0</v>
      </c>
    </row>
    <row r="159" ht="18.75" customHeight="1" spans="1:17">
      <c r="A159" s="10"/>
      <c r="B159" s="10"/>
      <c r="C159" s="10"/>
      <c r="D159" s="10"/>
      <c r="E159" s="10"/>
      <c r="F159" s="10"/>
      <c r="G159" s="10"/>
      <c r="H159" s="15" t="str">
        <f t="shared" si="8"/>
        <v/>
      </c>
      <c r="I159" s="16" t="str">
        <f t="shared" si="9"/>
        <v/>
      </c>
      <c r="J159" s="17"/>
      <c r="K159" s="17"/>
      <c r="L159" s="16">
        <f t="shared" si="10"/>
        <v>0</v>
      </c>
      <c r="M159" s="16">
        <f t="shared" si="11"/>
        <v>0</v>
      </c>
      <c r="N159" s="16">
        <f t="shared" si="12"/>
        <v>0</v>
      </c>
      <c r="O159" s="16">
        <f t="shared" si="13"/>
        <v>0</v>
      </c>
      <c r="P159" s="16">
        <f t="shared" si="14"/>
        <v>0</v>
      </c>
      <c r="Q159" s="16">
        <f t="shared" si="15"/>
        <v>0</v>
      </c>
    </row>
    <row r="160" ht="18.75" customHeight="1" spans="1:17">
      <c r="A160" s="10"/>
      <c r="B160" s="10"/>
      <c r="C160" s="10"/>
      <c r="D160" s="10"/>
      <c r="E160" s="10"/>
      <c r="F160" s="10"/>
      <c r="G160" s="10"/>
      <c r="H160" s="15" t="str">
        <f t="shared" si="8"/>
        <v/>
      </c>
      <c r="I160" s="16" t="str">
        <f t="shared" si="9"/>
        <v/>
      </c>
      <c r="J160" s="17"/>
      <c r="K160" s="17"/>
      <c r="L160" s="16">
        <f t="shared" si="10"/>
        <v>0</v>
      </c>
      <c r="M160" s="16">
        <f t="shared" si="11"/>
        <v>0</v>
      </c>
      <c r="N160" s="16">
        <f t="shared" si="12"/>
        <v>0</v>
      </c>
      <c r="O160" s="16">
        <f t="shared" si="13"/>
        <v>0</v>
      </c>
      <c r="P160" s="16">
        <f t="shared" si="14"/>
        <v>0</v>
      </c>
      <c r="Q160" s="16">
        <f t="shared" si="15"/>
        <v>0</v>
      </c>
    </row>
    <row r="161" ht="18.75" customHeight="1" spans="1:17">
      <c r="A161" s="10"/>
      <c r="B161" s="10"/>
      <c r="C161" s="10"/>
      <c r="D161" s="10"/>
      <c r="E161" s="10"/>
      <c r="F161" s="10"/>
      <c r="G161" s="10"/>
      <c r="H161" s="15" t="str">
        <f t="shared" si="8"/>
        <v/>
      </c>
      <c r="I161" s="16" t="str">
        <f t="shared" si="9"/>
        <v/>
      </c>
      <c r="J161" s="17"/>
      <c r="K161" s="17"/>
      <c r="L161" s="16">
        <f t="shared" si="10"/>
        <v>0</v>
      </c>
      <c r="M161" s="16">
        <f t="shared" si="11"/>
        <v>0</v>
      </c>
      <c r="N161" s="16">
        <f t="shared" si="12"/>
        <v>0</v>
      </c>
      <c r="O161" s="16">
        <f t="shared" si="13"/>
        <v>0</v>
      </c>
      <c r="P161" s="16">
        <f t="shared" si="14"/>
        <v>0</v>
      </c>
      <c r="Q161" s="16">
        <f t="shared" si="15"/>
        <v>0</v>
      </c>
    </row>
    <row r="162" ht="18.75" customHeight="1" spans="1:17">
      <c r="A162" s="10"/>
      <c r="B162" s="10"/>
      <c r="C162" s="10"/>
      <c r="D162" s="10"/>
      <c r="E162" s="10"/>
      <c r="F162" s="10"/>
      <c r="G162" s="10"/>
      <c r="H162" s="15" t="str">
        <f t="shared" si="8"/>
        <v/>
      </c>
      <c r="I162" s="16" t="str">
        <f t="shared" si="9"/>
        <v/>
      </c>
      <c r="J162" s="17"/>
      <c r="K162" s="17"/>
      <c r="L162" s="16">
        <f t="shared" si="10"/>
        <v>0</v>
      </c>
      <c r="M162" s="16">
        <f t="shared" si="11"/>
        <v>0</v>
      </c>
      <c r="N162" s="16">
        <f t="shared" si="12"/>
        <v>0</v>
      </c>
      <c r="O162" s="16">
        <f t="shared" si="13"/>
        <v>0</v>
      </c>
      <c r="P162" s="16">
        <f t="shared" si="14"/>
        <v>0</v>
      </c>
      <c r="Q162" s="16">
        <f t="shared" si="15"/>
        <v>0</v>
      </c>
    </row>
    <row r="163" ht="18.75" customHeight="1" spans="1:17">
      <c r="A163" s="10"/>
      <c r="B163" s="10"/>
      <c r="C163" s="10"/>
      <c r="D163" s="10"/>
      <c r="E163" s="10"/>
      <c r="F163" s="10"/>
      <c r="G163" s="10"/>
      <c r="H163" s="15" t="str">
        <f t="shared" si="8"/>
        <v/>
      </c>
      <c r="I163" s="16" t="str">
        <f t="shared" si="9"/>
        <v/>
      </c>
      <c r="J163" s="17"/>
      <c r="K163" s="17"/>
      <c r="L163" s="16">
        <f t="shared" si="10"/>
        <v>0</v>
      </c>
      <c r="M163" s="16">
        <f t="shared" si="11"/>
        <v>0</v>
      </c>
      <c r="N163" s="16">
        <f t="shared" si="12"/>
        <v>0</v>
      </c>
      <c r="O163" s="16">
        <f t="shared" si="13"/>
        <v>0</v>
      </c>
      <c r="P163" s="16">
        <f t="shared" si="14"/>
        <v>0</v>
      </c>
      <c r="Q163" s="16">
        <f t="shared" si="15"/>
        <v>0</v>
      </c>
    </row>
    <row r="164" ht="18.75" customHeight="1" spans="1:17">
      <c r="A164" s="10"/>
      <c r="B164" s="10"/>
      <c r="C164" s="10"/>
      <c r="D164" s="10"/>
      <c r="E164" s="10"/>
      <c r="F164" s="10"/>
      <c r="G164" s="10"/>
      <c r="H164" s="15" t="str">
        <f t="shared" si="8"/>
        <v/>
      </c>
      <c r="I164" s="16" t="str">
        <f t="shared" si="9"/>
        <v/>
      </c>
      <c r="J164" s="17"/>
      <c r="K164" s="17"/>
      <c r="L164" s="16">
        <f t="shared" si="10"/>
        <v>0</v>
      </c>
      <c r="M164" s="16">
        <f t="shared" si="11"/>
        <v>0</v>
      </c>
      <c r="N164" s="16">
        <f t="shared" si="12"/>
        <v>0</v>
      </c>
      <c r="O164" s="16">
        <f t="shared" si="13"/>
        <v>0</v>
      </c>
      <c r="P164" s="16">
        <f t="shared" si="14"/>
        <v>0</v>
      </c>
      <c r="Q164" s="16">
        <f t="shared" si="15"/>
        <v>0</v>
      </c>
    </row>
    <row r="165" ht="18.75" customHeight="1" spans="1:17">
      <c r="A165" s="10"/>
      <c r="B165" s="10"/>
      <c r="C165" s="10"/>
      <c r="D165" s="10"/>
      <c r="E165" s="10"/>
      <c r="F165" s="10"/>
      <c r="G165" s="10"/>
      <c r="H165" s="15" t="str">
        <f t="shared" si="8"/>
        <v/>
      </c>
      <c r="I165" s="16" t="str">
        <f t="shared" si="9"/>
        <v/>
      </c>
      <c r="J165" s="17"/>
      <c r="K165" s="17"/>
      <c r="L165" s="16">
        <f t="shared" si="10"/>
        <v>0</v>
      </c>
      <c r="M165" s="16">
        <f t="shared" si="11"/>
        <v>0</v>
      </c>
      <c r="N165" s="16">
        <f t="shared" si="12"/>
        <v>0</v>
      </c>
      <c r="O165" s="16">
        <f t="shared" si="13"/>
        <v>0</v>
      </c>
      <c r="P165" s="16">
        <f t="shared" si="14"/>
        <v>0</v>
      </c>
      <c r="Q165" s="16">
        <f t="shared" si="15"/>
        <v>0</v>
      </c>
    </row>
    <row r="166" ht="18.75" customHeight="1" spans="1:17">
      <c r="A166" s="10"/>
      <c r="B166" s="10"/>
      <c r="C166" s="10"/>
      <c r="D166" s="10"/>
      <c r="E166" s="10"/>
      <c r="F166" s="10"/>
      <c r="G166" s="10"/>
      <c r="H166" s="15" t="str">
        <f t="shared" si="8"/>
        <v/>
      </c>
      <c r="I166" s="16" t="str">
        <f t="shared" si="9"/>
        <v/>
      </c>
      <c r="J166" s="17"/>
      <c r="K166" s="17"/>
      <c r="L166" s="16">
        <f t="shared" si="10"/>
        <v>0</v>
      </c>
      <c r="M166" s="16">
        <f t="shared" si="11"/>
        <v>0</v>
      </c>
      <c r="N166" s="16">
        <f t="shared" si="12"/>
        <v>0</v>
      </c>
      <c r="O166" s="16">
        <f t="shared" si="13"/>
        <v>0</v>
      </c>
      <c r="P166" s="16">
        <f t="shared" si="14"/>
        <v>0</v>
      </c>
      <c r="Q166" s="16">
        <f t="shared" si="15"/>
        <v>0</v>
      </c>
    </row>
    <row r="167" ht="18.75" customHeight="1" spans="1:17">
      <c r="A167" s="10"/>
      <c r="B167" s="10"/>
      <c r="C167" s="10"/>
      <c r="D167" s="10"/>
      <c r="E167" s="10"/>
      <c r="F167" s="10"/>
      <c r="G167" s="10"/>
      <c r="H167" s="15" t="str">
        <f t="shared" si="8"/>
        <v/>
      </c>
      <c r="I167" s="16" t="str">
        <f t="shared" si="9"/>
        <v/>
      </c>
      <c r="J167" s="17"/>
      <c r="K167" s="17"/>
      <c r="L167" s="16">
        <f t="shared" si="10"/>
        <v>0</v>
      </c>
      <c r="M167" s="16">
        <f t="shared" si="11"/>
        <v>0</v>
      </c>
      <c r="N167" s="16">
        <f t="shared" si="12"/>
        <v>0</v>
      </c>
      <c r="O167" s="16">
        <f t="shared" si="13"/>
        <v>0</v>
      </c>
      <c r="P167" s="16">
        <f t="shared" si="14"/>
        <v>0</v>
      </c>
      <c r="Q167" s="16">
        <f t="shared" si="15"/>
        <v>0</v>
      </c>
    </row>
    <row r="168" ht="18.75" customHeight="1" spans="1:17">
      <c r="A168" s="10"/>
      <c r="B168" s="10"/>
      <c r="C168" s="10"/>
      <c r="D168" s="10"/>
      <c r="E168" s="10"/>
      <c r="F168" s="10"/>
      <c r="G168" s="10"/>
      <c r="H168" s="15" t="str">
        <f t="shared" si="8"/>
        <v/>
      </c>
      <c r="I168" s="16" t="str">
        <f t="shared" si="9"/>
        <v/>
      </c>
      <c r="J168" s="17"/>
      <c r="K168" s="17"/>
      <c r="L168" s="16">
        <f t="shared" si="10"/>
        <v>0</v>
      </c>
      <c r="M168" s="16">
        <f t="shared" si="11"/>
        <v>0</v>
      </c>
      <c r="N168" s="16">
        <f t="shared" si="12"/>
        <v>0</v>
      </c>
      <c r="O168" s="16">
        <f t="shared" si="13"/>
        <v>0</v>
      </c>
      <c r="P168" s="16">
        <f t="shared" si="14"/>
        <v>0</v>
      </c>
      <c r="Q168" s="16">
        <f t="shared" si="15"/>
        <v>0</v>
      </c>
    </row>
    <row r="169" ht="18.75" customHeight="1" spans="1:17">
      <c r="A169" s="10"/>
      <c r="B169" s="10"/>
      <c r="C169" s="10"/>
      <c r="D169" s="10"/>
      <c r="E169" s="10"/>
      <c r="F169" s="10"/>
      <c r="G169" s="10"/>
      <c r="H169" s="15" t="str">
        <f t="shared" si="8"/>
        <v/>
      </c>
      <c r="I169" s="16" t="str">
        <f t="shared" si="9"/>
        <v/>
      </c>
      <c r="J169" s="17"/>
      <c r="K169" s="17"/>
      <c r="L169" s="16">
        <f t="shared" si="10"/>
        <v>0</v>
      </c>
      <c r="M169" s="16">
        <f t="shared" si="11"/>
        <v>0</v>
      </c>
      <c r="N169" s="16">
        <f t="shared" si="12"/>
        <v>0</v>
      </c>
      <c r="O169" s="16">
        <f t="shared" si="13"/>
        <v>0</v>
      </c>
      <c r="P169" s="16">
        <f t="shared" si="14"/>
        <v>0</v>
      </c>
      <c r="Q169" s="16">
        <f t="shared" si="15"/>
        <v>0</v>
      </c>
    </row>
    <row r="170" ht="18.75" customHeight="1" spans="1:17">
      <c r="A170" s="10"/>
      <c r="B170" s="10"/>
      <c r="C170" s="10"/>
      <c r="D170" s="10"/>
      <c r="E170" s="10"/>
      <c r="F170" s="10"/>
      <c r="G170" s="10"/>
      <c r="H170" s="15" t="str">
        <f t="shared" si="8"/>
        <v/>
      </c>
      <c r="I170" s="16" t="str">
        <f t="shared" si="9"/>
        <v/>
      </c>
      <c r="J170" s="17"/>
      <c r="K170" s="17"/>
      <c r="L170" s="16">
        <f t="shared" si="10"/>
        <v>0</v>
      </c>
      <c r="M170" s="16">
        <f t="shared" si="11"/>
        <v>0</v>
      </c>
      <c r="N170" s="16">
        <f t="shared" si="12"/>
        <v>0</v>
      </c>
      <c r="O170" s="16">
        <f t="shared" si="13"/>
        <v>0</v>
      </c>
      <c r="P170" s="16">
        <f t="shared" si="14"/>
        <v>0</v>
      </c>
      <c r="Q170" s="16">
        <f t="shared" si="15"/>
        <v>0</v>
      </c>
    </row>
    <row r="171" ht="18.75" customHeight="1" spans="1:17">
      <c r="A171" s="10"/>
      <c r="B171" s="10"/>
      <c r="C171" s="10"/>
      <c r="D171" s="10"/>
      <c r="E171" s="10"/>
      <c r="F171" s="10"/>
      <c r="G171" s="10"/>
      <c r="H171" s="15" t="str">
        <f t="shared" si="8"/>
        <v/>
      </c>
      <c r="I171" s="16" t="str">
        <f t="shared" si="9"/>
        <v/>
      </c>
      <c r="J171" s="17"/>
      <c r="K171" s="17"/>
      <c r="L171" s="16">
        <f t="shared" si="10"/>
        <v>0</v>
      </c>
      <c r="M171" s="16">
        <f t="shared" si="11"/>
        <v>0</v>
      </c>
      <c r="N171" s="16">
        <f t="shared" si="12"/>
        <v>0</v>
      </c>
      <c r="O171" s="16">
        <f t="shared" si="13"/>
        <v>0</v>
      </c>
      <c r="P171" s="16">
        <f t="shared" si="14"/>
        <v>0</v>
      </c>
      <c r="Q171" s="16">
        <f t="shared" si="15"/>
        <v>0</v>
      </c>
    </row>
    <row r="172" ht="18.75" customHeight="1" spans="1:17">
      <c r="A172" s="10"/>
      <c r="B172" s="10"/>
      <c r="C172" s="10"/>
      <c r="D172" s="10"/>
      <c r="E172" s="10"/>
      <c r="F172" s="10"/>
      <c r="G172" s="10"/>
      <c r="H172" s="15" t="str">
        <f t="shared" si="8"/>
        <v/>
      </c>
      <c r="I172" s="16" t="str">
        <f t="shared" si="9"/>
        <v/>
      </c>
      <c r="J172" s="17"/>
      <c r="K172" s="17"/>
      <c r="L172" s="16">
        <f t="shared" si="10"/>
        <v>0</v>
      </c>
      <c r="M172" s="16">
        <f t="shared" si="11"/>
        <v>0</v>
      </c>
      <c r="N172" s="16">
        <f t="shared" si="12"/>
        <v>0</v>
      </c>
      <c r="O172" s="16">
        <f t="shared" si="13"/>
        <v>0</v>
      </c>
      <c r="P172" s="16">
        <f t="shared" si="14"/>
        <v>0</v>
      </c>
      <c r="Q172" s="16">
        <f t="shared" si="15"/>
        <v>0</v>
      </c>
    </row>
    <row r="173" ht="18.75" customHeight="1" spans="1:17">
      <c r="A173" s="10"/>
      <c r="B173" s="10"/>
      <c r="C173" s="10"/>
      <c r="D173" s="10"/>
      <c r="E173" s="10"/>
      <c r="F173" s="10"/>
      <c r="G173" s="10"/>
      <c r="H173" s="15" t="str">
        <f t="shared" si="8"/>
        <v/>
      </c>
      <c r="I173" s="16" t="str">
        <f t="shared" si="9"/>
        <v/>
      </c>
      <c r="J173" s="17"/>
      <c r="K173" s="17"/>
      <c r="L173" s="16">
        <f t="shared" si="10"/>
        <v>0</v>
      </c>
      <c r="M173" s="16">
        <f t="shared" si="11"/>
        <v>0</v>
      </c>
      <c r="N173" s="16">
        <f t="shared" si="12"/>
        <v>0</v>
      </c>
      <c r="O173" s="16">
        <f t="shared" si="13"/>
        <v>0</v>
      </c>
      <c r="P173" s="16">
        <f t="shared" si="14"/>
        <v>0</v>
      </c>
      <c r="Q173" s="16">
        <f t="shared" si="15"/>
        <v>0</v>
      </c>
    </row>
    <row r="174" ht="18.75" customHeight="1" spans="1:17">
      <c r="A174" s="10"/>
      <c r="B174" s="10"/>
      <c r="C174" s="10"/>
      <c r="D174" s="10"/>
      <c r="E174" s="10"/>
      <c r="F174" s="10"/>
      <c r="G174" s="10"/>
      <c r="H174" s="15" t="str">
        <f t="shared" si="8"/>
        <v/>
      </c>
      <c r="I174" s="16" t="str">
        <f t="shared" si="9"/>
        <v/>
      </c>
      <c r="J174" s="17"/>
      <c r="K174" s="17"/>
      <c r="L174" s="16">
        <f t="shared" si="10"/>
        <v>0</v>
      </c>
      <c r="M174" s="16">
        <f t="shared" si="11"/>
        <v>0</v>
      </c>
      <c r="N174" s="16">
        <f t="shared" si="12"/>
        <v>0</v>
      </c>
      <c r="O174" s="16">
        <f t="shared" si="13"/>
        <v>0</v>
      </c>
      <c r="P174" s="16">
        <f t="shared" si="14"/>
        <v>0</v>
      </c>
      <c r="Q174" s="16">
        <f t="shared" si="15"/>
        <v>0</v>
      </c>
    </row>
    <row r="175" ht="18.75" customHeight="1" spans="1:17">
      <c r="A175" s="10"/>
      <c r="B175" s="10"/>
      <c r="C175" s="10"/>
      <c r="D175" s="10"/>
      <c r="E175" s="10"/>
      <c r="F175" s="10"/>
      <c r="G175" s="10"/>
      <c r="H175" s="15" t="str">
        <f t="shared" si="8"/>
        <v/>
      </c>
      <c r="I175" s="16" t="str">
        <f t="shared" si="9"/>
        <v/>
      </c>
      <c r="J175" s="17"/>
      <c r="K175" s="17"/>
      <c r="L175" s="16">
        <f t="shared" si="10"/>
        <v>0</v>
      </c>
      <c r="M175" s="16">
        <f t="shared" si="11"/>
        <v>0</v>
      </c>
      <c r="N175" s="16">
        <f t="shared" si="12"/>
        <v>0</v>
      </c>
      <c r="O175" s="16">
        <f t="shared" si="13"/>
        <v>0</v>
      </c>
      <c r="P175" s="16">
        <f t="shared" si="14"/>
        <v>0</v>
      </c>
      <c r="Q175" s="16">
        <f t="shared" si="15"/>
        <v>0</v>
      </c>
    </row>
    <row r="176" ht="18.75" customHeight="1" spans="1:17">
      <c r="A176" s="10"/>
      <c r="B176" s="10"/>
      <c r="C176" s="10"/>
      <c r="D176" s="10"/>
      <c r="E176" s="10"/>
      <c r="F176" s="10"/>
      <c r="G176" s="10"/>
      <c r="H176" s="15" t="str">
        <f t="shared" si="8"/>
        <v/>
      </c>
      <c r="I176" s="16" t="str">
        <f t="shared" si="9"/>
        <v/>
      </c>
      <c r="J176" s="17"/>
      <c r="K176" s="17"/>
      <c r="L176" s="16">
        <f t="shared" si="10"/>
        <v>0</v>
      </c>
      <c r="M176" s="16">
        <f t="shared" si="11"/>
        <v>0</v>
      </c>
      <c r="N176" s="16">
        <f t="shared" si="12"/>
        <v>0</v>
      </c>
      <c r="O176" s="16">
        <f t="shared" si="13"/>
        <v>0</v>
      </c>
      <c r="P176" s="16">
        <f t="shared" si="14"/>
        <v>0</v>
      </c>
      <c r="Q176" s="16">
        <f t="shared" si="15"/>
        <v>0</v>
      </c>
    </row>
    <row r="177" ht="18.75" customHeight="1" spans="1:17">
      <c r="A177" s="10"/>
      <c r="B177" s="10"/>
      <c r="C177" s="10"/>
      <c r="D177" s="10"/>
      <c r="E177" s="10"/>
      <c r="F177" s="10"/>
      <c r="G177" s="10"/>
      <c r="H177" s="15" t="str">
        <f t="shared" si="8"/>
        <v/>
      </c>
      <c r="I177" s="16" t="str">
        <f t="shared" si="9"/>
        <v/>
      </c>
      <c r="J177" s="17"/>
      <c r="K177" s="17"/>
      <c r="L177" s="16">
        <f t="shared" si="10"/>
        <v>0</v>
      </c>
      <c r="M177" s="16">
        <f t="shared" si="11"/>
        <v>0</v>
      </c>
      <c r="N177" s="16">
        <f t="shared" si="12"/>
        <v>0</v>
      </c>
      <c r="O177" s="16">
        <f t="shared" si="13"/>
        <v>0</v>
      </c>
      <c r="P177" s="16">
        <f t="shared" si="14"/>
        <v>0</v>
      </c>
      <c r="Q177" s="16">
        <f t="shared" si="15"/>
        <v>0</v>
      </c>
    </row>
    <row r="178" ht="18.75" customHeight="1" spans="1:17">
      <c r="A178" s="10"/>
      <c r="B178" s="10"/>
      <c r="C178" s="10"/>
      <c r="D178" s="10"/>
      <c r="E178" s="10"/>
      <c r="F178" s="10"/>
      <c r="G178" s="10"/>
      <c r="H178" s="15" t="str">
        <f t="shared" si="8"/>
        <v/>
      </c>
      <c r="I178" s="16" t="str">
        <f t="shared" si="9"/>
        <v/>
      </c>
      <c r="J178" s="17"/>
      <c r="K178" s="17"/>
      <c r="L178" s="16">
        <f t="shared" si="10"/>
        <v>0</v>
      </c>
      <c r="M178" s="16">
        <f t="shared" si="11"/>
        <v>0</v>
      </c>
      <c r="N178" s="16">
        <f t="shared" si="12"/>
        <v>0</v>
      </c>
      <c r="O178" s="16">
        <f t="shared" si="13"/>
        <v>0</v>
      </c>
      <c r="P178" s="16">
        <f t="shared" si="14"/>
        <v>0</v>
      </c>
      <c r="Q178" s="16">
        <f t="shared" si="15"/>
        <v>0</v>
      </c>
    </row>
    <row r="179" ht="18.75" customHeight="1" spans="1:17">
      <c r="A179" s="10"/>
      <c r="B179" s="10"/>
      <c r="C179" s="10"/>
      <c r="D179" s="10"/>
      <c r="E179" s="10"/>
      <c r="F179" s="10"/>
      <c r="G179" s="10"/>
      <c r="H179" s="15" t="str">
        <f t="shared" si="8"/>
        <v/>
      </c>
      <c r="I179" s="16" t="str">
        <f t="shared" si="9"/>
        <v/>
      </c>
      <c r="J179" s="17"/>
      <c r="K179" s="17"/>
      <c r="L179" s="16">
        <f t="shared" si="10"/>
        <v>0</v>
      </c>
      <c r="M179" s="16">
        <f t="shared" si="11"/>
        <v>0</v>
      </c>
      <c r="N179" s="16">
        <f t="shared" si="12"/>
        <v>0</v>
      </c>
      <c r="O179" s="16">
        <f t="shared" si="13"/>
        <v>0</v>
      </c>
      <c r="P179" s="16">
        <f t="shared" si="14"/>
        <v>0</v>
      </c>
      <c r="Q179" s="16">
        <f t="shared" si="15"/>
        <v>0</v>
      </c>
    </row>
    <row r="180" ht="18.75" customHeight="1" spans="1:17">
      <c r="A180" s="10"/>
      <c r="B180" s="10"/>
      <c r="C180" s="10"/>
      <c r="D180" s="10"/>
      <c r="E180" s="10"/>
      <c r="F180" s="10"/>
      <c r="G180" s="10"/>
      <c r="H180" s="15" t="str">
        <f t="shared" si="8"/>
        <v/>
      </c>
      <c r="I180" s="16" t="str">
        <f t="shared" si="9"/>
        <v/>
      </c>
      <c r="J180" s="17"/>
      <c r="K180" s="17"/>
      <c r="L180" s="16">
        <f t="shared" si="10"/>
        <v>0</v>
      </c>
      <c r="M180" s="16">
        <f t="shared" si="11"/>
        <v>0</v>
      </c>
      <c r="N180" s="16">
        <f t="shared" si="12"/>
        <v>0</v>
      </c>
      <c r="O180" s="16">
        <f t="shared" si="13"/>
        <v>0</v>
      </c>
      <c r="P180" s="16">
        <f t="shared" si="14"/>
        <v>0</v>
      </c>
      <c r="Q180" s="16">
        <f t="shared" si="15"/>
        <v>0</v>
      </c>
    </row>
    <row r="181" ht="18.75" customHeight="1" spans="1:17">
      <c r="A181" s="10"/>
      <c r="B181" s="10"/>
      <c r="C181" s="10"/>
      <c r="D181" s="10"/>
      <c r="E181" s="10"/>
      <c r="F181" s="10"/>
      <c r="G181" s="10"/>
      <c r="H181" s="15" t="str">
        <f t="shared" si="8"/>
        <v/>
      </c>
      <c r="I181" s="16" t="str">
        <f t="shared" si="9"/>
        <v/>
      </c>
      <c r="J181" s="17"/>
      <c r="K181" s="17"/>
      <c r="L181" s="16">
        <f t="shared" si="10"/>
        <v>0</v>
      </c>
      <c r="M181" s="16">
        <f t="shared" si="11"/>
        <v>0</v>
      </c>
      <c r="N181" s="16">
        <f t="shared" si="12"/>
        <v>0</v>
      </c>
      <c r="O181" s="16">
        <f t="shared" si="13"/>
        <v>0</v>
      </c>
      <c r="P181" s="16">
        <f t="shared" si="14"/>
        <v>0</v>
      </c>
      <c r="Q181" s="16">
        <f t="shared" si="15"/>
        <v>0</v>
      </c>
    </row>
    <row r="182" ht="18.75" customHeight="1" spans="1:17">
      <c r="A182" s="10"/>
      <c r="B182" s="10"/>
      <c r="C182" s="10"/>
      <c r="D182" s="10"/>
      <c r="E182" s="10"/>
      <c r="F182" s="10"/>
      <c r="G182" s="10"/>
      <c r="H182" s="15" t="str">
        <f t="shared" si="8"/>
        <v/>
      </c>
      <c r="I182" s="16" t="str">
        <f t="shared" si="9"/>
        <v/>
      </c>
      <c r="J182" s="17"/>
      <c r="K182" s="17"/>
      <c r="L182" s="16">
        <f t="shared" si="10"/>
        <v>0</v>
      </c>
      <c r="M182" s="16">
        <f t="shared" si="11"/>
        <v>0</v>
      </c>
      <c r="N182" s="16">
        <f t="shared" si="12"/>
        <v>0</v>
      </c>
      <c r="O182" s="16">
        <f t="shared" si="13"/>
        <v>0</v>
      </c>
      <c r="P182" s="16">
        <f t="shared" si="14"/>
        <v>0</v>
      </c>
      <c r="Q182" s="16">
        <f t="shared" si="15"/>
        <v>0</v>
      </c>
    </row>
    <row r="183" ht="18.75" customHeight="1" spans="1:17">
      <c r="A183" s="10"/>
      <c r="B183" s="10"/>
      <c r="C183" s="10"/>
      <c r="D183" s="10"/>
      <c r="E183" s="10"/>
      <c r="F183" s="10"/>
      <c r="G183" s="10"/>
      <c r="H183" s="15" t="str">
        <f t="shared" si="8"/>
        <v/>
      </c>
      <c r="I183" s="16" t="str">
        <f t="shared" si="9"/>
        <v/>
      </c>
      <c r="J183" s="17"/>
      <c r="K183" s="17"/>
      <c r="L183" s="16">
        <f t="shared" si="10"/>
        <v>0</v>
      </c>
      <c r="M183" s="16">
        <f t="shared" si="11"/>
        <v>0</v>
      </c>
      <c r="N183" s="16">
        <f t="shared" si="12"/>
        <v>0</v>
      </c>
      <c r="O183" s="16">
        <f t="shared" si="13"/>
        <v>0</v>
      </c>
      <c r="P183" s="16">
        <f t="shared" si="14"/>
        <v>0</v>
      </c>
      <c r="Q183" s="16">
        <f t="shared" si="15"/>
        <v>0</v>
      </c>
    </row>
    <row r="184" ht="18.75" customHeight="1" spans="1:17">
      <c r="A184" s="10"/>
      <c r="B184" s="10"/>
      <c r="C184" s="10"/>
      <c r="D184" s="10"/>
      <c r="E184" s="10"/>
      <c r="F184" s="10"/>
      <c r="G184" s="10"/>
      <c r="H184" s="15" t="str">
        <f t="shared" si="8"/>
        <v/>
      </c>
      <c r="I184" s="16" t="str">
        <f t="shared" si="9"/>
        <v/>
      </c>
      <c r="J184" s="17"/>
      <c r="K184" s="17"/>
      <c r="L184" s="16">
        <f t="shared" si="10"/>
        <v>0</v>
      </c>
      <c r="M184" s="16">
        <f t="shared" si="11"/>
        <v>0</v>
      </c>
      <c r="N184" s="16">
        <f t="shared" si="12"/>
        <v>0</v>
      </c>
      <c r="O184" s="16">
        <f t="shared" si="13"/>
        <v>0</v>
      </c>
      <c r="P184" s="16">
        <f t="shared" si="14"/>
        <v>0</v>
      </c>
      <c r="Q184" s="16">
        <f t="shared" si="15"/>
        <v>0</v>
      </c>
    </row>
    <row r="185" ht="18.75" customHeight="1" spans="1:17">
      <c r="A185" s="10"/>
      <c r="B185" s="10"/>
      <c r="C185" s="10"/>
      <c r="D185" s="10"/>
      <c r="E185" s="10"/>
      <c r="F185" s="10"/>
      <c r="G185" s="10"/>
      <c r="H185" s="15" t="str">
        <f t="shared" si="8"/>
        <v/>
      </c>
      <c r="I185" s="16" t="str">
        <f t="shared" si="9"/>
        <v/>
      </c>
      <c r="J185" s="17"/>
      <c r="K185" s="17"/>
      <c r="L185" s="16">
        <f t="shared" si="10"/>
        <v>0</v>
      </c>
      <c r="M185" s="16">
        <f t="shared" si="11"/>
        <v>0</v>
      </c>
      <c r="N185" s="16">
        <f t="shared" si="12"/>
        <v>0</v>
      </c>
      <c r="O185" s="16">
        <f t="shared" si="13"/>
        <v>0</v>
      </c>
      <c r="P185" s="16">
        <f t="shared" si="14"/>
        <v>0</v>
      </c>
      <c r="Q185" s="16">
        <f t="shared" si="15"/>
        <v>0</v>
      </c>
    </row>
    <row r="186" ht="18.75" customHeight="1" spans="1:17">
      <c r="A186" s="10"/>
      <c r="B186" s="10"/>
      <c r="C186" s="10"/>
      <c r="D186" s="10"/>
      <c r="E186" s="10"/>
      <c r="F186" s="10"/>
      <c r="G186" s="10"/>
      <c r="H186" s="15" t="str">
        <f t="shared" si="8"/>
        <v/>
      </c>
      <c r="I186" s="16" t="str">
        <f t="shared" si="9"/>
        <v/>
      </c>
      <c r="J186" s="17"/>
      <c r="K186" s="17"/>
      <c r="L186" s="16">
        <f t="shared" si="10"/>
        <v>0</v>
      </c>
      <c r="M186" s="16">
        <f t="shared" si="11"/>
        <v>0</v>
      </c>
      <c r="N186" s="16">
        <f t="shared" si="12"/>
        <v>0</v>
      </c>
      <c r="O186" s="16">
        <f t="shared" si="13"/>
        <v>0</v>
      </c>
      <c r="P186" s="16">
        <f t="shared" si="14"/>
        <v>0</v>
      </c>
      <c r="Q186" s="16">
        <f t="shared" si="15"/>
        <v>0</v>
      </c>
    </row>
    <row r="187" ht="18.75" customHeight="1" spans="1:17">
      <c r="A187" s="10"/>
      <c r="B187" s="10"/>
      <c r="C187" s="10"/>
      <c r="D187" s="10"/>
      <c r="E187" s="10"/>
      <c r="F187" s="10"/>
      <c r="G187" s="10"/>
      <c r="H187" s="15" t="str">
        <f t="shared" si="8"/>
        <v/>
      </c>
      <c r="I187" s="16" t="str">
        <f t="shared" si="9"/>
        <v/>
      </c>
      <c r="J187" s="17"/>
      <c r="K187" s="17"/>
      <c r="L187" s="16">
        <f t="shared" si="10"/>
        <v>0</v>
      </c>
      <c r="M187" s="16">
        <f t="shared" si="11"/>
        <v>0</v>
      </c>
      <c r="N187" s="16">
        <f t="shared" si="12"/>
        <v>0</v>
      </c>
      <c r="O187" s="16">
        <f t="shared" si="13"/>
        <v>0</v>
      </c>
      <c r="P187" s="16">
        <f t="shared" si="14"/>
        <v>0</v>
      </c>
      <c r="Q187" s="16">
        <f t="shared" si="15"/>
        <v>0</v>
      </c>
    </row>
    <row r="188" ht="18.75" customHeight="1" spans="1:17">
      <c r="A188" s="10"/>
      <c r="B188" s="10"/>
      <c r="C188" s="10"/>
      <c r="D188" s="10"/>
      <c r="E188" s="10"/>
      <c r="F188" s="10"/>
      <c r="G188" s="10"/>
      <c r="H188" s="15" t="str">
        <f t="shared" si="8"/>
        <v/>
      </c>
      <c r="I188" s="16" t="str">
        <f t="shared" si="9"/>
        <v/>
      </c>
      <c r="J188" s="17"/>
      <c r="K188" s="17"/>
      <c r="L188" s="16">
        <f t="shared" si="10"/>
        <v>0</v>
      </c>
      <c r="M188" s="16">
        <f t="shared" si="11"/>
        <v>0</v>
      </c>
      <c r="N188" s="16">
        <f t="shared" si="12"/>
        <v>0</v>
      </c>
      <c r="O188" s="16">
        <f t="shared" si="13"/>
        <v>0</v>
      </c>
      <c r="P188" s="16">
        <f t="shared" si="14"/>
        <v>0</v>
      </c>
      <c r="Q188" s="16">
        <f t="shared" si="15"/>
        <v>0</v>
      </c>
    </row>
    <row r="189" ht="18.75" customHeight="1" spans="1:17">
      <c r="A189" s="10"/>
      <c r="B189" s="10"/>
      <c r="C189" s="10"/>
      <c r="D189" s="10"/>
      <c r="E189" s="10"/>
      <c r="F189" s="10"/>
      <c r="G189" s="10"/>
      <c r="H189" s="15" t="str">
        <f t="shared" si="8"/>
        <v/>
      </c>
      <c r="I189" s="16" t="str">
        <f t="shared" si="9"/>
        <v/>
      </c>
      <c r="J189" s="17"/>
      <c r="K189" s="17"/>
      <c r="L189" s="16">
        <f t="shared" si="10"/>
        <v>0</v>
      </c>
      <c r="M189" s="16">
        <f t="shared" si="11"/>
        <v>0</v>
      </c>
      <c r="N189" s="16">
        <f t="shared" si="12"/>
        <v>0</v>
      </c>
      <c r="O189" s="16">
        <f t="shared" si="13"/>
        <v>0</v>
      </c>
      <c r="P189" s="16">
        <f t="shared" si="14"/>
        <v>0</v>
      </c>
      <c r="Q189" s="16">
        <f t="shared" si="15"/>
        <v>0</v>
      </c>
    </row>
    <row r="190" ht="18.75" customHeight="1" spans="1:17">
      <c r="A190" s="10"/>
      <c r="B190" s="10"/>
      <c r="C190" s="10"/>
      <c r="D190" s="10"/>
      <c r="E190" s="10"/>
      <c r="F190" s="10"/>
      <c r="G190" s="10"/>
      <c r="H190" s="15" t="str">
        <f t="shared" si="8"/>
        <v/>
      </c>
      <c r="I190" s="16" t="str">
        <f t="shared" si="9"/>
        <v/>
      </c>
      <c r="J190" s="17"/>
      <c r="K190" s="17"/>
      <c r="L190" s="16">
        <f t="shared" si="10"/>
        <v>0</v>
      </c>
      <c r="M190" s="16">
        <f t="shared" si="11"/>
        <v>0</v>
      </c>
      <c r="N190" s="16">
        <f t="shared" si="12"/>
        <v>0</v>
      </c>
      <c r="O190" s="16">
        <f t="shared" si="13"/>
        <v>0</v>
      </c>
      <c r="P190" s="16">
        <f t="shared" si="14"/>
        <v>0</v>
      </c>
      <c r="Q190" s="16">
        <f t="shared" si="15"/>
        <v>0</v>
      </c>
    </row>
    <row r="191" ht="18.75" customHeight="1" spans="1:17">
      <c r="A191" s="10"/>
      <c r="B191" s="10"/>
      <c r="C191" s="10"/>
      <c r="D191" s="10"/>
      <c r="E191" s="10"/>
      <c r="F191" s="10"/>
      <c r="G191" s="10"/>
      <c r="H191" s="15" t="str">
        <f t="shared" si="8"/>
        <v/>
      </c>
      <c r="I191" s="16" t="str">
        <f t="shared" si="9"/>
        <v/>
      </c>
      <c r="J191" s="17"/>
      <c r="K191" s="17"/>
      <c r="L191" s="16">
        <f t="shared" si="10"/>
        <v>0</v>
      </c>
      <c r="M191" s="16">
        <f t="shared" si="11"/>
        <v>0</v>
      </c>
      <c r="N191" s="16">
        <f t="shared" si="12"/>
        <v>0</v>
      </c>
      <c r="O191" s="16">
        <f t="shared" si="13"/>
        <v>0</v>
      </c>
      <c r="P191" s="16">
        <f t="shared" si="14"/>
        <v>0</v>
      </c>
      <c r="Q191" s="16">
        <f t="shared" si="15"/>
        <v>0</v>
      </c>
    </row>
    <row r="192" ht="18.75" customHeight="1" spans="1:17">
      <c r="A192" s="10"/>
      <c r="B192" s="10"/>
      <c r="C192" s="10"/>
      <c r="D192" s="10"/>
      <c r="E192" s="10"/>
      <c r="F192" s="10"/>
      <c r="G192" s="10"/>
      <c r="H192" s="15" t="str">
        <f t="shared" si="8"/>
        <v/>
      </c>
      <c r="I192" s="16" t="str">
        <f t="shared" si="9"/>
        <v/>
      </c>
      <c r="J192" s="17"/>
      <c r="K192" s="17"/>
      <c r="L192" s="16">
        <f t="shared" si="10"/>
        <v>0</v>
      </c>
      <c r="M192" s="16">
        <f t="shared" si="11"/>
        <v>0</v>
      </c>
      <c r="N192" s="16">
        <f t="shared" si="12"/>
        <v>0</v>
      </c>
      <c r="O192" s="16">
        <f t="shared" si="13"/>
        <v>0</v>
      </c>
      <c r="P192" s="16">
        <f t="shared" si="14"/>
        <v>0</v>
      </c>
      <c r="Q192" s="16">
        <f t="shared" si="15"/>
        <v>0</v>
      </c>
    </row>
    <row r="193" ht="18.75" customHeight="1" spans="1:17">
      <c r="A193" s="10"/>
      <c r="B193" s="10"/>
      <c r="C193" s="10"/>
      <c r="D193" s="10"/>
      <c r="E193" s="10"/>
      <c r="F193" s="10"/>
      <c r="G193" s="10"/>
      <c r="H193" s="15" t="str">
        <f t="shared" si="8"/>
        <v/>
      </c>
      <c r="I193" s="16" t="str">
        <f t="shared" si="9"/>
        <v/>
      </c>
      <c r="J193" s="17"/>
      <c r="K193" s="17"/>
      <c r="L193" s="16">
        <f t="shared" si="10"/>
        <v>0</v>
      </c>
      <c r="M193" s="16">
        <f t="shared" si="11"/>
        <v>0</v>
      </c>
      <c r="N193" s="16">
        <f t="shared" si="12"/>
        <v>0</v>
      </c>
      <c r="O193" s="16">
        <f t="shared" si="13"/>
        <v>0</v>
      </c>
      <c r="P193" s="16">
        <f t="shared" si="14"/>
        <v>0</v>
      </c>
      <c r="Q193" s="16">
        <f t="shared" si="15"/>
        <v>0</v>
      </c>
    </row>
    <row r="194" ht="18.75" customHeight="1" spans="1:17">
      <c r="A194" s="10"/>
      <c r="B194" s="10"/>
      <c r="C194" s="10"/>
      <c r="D194" s="10"/>
      <c r="E194" s="10"/>
      <c r="F194" s="10"/>
      <c r="G194" s="10"/>
      <c r="H194" s="15" t="str">
        <f t="shared" si="8"/>
        <v/>
      </c>
      <c r="I194" s="16" t="str">
        <f t="shared" si="9"/>
        <v/>
      </c>
      <c r="J194" s="17"/>
      <c r="K194" s="17"/>
      <c r="L194" s="16">
        <f t="shared" si="10"/>
        <v>0</v>
      </c>
      <c r="M194" s="16">
        <f t="shared" si="11"/>
        <v>0</v>
      </c>
      <c r="N194" s="16">
        <f t="shared" si="12"/>
        <v>0</v>
      </c>
      <c r="O194" s="16">
        <f t="shared" si="13"/>
        <v>0</v>
      </c>
      <c r="P194" s="16">
        <f t="shared" si="14"/>
        <v>0</v>
      </c>
      <c r="Q194" s="16">
        <f t="shared" si="15"/>
        <v>0</v>
      </c>
    </row>
    <row r="195" ht="18.75" customHeight="1" spans="1:17">
      <c r="A195" s="10"/>
      <c r="B195" s="10"/>
      <c r="C195" s="10"/>
      <c r="D195" s="10"/>
      <c r="E195" s="10"/>
      <c r="F195" s="10"/>
      <c r="G195" s="10"/>
      <c r="H195" s="15" t="str">
        <f t="shared" si="8"/>
        <v/>
      </c>
      <c r="I195" s="16" t="str">
        <f t="shared" si="9"/>
        <v/>
      </c>
      <c r="J195" s="17"/>
      <c r="K195" s="17"/>
      <c r="L195" s="16">
        <f t="shared" si="10"/>
        <v>0</v>
      </c>
      <c r="M195" s="16">
        <f t="shared" si="11"/>
        <v>0</v>
      </c>
      <c r="N195" s="16">
        <f t="shared" si="12"/>
        <v>0</v>
      </c>
      <c r="O195" s="16">
        <f t="shared" si="13"/>
        <v>0</v>
      </c>
      <c r="P195" s="16">
        <f t="shared" si="14"/>
        <v>0</v>
      </c>
      <c r="Q195" s="16">
        <f t="shared" si="15"/>
        <v>0</v>
      </c>
    </row>
    <row r="196" ht="18.75" customHeight="1" spans="1:17">
      <c r="A196" s="10"/>
      <c r="B196" s="10"/>
      <c r="C196" s="10"/>
      <c r="D196" s="10"/>
      <c r="E196" s="10"/>
      <c r="F196" s="10"/>
      <c r="G196" s="10"/>
      <c r="H196" s="15" t="str">
        <f t="shared" si="8"/>
        <v/>
      </c>
      <c r="I196" s="16" t="str">
        <f t="shared" si="9"/>
        <v/>
      </c>
      <c r="J196" s="17"/>
      <c r="K196" s="17"/>
      <c r="L196" s="16">
        <f t="shared" si="10"/>
        <v>0</v>
      </c>
      <c r="M196" s="16">
        <f t="shared" si="11"/>
        <v>0</v>
      </c>
      <c r="N196" s="16">
        <f t="shared" si="12"/>
        <v>0</v>
      </c>
      <c r="O196" s="16">
        <f t="shared" si="13"/>
        <v>0</v>
      </c>
      <c r="P196" s="16">
        <f t="shared" si="14"/>
        <v>0</v>
      </c>
      <c r="Q196" s="16">
        <f t="shared" si="15"/>
        <v>0</v>
      </c>
    </row>
    <row r="197" ht="18.75" customHeight="1" spans="1:17">
      <c r="A197" s="10"/>
      <c r="B197" s="10"/>
      <c r="C197" s="10"/>
      <c r="D197" s="10"/>
      <c r="E197" s="10"/>
      <c r="F197" s="10"/>
      <c r="G197" s="10"/>
      <c r="H197" s="15" t="str">
        <f t="shared" si="8"/>
        <v/>
      </c>
      <c r="I197" s="16" t="str">
        <f t="shared" si="9"/>
        <v/>
      </c>
      <c r="J197" s="17"/>
      <c r="K197" s="17"/>
      <c r="L197" s="16">
        <f t="shared" si="10"/>
        <v>0</v>
      </c>
      <c r="M197" s="16">
        <f t="shared" si="11"/>
        <v>0</v>
      </c>
      <c r="N197" s="16">
        <f t="shared" si="12"/>
        <v>0</v>
      </c>
      <c r="O197" s="16">
        <f t="shared" si="13"/>
        <v>0</v>
      </c>
      <c r="P197" s="16">
        <f t="shared" si="14"/>
        <v>0</v>
      </c>
      <c r="Q197" s="16">
        <f t="shared" si="15"/>
        <v>0</v>
      </c>
    </row>
    <row r="198" ht="18.75" customHeight="1" spans="1:17">
      <c r="A198" s="10"/>
      <c r="B198" s="10"/>
      <c r="C198" s="10"/>
      <c r="D198" s="10"/>
      <c r="E198" s="10"/>
      <c r="F198" s="10"/>
      <c r="G198" s="10"/>
      <c r="H198" s="15" t="str">
        <f t="shared" si="8"/>
        <v/>
      </c>
      <c r="I198" s="16" t="str">
        <f t="shared" si="9"/>
        <v/>
      </c>
      <c r="J198" s="17"/>
      <c r="K198" s="17"/>
      <c r="L198" s="16">
        <f t="shared" si="10"/>
        <v>0</v>
      </c>
      <c r="M198" s="16">
        <f t="shared" si="11"/>
        <v>0</v>
      </c>
      <c r="N198" s="16">
        <f t="shared" si="12"/>
        <v>0</v>
      </c>
      <c r="O198" s="16">
        <f t="shared" si="13"/>
        <v>0</v>
      </c>
      <c r="P198" s="16">
        <f t="shared" si="14"/>
        <v>0</v>
      </c>
      <c r="Q198" s="16">
        <f t="shared" si="15"/>
        <v>0</v>
      </c>
    </row>
    <row r="199" ht="18.75" customHeight="1" spans="1:17">
      <c r="A199" s="10"/>
      <c r="B199" s="10"/>
      <c r="C199" s="10"/>
      <c r="D199" s="10"/>
      <c r="E199" s="10"/>
      <c r="F199" s="10"/>
      <c r="G199" s="10"/>
      <c r="H199" s="15" t="str">
        <f t="shared" si="8"/>
        <v/>
      </c>
      <c r="I199" s="16" t="str">
        <f t="shared" si="9"/>
        <v/>
      </c>
      <c r="J199" s="17"/>
      <c r="K199" s="17"/>
      <c r="L199" s="16">
        <f t="shared" si="10"/>
        <v>0</v>
      </c>
      <c r="M199" s="16">
        <f t="shared" si="11"/>
        <v>0</v>
      </c>
      <c r="N199" s="16">
        <f t="shared" si="12"/>
        <v>0</v>
      </c>
      <c r="O199" s="16">
        <f t="shared" si="13"/>
        <v>0</v>
      </c>
      <c r="P199" s="16">
        <f t="shared" si="14"/>
        <v>0</v>
      </c>
      <c r="Q199" s="16">
        <f t="shared" si="15"/>
        <v>0</v>
      </c>
    </row>
    <row r="200" ht="18.75" customHeight="1" spans="1:17">
      <c r="A200" s="10"/>
      <c r="B200" s="10"/>
      <c r="C200" s="10"/>
      <c r="D200" s="10"/>
      <c r="E200" s="10"/>
      <c r="F200" s="10"/>
      <c r="G200" s="10"/>
      <c r="H200" s="15" t="str">
        <f t="shared" si="8"/>
        <v/>
      </c>
      <c r="I200" s="16" t="str">
        <f t="shared" si="9"/>
        <v/>
      </c>
      <c r="J200" s="17"/>
      <c r="K200" s="17"/>
      <c r="L200" s="16">
        <f t="shared" si="10"/>
        <v>0</v>
      </c>
      <c r="M200" s="16">
        <f t="shared" si="11"/>
        <v>0</v>
      </c>
      <c r="N200" s="16">
        <f t="shared" si="12"/>
        <v>0</v>
      </c>
      <c r="O200" s="16">
        <f t="shared" si="13"/>
        <v>0</v>
      </c>
      <c r="P200" s="16">
        <f t="shared" si="14"/>
        <v>0</v>
      </c>
      <c r="Q200" s="16">
        <f t="shared" si="15"/>
        <v>0</v>
      </c>
    </row>
    <row r="201" ht="18.75" customHeight="1" spans="1:17">
      <c r="A201" s="10"/>
      <c r="B201" s="10"/>
      <c r="C201" s="10"/>
      <c r="D201" s="10"/>
      <c r="E201" s="10"/>
      <c r="F201" s="10"/>
      <c r="G201" s="10"/>
      <c r="H201" s="15" t="str">
        <f t="shared" si="8"/>
        <v/>
      </c>
      <c r="I201" s="16" t="str">
        <f t="shared" si="9"/>
        <v/>
      </c>
      <c r="J201" s="17"/>
      <c r="K201" s="17"/>
      <c r="L201" s="16">
        <f t="shared" si="10"/>
        <v>0</v>
      </c>
      <c r="M201" s="16">
        <f t="shared" si="11"/>
        <v>0</v>
      </c>
      <c r="N201" s="16">
        <f t="shared" si="12"/>
        <v>0</v>
      </c>
      <c r="O201" s="16">
        <f t="shared" si="13"/>
        <v>0</v>
      </c>
      <c r="P201" s="16">
        <f t="shared" si="14"/>
        <v>0</v>
      </c>
      <c r="Q201" s="16">
        <f t="shared" si="15"/>
        <v>0</v>
      </c>
    </row>
    <row r="202" ht="18.75" customHeight="1" spans="1:17">
      <c r="A202" s="10"/>
      <c r="B202" s="10"/>
      <c r="C202" s="10"/>
      <c r="D202" s="10"/>
      <c r="E202" s="10"/>
      <c r="F202" s="10"/>
      <c r="G202" s="10"/>
      <c r="H202" s="15" t="str">
        <f t="shared" si="8"/>
        <v/>
      </c>
      <c r="I202" s="16" t="str">
        <f t="shared" si="9"/>
        <v/>
      </c>
      <c r="J202" s="17"/>
      <c r="K202" s="17"/>
      <c r="L202" s="16">
        <f t="shared" si="10"/>
        <v>0</v>
      </c>
      <c r="M202" s="16">
        <f t="shared" si="11"/>
        <v>0</v>
      </c>
      <c r="N202" s="16">
        <f t="shared" si="12"/>
        <v>0</v>
      </c>
      <c r="O202" s="16">
        <f t="shared" si="13"/>
        <v>0</v>
      </c>
      <c r="P202" s="16">
        <f t="shared" si="14"/>
        <v>0</v>
      </c>
      <c r="Q202" s="16">
        <f t="shared" si="15"/>
        <v>0</v>
      </c>
    </row>
    <row r="203" ht="18.75" customHeight="1" spans="1:17">
      <c r="A203" s="10"/>
      <c r="B203" s="10"/>
      <c r="C203" s="10"/>
      <c r="D203" s="10"/>
      <c r="E203" s="10"/>
      <c r="F203" s="10"/>
      <c r="G203" s="10"/>
      <c r="H203" s="15" t="str">
        <f t="shared" si="8"/>
        <v/>
      </c>
      <c r="I203" s="16" t="str">
        <f t="shared" si="9"/>
        <v/>
      </c>
      <c r="J203" s="17"/>
      <c r="K203" s="17"/>
      <c r="L203" s="16">
        <f t="shared" si="10"/>
        <v>0</v>
      </c>
      <c r="M203" s="16">
        <f t="shared" si="11"/>
        <v>0</v>
      </c>
      <c r="N203" s="16">
        <f t="shared" si="12"/>
        <v>0</v>
      </c>
      <c r="O203" s="16">
        <f t="shared" si="13"/>
        <v>0</v>
      </c>
      <c r="P203" s="16">
        <f t="shared" si="14"/>
        <v>0</v>
      </c>
      <c r="Q203" s="16">
        <f t="shared" si="15"/>
        <v>0</v>
      </c>
    </row>
    <row r="204" ht="18.75" customHeight="1" spans="1:17">
      <c r="A204" s="10"/>
      <c r="B204" s="10"/>
      <c r="C204" s="10"/>
      <c r="D204" s="10"/>
      <c r="E204" s="10"/>
      <c r="F204" s="10"/>
      <c r="G204" s="10"/>
      <c r="H204" s="15" t="str">
        <f t="shared" si="8"/>
        <v/>
      </c>
      <c r="I204" s="16" t="str">
        <f t="shared" si="9"/>
        <v/>
      </c>
      <c r="J204" s="17"/>
      <c r="K204" s="17"/>
      <c r="L204" s="16">
        <f t="shared" si="10"/>
        <v>0</v>
      </c>
      <c r="M204" s="16">
        <f t="shared" si="11"/>
        <v>0</v>
      </c>
      <c r="N204" s="16">
        <f t="shared" si="12"/>
        <v>0</v>
      </c>
      <c r="O204" s="16">
        <f t="shared" si="13"/>
        <v>0</v>
      </c>
      <c r="P204" s="16">
        <f t="shared" si="14"/>
        <v>0</v>
      </c>
      <c r="Q204" s="16">
        <f t="shared" si="15"/>
        <v>0</v>
      </c>
    </row>
    <row r="205" ht="18.75" customHeight="1" spans="1:17">
      <c r="A205" s="10"/>
      <c r="B205" s="10"/>
      <c r="C205" s="10"/>
      <c r="D205" s="10"/>
      <c r="E205" s="10"/>
      <c r="F205" s="10"/>
      <c r="G205" s="10"/>
      <c r="H205" s="15" t="str">
        <f t="shared" si="8"/>
        <v/>
      </c>
      <c r="I205" s="16" t="str">
        <f t="shared" si="9"/>
        <v/>
      </c>
      <c r="J205" s="17"/>
      <c r="K205" s="17"/>
      <c r="L205" s="16">
        <f t="shared" si="10"/>
        <v>0</v>
      </c>
      <c r="M205" s="16">
        <f t="shared" si="11"/>
        <v>0</v>
      </c>
      <c r="N205" s="16">
        <f t="shared" si="12"/>
        <v>0</v>
      </c>
      <c r="O205" s="16">
        <f t="shared" si="13"/>
        <v>0</v>
      </c>
      <c r="P205" s="16">
        <f t="shared" si="14"/>
        <v>0</v>
      </c>
      <c r="Q205" s="16">
        <f t="shared" si="15"/>
        <v>0</v>
      </c>
    </row>
    <row r="206" ht="18.75" customHeight="1" spans="1:17">
      <c r="A206" s="10"/>
      <c r="B206" s="10"/>
      <c r="C206" s="10"/>
      <c r="D206" s="10"/>
      <c r="E206" s="10"/>
      <c r="F206" s="10"/>
      <c r="G206" s="10"/>
      <c r="H206" s="15" t="str">
        <f t="shared" si="8"/>
        <v/>
      </c>
      <c r="I206" s="16" t="str">
        <f t="shared" si="9"/>
        <v/>
      </c>
      <c r="J206" s="17"/>
      <c r="K206" s="17"/>
      <c r="L206" s="16">
        <f t="shared" si="10"/>
        <v>0</v>
      </c>
      <c r="M206" s="16">
        <f t="shared" si="11"/>
        <v>0</v>
      </c>
      <c r="N206" s="16">
        <f t="shared" si="12"/>
        <v>0</v>
      </c>
      <c r="O206" s="16">
        <f t="shared" si="13"/>
        <v>0</v>
      </c>
      <c r="P206" s="16">
        <f t="shared" si="14"/>
        <v>0</v>
      </c>
      <c r="Q206" s="16">
        <f t="shared" si="15"/>
        <v>0</v>
      </c>
    </row>
    <row r="207" ht="18.75" customHeight="1" spans="1:17">
      <c r="A207" s="10"/>
      <c r="B207" s="10"/>
      <c r="C207" s="10"/>
      <c r="D207" s="10"/>
      <c r="E207" s="10"/>
      <c r="F207" s="10"/>
      <c r="G207" s="10"/>
      <c r="H207" s="15" t="str">
        <f t="shared" si="8"/>
        <v/>
      </c>
      <c r="I207" s="16" t="str">
        <f t="shared" si="9"/>
        <v/>
      </c>
      <c r="J207" s="17"/>
      <c r="K207" s="17"/>
      <c r="L207" s="16">
        <f t="shared" si="10"/>
        <v>0</v>
      </c>
      <c r="M207" s="16">
        <f t="shared" si="11"/>
        <v>0</v>
      </c>
      <c r="N207" s="16">
        <f t="shared" si="12"/>
        <v>0</v>
      </c>
      <c r="O207" s="16">
        <f t="shared" si="13"/>
        <v>0</v>
      </c>
      <c r="P207" s="16">
        <f t="shared" si="14"/>
        <v>0</v>
      </c>
      <c r="Q207" s="16">
        <f t="shared" si="15"/>
        <v>0</v>
      </c>
    </row>
    <row r="208" ht="18.75" customHeight="1" spans="1:17">
      <c r="A208" s="10"/>
      <c r="B208" s="10"/>
      <c r="C208" s="10"/>
      <c r="D208" s="10"/>
      <c r="E208" s="10"/>
      <c r="F208" s="10"/>
      <c r="G208" s="10"/>
      <c r="H208" s="15" t="str">
        <f t="shared" si="8"/>
        <v/>
      </c>
      <c r="I208" s="16" t="str">
        <f t="shared" si="9"/>
        <v/>
      </c>
      <c r="J208" s="17"/>
      <c r="K208" s="17"/>
      <c r="L208" s="16">
        <f t="shared" si="10"/>
        <v>0</v>
      </c>
      <c r="M208" s="16">
        <f t="shared" si="11"/>
        <v>0</v>
      </c>
      <c r="N208" s="16">
        <f t="shared" si="12"/>
        <v>0</v>
      </c>
      <c r="O208" s="16">
        <f t="shared" si="13"/>
        <v>0</v>
      </c>
      <c r="P208" s="16">
        <f t="shared" si="14"/>
        <v>0</v>
      </c>
      <c r="Q208" s="16">
        <f t="shared" si="15"/>
        <v>0</v>
      </c>
    </row>
    <row r="209" ht="18.75" customHeight="1" spans="1:17">
      <c r="A209" s="10"/>
      <c r="B209" s="10"/>
      <c r="C209" s="10"/>
      <c r="D209" s="10"/>
      <c r="E209" s="10"/>
      <c r="F209" s="10"/>
      <c r="G209" s="10"/>
      <c r="H209" s="15" t="str">
        <f t="shared" si="8"/>
        <v/>
      </c>
      <c r="I209" s="16" t="str">
        <f t="shared" si="9"/>
        <v/>
      </c>
      <c r="J209" s="17"/>
      <c r="K209" s="17"/>
      <c r="L209" s="16">
        <f t="shared" si="10"/>
        <v>0</v>
      </c>
      <c r="M209" s="16">
        <f t="shared" si="11"/>
        <v>0</v>
      </c>
      <c r="N209" s="16">
        <f t="shared" si="12"/>
        <v>0</v>
      </c>
      <c r="O209" s="16">
        <f t="shared" si="13"/>
        <v>0</v>
      </c>
      <c r="P209" s="16">
        <f t="shared" si="14"/>
        <v>0</v>
      </c>
      <c r="Q209" s="16">
        <f t="shared" si="15"/>
        <v>0</v>
      </c>
    </row>
    <row r="210" ht="18.75" customHeight="1" spans="1:17">
      <c r="A210" s="10"/>
      <c r="B210" s="10"/>
      <c r="C210" s="10"/>
      <c r="D210" s="10"/>
      <c r="E210" s="10"/>
      <c r="F210" s="10"/>
      <c r="G210" s="10"/>
      <c r="H210" s="15" t="str">
        <f t="shared" si="8"/>
        <v/>
      </c>
      <c r="I210" s="16" t="str">
        <f t="shared" si="9"/>
        <v/>
      </c>
      <c r="J210" s="17"/>
      <c r="K210" s="17"/>
      <c r="L210" s="16">
        <f t="shared" si="10"/>
        <v>0</v>
      </c>
      <c r="M210" s="16">
        <f t="shared" si="11"/>
        <v>0</v>
      </c>
      <c r="N210" s="16">
        <f t="shared" si="12"/>
        <v>0</v>
      </c>
      <c r="O210" s="16">
        <f t="shared" si="13"/>
        <v>0</v>
      </c>
      <c r="P210" s="16">
        <f t="shared" si="14"/>
        <v>0</v>
      </c>
      <c r="Q210" s="16">
        <f t="shared" si="15"/>
        <v>0</v>
      </c>
    </row>
    <row r="211" ht="18.75" customHeight="1"/>
    <row r="212" ht="18.75" customHeight="1"/>
    <row r="213" ht="18.75" customHeight="1" spans="1:16">
      <c r="A213" s="3" t="s">
        <v>452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6"/>
    </row>
    <row r="214" s="1" customFormat="1" ht="18.75" customHeight="1" spans="1:19">
      <c r="A214" s="9" t="s">
        <v>147</v>
      </c>
      <c r="B214" s="9" t="s">
        <v>173</v>
      </c>
      <c r="C214" s="9" t="s">
        <v>453</v>
      </c>
      <c r="D214" s="9" t="s">
        <v>454</v>
      </c>
      <c r="E214" s="9" t="s">
        <v>455</v>
      </c>
      <c r="F214" s="9" t="s">
        <v>135</v>
      </c>
      <c r="G214" s="9" t="s">
        <v>456</v>
      </c>
      <c r="H214" s="9" t="s">
        <v>457</v>
      </c>
      <c r="I214" s="9" t="s">
        <v>458</v>
      </c>
      <c r="J214" s="9" t="s">
        <v>154</v>
      </c>
      <c r="K214" s="9" t="s">
        <v>459</v>
      </c>
      <c r="L214" s="9" t="s">
        <v>460</v>
      </c>
      <c r="M214" s="9" t="s">
        <v>461</v>
      </c>
      <c r="N214" s="9" t="s">
        <v>462</v>
      </c>
      <c r="O214" s="9" t="s">
        <v>463</v>
      </c>
      <c r="P214" s="9" t="s">
        <v>464</v>
      </c>
      <c r="Q214" s="9" t="s">
        <v>465</v>
      </c>
      <c r="R214" s="9" t="s">
        <v>139</v>
      </c>
      <c r="S214" s="9" t="s">
        <v>198</v>
      </c>
    </row>
    <row r="215" ht="18.75" customHeight="1" spans="1:19">
      <c r="A215" s="7" t="s">
        <v>0</v>
      </c>
      <c r="B215" s="10"/>
      <c r="C215" s="10"/>
      <c r="D215" s="10"/>
      <c r="E215" s="18" t="str">
        <f>IFERROR(D215/C215,"")</f>
        <v/>
      </c>
      <c r="F215" s="19"/>
      <c r="G215" s="10"/>
      <c r="H215" s="10"/>
      <c r="I215" s="10"/>
      <c r="J215" s="18" t="str">
        <f>IFERROR((H215-I215)/H215,"")</f>
        <v/>
      </c>
      <c r="K215" s="10"/>
      <c r="L215" s="10"/>
      <c r="M215" s="18" t="str">
        <f>IFERROR((K215-L215)/K215,"")</f>
        <v/>
      </c>
      <c r="N215" s="10"/>
      <c r="O215" s="10"/>
      <c r="P215" s="20">
        <f>IFERROR(O215-N215,"")</f>
        <v>0</v>
      </c>
      <c r="Q215" s="19"/>
      <c r="R215" s="10"/>
      <c r="S215" s="10"/>
    </row>
    <row r="216" ht="18.75" customHeight="1" spans="1:19">
      <c r="A216" s="7" t="s">
        <v>15</v>
      </c>
      <c r="B216" s="10"/>
      <c r="C216" s="10"/>
      <c r="D216" s="10"/>
      <c r="E216" s="18" t="str">
        <f>IFERROR(D216/C216,"")</f>
        <v/>
      </c>
      <c r="F216" s="19"/>
      <c r="G216" s="10"/>
      <c r="H216" s="10"/>
      <c r="I216" s="10"/>
      <c r="J216" s="18" t="str">
        <f>IFERROR((H216-I216)/H216,"")</f>
        <v/>
      </c>
      <c r="K216" s="10"/>
      <c r="L216" s="10"/>
      <c r="M216" s="18" t="str">
        <f>IFERROR((K216-L216)/K216,"")</f>
        <v/>
      </c>
      <c r="N216" s="10"/>
      <c r="O216" s="10"/>
      <c r="P216" s="20">
        <f>IFERROR(O216-N216,"")</f>
        <v>0</v>
      </c>
      <c r="Q216" s="19"/>
      <c r="R216" s="10"/>
      <c r="S216" s="10"/>
    </row>
    <row r="217" ht="18.75" customHeight="1" spans="1:19">
      <c r="A217" s="7" t="s">
        <v>30</v>
      </c>
      <c r="B217" s="10"/>
      <c r="C217" s="10"/>
      <c r="D217" s="10"/>
      <c r="E217" s="18" t="str">
        <f>IFERROR(D217/C217,"")</f>
        <v/>
      </c>
      <c r="F217" s="19"/>
      <c r="G217" s="10"/>
      <c r="H217" s="10"/>
      <c r="I217" s="10"/>
      <c r="J217" s="18" t="str">
        <f>IFERROR((H217-I217)/H217,"")</f>
        <v/>
      </c>
      <c r="K217" s="10"/>
      <c r="L217" s="10"/>
      <c r="M217" s="18" t="str">
        <f>IFERROR((K217-L217)/K217,"")</f>
        <v/>
      </c>
      <c r="N217" s="10"/>
      <c r="O217" s="10"/>
      <c r="P217" s="20">
        <f>IFERROR(O217-N217,"")</f>
        <v>0</v>
      </c>
      <c r="Q217" s="19"/>
      <c r="R217" s="10"/>
      <c r="S217" s="10"/>
    </row>
    <row r="218" ht="18.75" customHeight="1" spans="1:19">
      <c r="A218" s="7" t="s">
        <v>43</v>
      </c>
      <c r="B218" s="10"/>
      <c r="C218" s="10"/>
      <c r="D218" s="10"/>
      <c r="E218" s="18" t="str">
        <f>IFERROR(D218/C218,"")</f>
        <v/>
      </c>
      <c r="F218" s="19"/>
      <c r="G218" s="10"/>
      <c r="H218" s="10"/>
      <c r="I218" s="10"/>
      <c r="J218" s="18" t="str">
        <f>IFERROR((H218-I218)/H218,"")</f>
        <v/>
      </c>
      <c r="K218" s="10"/>
      <c r="L218" s="10"/>
      <c r="M218" s="18" t="str">
        <f>IFERROR((K218-L218)/K218,"")</f>
        <v/>
      </c>
      <c r="N218" s="10"/>
      <c r="O218" s="10"/>
      <c r="P218" s="20">
        <f>IFERROR(O218-N218,"")</f>
        <v>0</v>
      </c>
      <c r="Q218" s="19"/>
      <c r="R218" s="10"/>
      <c r="S218" s="10"/>
    </row>
    <row r="219" ht="18.75" customHeight="1"/>
    <row r="220" ht="18.75" customHeight="1"/>
    <row r="221" ht="18.75" customHeight="1"/>
    <row r="222" ht="18.75" customHeight="1" spans="1:8">
      <c r="A222" s="3" t="s">
        <v>474</v>
      </c>
      <c r="B222" s="4"/>
      <c r="C222" s="4"/>
      <c r="D222" s="4"/>
      <c r="E222" s="4"/>
      <c r="F222" s="4"/>
      <c r="G222" s="4"/>
      <c r="H222" s="6"/>
    </row>
    <row r="223" s="1" customFormat="1" ht="18.75" customHeight="1" spans="1:8">
      <c r="A223" s="9" t="s">
        <v>147</v>
      </c>
      <c r="B223" s="9" t="s">
        <v>113</v>
      </c>
      <c r="C223" s="9" t="s">
        <v>124</v>
      </c>
      <c r="D223" s="9" t="s">
        <v>475</v>
      </c>
      <c r="E223" s="9" t="s">
        <v>476</v>
      </c>
      <c r="F223" s="9" t="s">
        <v>477</v>
      </c>
      <c r="G223" s="9" t="s">
        <v>478</v>
      </c>
      <c r="H223" s="9" t="s">
        <v>198</v>
      </c>
    </row>
    <row r="224" s="1" customFormat="1" ht="18.75" customHeight="1" spans="1:8">
      <c r="A224" s="10"/>
      <c r="B224" s="11"/>
      <c r="C224" s="10"/>
      <c r="D224" s="11"/>
      <c r="E224" s="10"/>
      <c r="F224" s="11"/>
      <c r="G224" s="10"/>
      <c r="H224" s="11"/>
    </row>
    <row r="225" s="1" customFormat="1" ht="18.75" customHeight="1" spans="1:8">
      <c r="A225" s="10"/>
      <c r="B225" s="11"/>
      <c r="C225" s="10"/>
      <c r="D225" s="11"/>
      <c r="E225" s="10"/>
      <c r="F225" s="11"/>
      <c r="G225" s="10"/>
      <c r="H225" s="11"/>
    </row>
    <row r="226" s="1" customFormat="1" ht="18.75" customHeight="1" spans="1:8">
      <c r="A226" s="10"/>
      <c r="B226" s="11"/>
      <c r="C226" s="10"/>
      <c r="D226" s="11"/>
      <c r="E226" s="10"/>
      <c r="F226" s="11"/>
      <c r="G226" s="10"/>
      <c r="H226" s="11"/>
    </row>
    <row r="227" s="1" customFormat="1" ht="18.75" customHeight="1" spans="1:8">
      <c r="A227" s="10"/>
      <c r="B227" s="11"/>
      <c r="C227" s="10"/>
      <c r="D227" s="11"/>
      <c r="E227" s="10"/>
      <c r="F227" s="11"/>
      <c r="G227" s="10"/>
      <c r="H227" s="11"/>
    </row>
    <row r="228" s="1" customFormat="1" ht="18.75" customHeight="1" spans="1:8">
      <c r="A228" s="10"/>
      <c r="B228" s="11"/>
      <c r="C228" s="10"/>
      <c r="D228" s="11"/>
      <c r="E228" s="10"/>
      <c r="F228" s="11"/>
      <c r="G228" s="10"/>
      <c r="H228" s="11"/>
    </row>
    <row r="229" s="1" customFormat="1" ht="18.75" customHeight="1" spans="1:8">
      <c r="A229" s="10"/>
      <c r="B229" s="11"/>
      <c r="C229" s="10"/>
      <c r="D229" s="11"/>
      <c r="E229" s="10"/>
      <c r="F229" s="11"/>
      <c r="G229" s="10"/>
      <c r="H229" s="11"/>
    </row>
    <row r="230" s="1" customFormat="1" ht="18.75" customHeight="1" spans="1:8">
      <c r="A230" s="10"/>
      <c r="B230" s="11"/>
      <c r="C230" s="10"/>
      <c r="D230" s="11"/>
      <c r="E230" s="10"/>
      <c r="F230" s="11"/>
      <c r="G230" s="10"/>
      <c r="H230" s="11"/>
    </row>
  </sheetData>
  <mergeCells count="9">
    <mergeCell ref="A1:T1"/>
    <mergeCell ref="A4:F4"/>
    <mergeCell ref="H4:T4"/>
    <mergeCell ref="A14:J14"/>
    <mergeCell ref="A23:N23"/>
    <mergeCell ref="A57:K57"/>
    <mergeCell ref="A89:Q89"/>
    <mergeCell ref="A213:P213"/>
    <mergeCell ref="A222:H222"/>
  </mergeCells>
  <pageMargins left="0.7" right="0.7" top="0.75" bottom="0.75" header="0.3" footer="0.3"/>
  <headerFooter/>
  <tableParts count="6">
    <tablePart r:id="rId1"/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T230"/>
  <sheetViews>
    <sheetView workbookViewId="0">
      <selection activeCell="A1" sqref="A1:T1"/>
    </sheetView>
  </sheetViews>
  <sheetFormatPr defaultColWidth="9" defaultRowHeight="15"/>
  <cols>
    <col min="1" max="2" width="18.0095238095238" style="2" customWidth="1"/>
    <col min="3" max="4" width="24.0095238095238" style="1" customWidth="1"/>
    <col min="5" max="5" width="18.0095238095238" style="2" customWidth="1"/>
    <col min="6" max="6" width="18.0095238095238" style="1" customWidth="1"/>
    <col min="7" max="7" width="14.0095238095238" style="1" customWidth="1"/>
    <col min="8" max="9" width="14.0095238095238" style="2" customWidth="1"/>
    <col min="10" max="11" width="18.0095238095238" style="2" customWidth="1"/>
    <col min="12" max="13" width="14.0095238095238" style="2" customWidth="1"/>
    <col min="14" max="14" width="18.0095238095238" style="2" customWidth="1"/>
    <col min="15" max="20" width="14.0095238095238" style="2" customWidth="1"/>
  </cols>
  <sheetData>
    <row r="1" ht="18.75" customHeight="1" spans="1:20">
      <c r="A1" s="3" t="s">
        <v>508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6"/>
    </row>
    <row r="2" s="1" customFormat="1" ht="18.75" customHeight="1" spans="1:1">
      <c r="A2" s="5" t="s">
        <v>142</v>
      </c>
    </row>
    <row r="3" ht="18.75" customHeight="1"/>
    <row r="4" ht="18.75" customHeight="1" spans="1:20">
      <c r="A4" s="3" t="s">
        <v>143</v>
      </c>
      <c r="B4" s="4"/>
      <c r="C4" s="4"/>
      <c r="D4" s="4"/>
      <c r="E4" s="4"/>
      <c r="F4" s="6"/>
      <c r="H4" s="3" t="s">
        <v>144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6"/>
    </row>
    <row r="5" ht="18.75" customHeight="1" spans="1:19">
      <c r="A5" s="7" t="s">
        <v>145</v>
      </c>
      <c r="B5" s="8" t="s">
        <v>509</v>
      </c>
      <c r="H5" s="9" t="s">
        <v>147</v>
      </c>
      <c r="I5" s="9" t="s">
        <v>148</v>
      </c>
      <c r="J5" s="9" t="s">
        <v>37</v>
      </c>
      <c r="K5" s="9" t="s">
        <v>149</v>
      </c>
      <c r="L5" s="9" t="s">
        <v>49</v>
      </c>
      <c r="M5" s="9" t="s">
        <v>150</v>
      </c>
      <c r="N5" s="9" t="s">
        <v>151</v>
      </c>
      <c r="O5" s="9" t="s">
        <v>152</v>
      </c>
      <c r="P5" s="9" t="s">
        <v>153</v>
      </c>
      <c r="Q5" s="9" t="s">
        <v>135</v>
      </c>
      <c r="R5" s="9" t="s">
        <v>154</v>
      </c>
      <c r="S5" s="9" t="s">
        <v>155</v>
      </c>
    </row>
    <row r="6" ht="18.75" customHeight="1" spans="1:19">
      <c r="A6" s="7" t="s">
        <v>156</v>
      </c>
      <c r="B6" s="8"/>
      <c r="H6" s="7" t="s">
        <v>0</v>
      </c>
      <c r="I6" s="12">
        <f>SUMIFS($L$89:$L$210,$A$89:$A$210,$H6)</f>
        <v>0</v>
      </c>
      <c r="J6" s="12">
        <f>COUNTIFS($A$89:$A$210,$H6,$G$89:$G$210,"Partial")</f>
        <v>0</v>
      </c>
      <c r="K6" s="12">
        <f>SUMIFS($M$89:$M$210,$A$89:$A$210,$H6)</f>
        <v>0</v>
      </c>
      <c r="L6" s="12">
        <f>SUMIFS($N$89:$N$210,$A$89:$A$210,$H6)</f>
        <v>0</v>
      </c>
      <c r="M6" s="13" t="str">
        <f>IFERROR(I6/(I6+K6),"")</f>
        <v/>
      </c>
      <c r="N6" s="13" t="str">
        <f>IFERROR(I6/(I6+L6),"")</f>
        <v/>
      </c>
      <c r="O6" s="13" t="str">
        <f>IFERROR(2*M6*N6/(M6+N6),"")</f>
        <v/>
      </c>
      <c r="P6" s="13" t="str">
        <f>IFERROR(2*(SUMIFS($O$89:$O$210,$A$89:$A$210,$H6)/(SUMIFS($O$89:$O$210,$A$89:$A$210,$H6)+SUMIFS($P$89:$P$210,$A$89:$A$210,$H6)))*(SUMIFS($O$89:$O$210,$A$89:$A$210,$H6)/(SUMIFS($O$89:$O$210,$A$89:$A$210,$H6)+SUMIFS($Q$89:$Q$210,$A$89:$A$210,$H6)))/((SUMIFS($O$89:$O$210,$A$89:$A$210,$H6)/(SUMIFS($O$89:$O$210,$A$89:$A$210,$H6)+SUMIFS($P$89:$P$210,$A$89:$A$210,$H6)))+(SUMIFS($O$89:$O$210,$A$89:$A$210,$H6)/(SUMIFS($O$89:$O$210,$A$89:$A$210,$H6)+SUMIFS($Q$89:$Q$210,$A$89:$A$210,$H6)))),"")</f>
        <v/>
      </c>
      <c r="Q6" s="12">
        <f>IFERROR(INDEX($F$215:$F$218,MATCH($H6,$A$215:$A$218,0)),"")</f>
        <v>0</v>
      </c>
      <c r="R6" s="13" t="str">
        <f>IFERROR(INDEX($J$215:$J$218,MATCH($H6,$A$215:$A$218,0)),"")</f>
        <v/>
      </c>
      <c r="S6" s="14">
        <f>IFERROR(INDEX($R$215:$R$218,MATCH($H6,$A$215:$A$218,0)),"")</f>
        <v>0</v>
      </c>
    </row>
    <row r="7" ht="18.75" customHeight="1" spans="1:19">
      <c r="A7" s="7" t="s">
        <v>158</v>
      </c>
      <c r="B7" s="8"/>
      <c r="H7" s="7" t="s">
        <v>15</v>
      </c>
      <c r="I7" s="12">
        <f>SUMIFS($L$89:$L$210,$A$89:$A$210,$H7)</f>
        <v>0</v>
      </c>
      <c r="J7" s="12">
        <f>COUNTIFS($A$89:$A$210,$H7,$G$89:$G$210,"Partial")</f>
        <v>0</v>
      </c>
      <c r="K7" s="12">
        <f>SUMIFS($M$89:$M$210,$A$89:$A$210,$H7)</f>
        <v>0</v>
      </c>
      <c r="L7" s="12">
        <f>SUMIFS($N$89:$N$210,$A$89:$A$210,$H7)</f>
        <v>0</v>
      </c>
      <c r="M7" s="13" t="str">
        <f>IFERROR(I7/(I7+K7),"")</f>
        <v/>
      </c>
      <c r="N7" s="13" t="str">
        <f>IFERROR(I7/(I7+L7),"")</f>
        <v/>
      </c>
      <c r="O7" s="13" t="str">
        <f>IFERROR(2*M7*N7/(M7+N7),"")</f>
        <v/>
      </c>
      <c r="P7" s="13" t="str">
        <f>IFERROR(2*(SUMIFS($O$89:$O$210,$A$89:$A$210,$H7)/(SUMIFS($O$89:$O$210,$A$89:$A$210,$H7)+SUMIFS($P$89:$P$210,$A$89:$A$210,$H7)))*(SUMIFS($O$89:$O$210,$A$89:$A$210,$H7)/(SUMIFS($O$89:$O$210,$A$89:$A$210,$H7)+SUMIFS($Q$89:$Q$210,$A$89:$A$210,$H7)))/((SUMIFS($O$89:$O$210,$A$89:$A$210,$H7)/(SUMIFS($O$89:$O$210,$A$89:$A$210,$H7)+SUMIFS($P$89:$P$210,$A$89:$A$210,$H7)))+(SUMIFS($O$89:$O$210,$A$89:$A$210,$H7)/(SUMIFS($O$89:$O$210,$A$89:$A$210,$H7)+SUMIFS($Q$89:$Q$210,$A$89:$A$210,$H7)))),"")</f>
        <v/>
      </c>
      <c r="Q7" s="12">
        <f>IFERROR(INDEX($F$215:$F$218,MATCH($H7,$A$215:$A$218,0)),"")</f>
        <v>0</v>
      </c>
      <c r="R7" s="13" t="str">
        <f>IFERROR(INDEX($J$215:$J$218,MATCH($H7,$A$215:$A$218,0)),"")</f>
        <v/>
      </c>
      <c r="S7" s="14">
        <f>IFERROR(INDEX($R$215:$R$218,MATCH($H7,$A$215:$A$218,0)),"")</f>
        <v>0</v>
      </c>
    </row>
    <row r="8" ht="18.75" customHeight="1" spans="1:19">
      <c r="A8" s="7" t="s">
        <v>107</v>
      </c>
      <c r="B8" s="8"/>
      <c r="H8" s="7" t="s">
        <v>30</v>
      </c>
      <c r="I8" s="12">
        <f>SUMIFS($L$89:$L$210,$A$89:$A$210,$H8)</f>
        <v>0</v>
      </c>
      <c r="J8" s="12">
        <f>COUNTIFS($A$89:$A$210,$H8,$G$89:$G$210,"Partial")</f>
        <v>0</v>
      </c>
      <c r="K8" s="12">
        <f>SUMIFS($M$89:$M$210,$A$89:$A$210,$H8)</f>
        <v>0</v>
      </c>
      <c r="L8" s="12">
        <f>SUMIFS($N$89:$N$210,$A$89:$A$210,$H8)</f>
        <v>0</v>
      </c>
      <c r="M8" s="13" t="str">
        <f>IFERROR(I8/(I8+K8),"")</f>
        <v/>
      </c>
      <c r="N8" s="13" t="str">
        <f>IFERROR(I8/(I8+L8),"")</f>
        <v/>
      </c>
      <c r="O8" s="13" t="str">
        <f>IFERROR(2*M8*N8/(M8+N8),"")</f>
        <v/>
      </c>
      <c r="P8" s="13" t="str">
        <f>IFERROR(2*(SUMIFS($O$89:$O$210,$A$89:$A$210,$H8)/(SUMIFS($O$89:$O$210,$A$89:$A$210,$H8)+SUMIFS($P$89:$P$210,$A$89:$A$210,$H8)))*(SUMIFS($O$89:$O$210,$A$89:$A$210,$H8)/(SUMIFS($O$89:$O$210,$A$89:$A$210,$H8)+SUMIFS($Q$89:$Q$210,$A$89:$A$210,$H8)))/((SUMIFS($O$89:$O$210,$A$89:$A$210,$H8)/(SUMIFS($O$89:$O$210,$A$89:$A$210,$H8)+SUMIFS($P$89:$P$210,$A$89:$A$210,$H8)))+(SUMIFS($O$89:$O$210,$A$89:$A$210,$H8)/(SUMIFS($O$89:$O$210,$A$89:$A$210,$H8)+SUMIFS($Q$89:$Q$210,$A$89:$A$210,$H8)))),"")</f>
        <v/>
      </c>
      <c r="Q8" s="12">
        <f>IFERROR(INDEX($F$215:$F$218,MATCH($H8,$A$215:$A$218,0)),"")</f>
        <v>0</v>
      </c>
      <c r="R8" s="13" t="str">
        <f>IFERROR(INDEX($J$215:$J$218,MATCH($H8,$A$215:$A$218,0)),"")</f>
        <v/>
      </c>
      <c r="S8" s="14">
        <f>IFERROR(INDEX($R$215:$R$218,MATCH($H8,$A$215:$A$218,0)),"")</f>
        <v>0</v>
      </c>
    </row>
    <row r="9" ht="18.75" customHeight="1" spans="1:19">
      <c r="A9" s="7" t="s">
        <v>160</v>
      </c>
      <c r="B9" s="8"/>
      <c r="H9" s="7" t="s">
        <v>43</v>
      </c>
      <c r="I9" s="12">
        <f>SUMIFS($L$89:$L$210,$A$89:$A$210,$H9)</f>
        <v>0</v>
      </c>
      <c r="J9" s="12">
        <f>COUNTIFS($A$89:$A$210,$H9,$G$89:$G$210,"Partial")</f>
        <v>0</v>
      </c>
      <c r="K9" s="12">
        <f>SUMIFS($M$89:$M$210,$A$89:$A$210,$H9)</f>
        <v>0</v>
      </c>
      <c r="L9" s="12">
        <f>SUMIFS($N$89:$N$210,$A$89:$A$210,$H9)</f>
        <v>0</v>
      </c>
      <c r="M9" s="13" t="str">
        <f>IFERROR(I9/(I9+K9),"")</f>
        <v/>
      </c>
      <c r="N9" s="13" t="str">
        <f>IFERROR(I9/(I9+L9),"")</f>
        <v/>
      </c>
      <c r="O9" s="13" t="str">
        <f>IFERROR(2*M9*N9/(M9+N9),"")</f>
        <v/>
      </c>
      <c r="P9" s="13" t="str">
        <f>IFERROR(2*(SUMIFS($O$89:$O$210,$A$89:$A$210,$H9)/(SUMIFS($O$89:$O$210,$A$89:$A$210,$H9)+SUMIFS($P$89:$P$210,$A$89:$A$210,$H9)))*(SUMIFS($O$89:$O$210,$A$89:$A$210,$H9)/(SUMIFS($O$89:$O$210,$A$89:$A$210,$H9)+SUMIFS($Q$89:$Q$210,$A$89:$A$210,$H9)))/((SUMIFS($O$89:$O$210,$A$89:$A$210,$H9)/(SUMIFS($O$89:$O$210,$A$89:$A$210,$H9)+SUMIFS($P$89:$P$210,$A$89:$A$210,$H9)))+(SUMIFS($O$89:$O$210,$A$89:$A$210,$H9)/(SUMIFS($O$89:$O$210,$A$89:$A$210,$H9)+SUMIFS($Q$89:$Q$210,$A$89:$A$210,$H9)))),"")</f>
        <v/>
      </c>
      <c r="Q9" s="12">
        <f>IFERROR(INDEX($F$215:$F$218,MATCH($H9,$A$215:$A$218,0)),"")</f>
        <v>0</v>
      </c>
      <c r="R9" s="13" t="str">
        <f>IFERROR(INDEX($J$215:$J$218,MATCH($H9,$A$215:$A$218,0)),"")</f>
        <v/>
      </c>
      <c r="S9" s="14">
        <f>IFERROR(INDEX($R$215:$R$218,MATCH($H9,$A$215:$A$218,0)),"")</f>
        <v>0</v>
      </c>
    </row>
    <row r="10" ht="18.75" customHeight="1" spans="1:2">
      <c r="A10" s="7" t="s">
        <v>161</v>
      </c>
      <c r="B10" s="8"/>
    </row>
    <row r="11" ht="18.75" customHeight="1" spans="1:2">
      <c r="A11" s="7" t="s">
        <v>162</v>
      </c>
      <c r="B11" s="8"/>
    </row>
    <row r="12" ht="18.75" customHeight="1" spans="1:2">
      <c r="A12" s="7" t="s">
        <v>163</v>
      </c>
      <c r="B12" s="8"/>
    </row>
    <row r="13" ht="18.75" customHeight="1"/>
    <row r="14" ht="18.75" customHeight="1" spans="1:10">
      <c r="A14" s="3" t="s">
        <v>165</v>
      </c>
      <c r="B14" s="4"/>
      <c r="C14" s="4"/>
      <c r="D14" s="4"/>
      <c r="E14" s="4"/>
      <c r="F14" s="4"/>
      <c r="G14" s="4"/>
      <c r="H14" s="4"/>
      <c r="I14" s="4"/>
      <c r="J14" s="6"/>
    </row>
    <row r="15" s="1" customFormat="1" ht="18.75" customHeight="1" spans="1:10">
      <c r="A15" s="9" t="s">
        <v>147</v>
      </c>
      <c r="B15" s="9" t="s">
        <v>166</v>
      </c>
      <c r="C15" s="9" t="s">
        <v>167</v>
      </c>
      <c r="D15" s="9" t="s">
        <v>168</v>
      </c>
      <c r="E15" s="9" t="s">
        <v>169</v>
      </c>
      <c r="F15" s="9" t="s">
        <v>110</v>
      </c>
      <c r="G15" s="9" t="s">
        <v>170</v>
      </c>
      <c r="H15" s="9" t="s">
        <v>171</v>
      </c>
      <c r="I15" s="9" t="s">
        <v>172</v>
      </c>
      <c r="J15" s="9" t="s">
        <v>173</v>
      </c>
    </row>
    <row r="16" ht="18.75" customHeight="1" spans="1:10">
      <c r="A16" s="7" t="s">
        <v>0</v>
      </c>
      <c r="B16" s="10"/>
      <c r="C16" s="10"/>
      <c r="D16" s="10"/>
      <c r="E16" s="10"/>
      <c r="F16" s="10"/>
      <c r="G16" s="10"/>
      <c r="H16" s="10"/>
      <c r="I16" s="10"/>
      <c r="J16" s="10"/>
    </row>
    <row r="17" ht="18.75" customHeight="1" spans="1:10">
      <c r="A17" s="7" t="s">
        <v>15</v>
      </c>
      <c r="B17" s="10"/>
      <c r="C17" s="10"/>
      <c r="D17" s="10"/>
      <c r="E17" s="10"/>
      <c r="F17" s="10"/>
      <c r="G17" s="10"/>
      <c r="H17" s="10"/>
      <c r="I17" s="10"/>
      <c r="J17" s="10"/>
    </row>
    <row r="18" ht="18.75" customHeight="1" spans="1:10">
      <c r="A18" s="7" t="s">
        <v>30</v>
      </c>
      <c r="B18" s="10"/>
      <c r="C18" s="10"/>
      <c r="D18" s="10"/>
      <c r="E18" s="10"/>
      <c r="F18" s="10"/>
      <c r="G18" s="10"/>
      <c r="H18" s="10"/>
      <c r="I18" s="10"/>
      <c r="J18" s="10"/>
    </row>
    <row r="19" ht="18.75" customHeight="1" spans="1:10">
      <c r="A19" s="7" t="s">
        <v>43</v>
      </c>
      <c r="B19" s="10"/>
      <c r="C19" s="10"/>
      <c r="D19" s="10"/>
      <c r="E19" s="10"/>
      <c r="F19" s="10"/>
      <c r="G19" s="10"/>
      <c r="H19" s="10"/>
      <c r="I19" s="10"/>
      <c r="J19" s="10"/>
    </row>
    <row r="20" ht="18.75" customHeight="1"/>
    <row r="21" ht="18.75" customHeight="1"/>
    <row r="22" ht="18.75" customHeight="1"/>
    <row r="23" ht="18.75" customHeight="1" spans="1:14">
      <c r="A23" s="3" t="s">
        <v>189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6"/>
    </row>
    <row r="24" s="1" customFormat="1" ht="18.75" customHeight="1" spans="1:14">
      <c r="A24" s="9" t="s">
        <v>113</v>
      </c>
      <c r="B24" s="9" t="s">
        <v>190</v>
      </c>
      <c r="C24" s="9" t="s">
        <v>191</v>
      </c>
      <c r="D24" s="9" t="s">
        <v>115</v>
      </c>
      <c r="E24" s="9" t="s">
        <v>117</v>
      </c>
      <c r="F24" s="9" t="s">
        <v>192</v>
      </c>
      <c r="G24" s="9" t="s">
        <v>119</v>
      </c>
      <c r="H24" s="9" t="s">
        <v>193</v>
      </c>
      <c r="I24" s="9" t="s">
        <v>194</v>
      </c>
      <c r="J24" s="9" t="s">
        <v>195</v>
      </c>
      <c r="K24" s="9" t="s">
        <v>121</v>
      </c>
      <c r="L24" s="9" t="s">
        <v>196</v>
      </c>
      <c r="M24" s="9" t="s">
        <v>197</v>
      </c>
      <c r="N24" s="9" t="s">
        <v>198</v>
      </c>
    </row>
    <row r="25" s="1" customFormat="1" ht="18.75" customHeight="1" spans="1:14">
      <c r="A25" s="10"/>
      <c r="B25" s="11"/>
      <c r="C25" s="10"/>
      <c r="D25" s="11"/>
      <c r="E25" s="10"/>
      <c r="F25" s="11"/>
      <c r="G25" s="10"/>
      <c r="H25" s="11"/>
      <c r="I25" s="10"/>
      <c r="J25" s="11"/>
      <c r="K25" s="10"/>
      <c r="L25" s="11"/>
      <c r="M25" s="10"/>
      <c r="N25" s="11"/>
    </row>
    <row r="26" s="1" customFormat="1" ht="18.75" customHeight="1" spans="1:14">
      <c r="A26" s="10"/>
      <c r="B26" s="11"/>
      <c r="C26" s="10"/>
      <c r="D26" s="11"/>
      <c r="E26" s="10"/>
      <c r="F26" s="11"/>
      <c r="G26" s="10"/>
      <c r="H26" s="11"/>
      <c r="I26" s="10"/>
      <c r="J26" s="11"/>
      <c r="K26" s="10"/>
      <c r="L26" s="11"/>
      <c r="M26" s="10"/>
      <c r="N26" s="11"/>
    </row>
    <row r="27" s="1" customFormat="1" ht="18.75" customHeight="1" spans="1:14">
      <c r="A27" s="10"/>
      <c r="B27" s="11"/>
      <c r="C27" s="10"/>
      <c r="D27" s="11"/>
      <c r="E27" s="10"/>
      <c r="F27" s="11"/>
      <c r="G27" s="10"/>
      <c r="H27" s="11"/>
      <c r="I27" s="10"/>
      <c r="J27" s="11"/>
      <c r="K27" s="10"/>
      <c r="L27" s="11"/>
      <c r="M27" s="10"/>
      <c r="N27" s="11"/>
    </row>
    <row r="28" s="1" customFormat="1" ht="18.75" customHeight="1" spans="1:14">
      <c r="A28" s="10"/>
      <c r="B28" s="11"/>
      <c r="C28" s="10"/>
      <c r="D28" s="11"/>
      <c r="E28" s="10"/>
      <c r="F28" s="11"/>
      <c r="G28" s="10"/>
      <c r="H28" s="11"/>
      <c r="I28" s="10"/>
      <c r="J28" s="11"/>
      <c r="K28" s="10"/>
      <c r="L28" s="11"/>
      <c r="M28" s="10"/>
      <c r="N28" s="11"/>
    </row>
    <row r="29" s="1" customFormat="1" ht="18.75" customHeight="1" spans="1:14">
      <c r="A29" s="10"/>
      <c r="B29" s="11"/>
      <c r="C29" s="10"/>
      <c r="D29" s="11"/>
      <c r="E29" s="10"/>
      <c r="F29" s="11"/>
      <c r="G29" s="10"/>
      <c r="H29" s="11"/>
      <c r="I29" s="10"/>
      <c r="J29" s="11"/>
      <c r="K29" s="10"/>
      <c r="L29" s="11"/>
      <c r="M29" s="10"/>
      <c r="N29" s="11"/>
    </row>
    <row r="30" s="1" customFormat="1" ht="18.75" customHeight="1" spans="1:14">
      <c r="A30" s="10"/>
      <c r="B30" s="11"/>
      <c r="C30" s="10"/>
      <c r="D30" s="11"/>
      <c r="E30" s="10"/>
      <c r="F30" s="11"/>
      <c r="G30" s="10"/>
      <c r="H30" s="11"/>
      <c r="I30" s="10"/>
      <c r="J30" s="11"/>
      <c r="K30" s="10"/>
      <c r="L30" s="11"/>
      <c r="M30" s="10"/>
      <c r="N30" s="11"/>
    </row>
    <row r="31" s="1" customFormat="1" ht="18.75" customHeight="1" spans="1:14">
      <c r="A31" s="10"/>
      <c r="B31" s="11"/>
      <c r="C31" s="10"/>
      <c r="D31" s="11"/>
      <c r="E31" s="10"/>
      <c r="F31" s="11"/>
      <c r="G31" s="10"/>
      <c r="H31" s="11"/>
      <c r="I31" s="10"/>
      <c r="J31" s="11"/>
      <c r="K31" s="10"/>
      <c r="L31" s="11"/>
      <c r="M31" s="10"/>
      <c r="N31" s="11"/>
    </row>
    <row r="32" s="1" customFormat="1" ht="18.75" customHeight="1" spans="1:14">
      <c r="A32" s="10"/>
      <c r="B32" s="11"/>
      <c r="C32" s="10"/>
      <c r="D32" s="11"/>
      <c r="E32" s="10"/>
      <c r="F32" s="11"/>
      <c r="G32" s="10"/>
      <c r="H32" s="11"/>
      <c r="I32" s="10"/>
      <c r="J32" s="11"/>
      <c r="K32" s="10"/>
      <c r="L32" s="11"/>
      <c r="M32" s="10"/>
      <c r="N32" s="11"/>
    </row>
    <row r="33" s="1" customFormat="1" ht="18.75" customHeight="1" spans="1:14">
      <c r="A33" s="10"/>
      <c r="B33" s="11"/>
      <c r="C33" s="10"/>
      <c r="D33" s="11"/>
      <c r="E33" s="10"/>
      <c r="F33" s="11"/>
      <c r="G33" s="10"/>
      <c r="H33" s="11"/>
      <c r="I33" s="10"/>
      <c r="J33" s="11"/>
      <c r="K33" s="10"/>
      <c r="L33" s="11"/>
      <c r="M33" s="10"/>
      <c r="N33" s="11"/>
    </row>
    <row r="34" s="1" customFormat="1" ht="18.75" customHeight="1" spans="1:14">
      <c r="A34" s="10"/>
      <c r="B34" s="11"/>
      <c r="C34" s="10"/>
      <c r="D34" s="11"/>
      <c r="E34" s="10"/>
      <c r="F34" s="11"/>
      <c r="G34" s="10"/>
      <c r="H34" s="11"/>
      <c r="I34" s="10"/>
      <c r="J34" s="11"/>
      <c r="K34" s="10"/>
      <c r="L34" s="11"/>
      <c r="M34" s="10"/>
      <c r="N34" s="11"/>
    </row>
    <row r="35" s="1" customFormat="1" ht="18.75" customHeight="1" spans="1:14">
      <c r="A35" s="10"/>
      <c r="B35" s="11"/>
      <c r="C35" s="10"/>
      <c r="D35" s="11"/>
      <c r="E35" s="10"/>
      <c r="F35" s="11"/>
      <c r="G35" s="10"/>
      <c r="H35" s="11"/>
      <c r="I35" s="10"/>
      <c r="J35" s="11"/>
      <c r="K35" s="10"/>
      <c r="L35" s="11"/>
      <c r="M35" s="10"/>
      <c r="N35" s="11"/>
    </row>
    <row r="36" s="1" customFormat="1" ht="18.75" customHeight="1" spans="1:14">
      <c r="A36" s="10"/>
      <c r="B36" s="11"/>
      <c r="C36" s="10"/>
      <c r="D36" s="11"/>
      <c r="E36" s="10"/>
      <c r="F36" s="11"/>
      <c r="G36" s="10"/>
      <c r="H36" s="11"/>
      <c r="I36" s="10"/>
      <c r="J36" s="11"/>
      <c r="K36" s="10"/>
      <c r="L36" s="11"/>
      <c r="M36" s="10"/>
      <c r="N36" s="11"/>
    </row>
    <row r="37" s="1" customFormat="1" ht="18.75" customHeight="1" spans="1:14">
      <c r="A37" s="10"/>
      <c r="B37" s="11"/>
      <c r="C37" s="10"/>
      <c r="D37" s="11"/>
      <c r="E37" s="10"/>
      <c r="F37" s="11"/>
      <c r="G37" s="10"/>
      <c r="H37" s="11"/>
      <c r="I37" s="10"/>
      <c r="J37" s="11"/>
      <c r="K37" s="10"/>
      <c r="L37" s="11"/>
      <c r="M37" s="10"/>
      <c r="N37" s="11"/>
    </row>
    <row r="38" s="1" customFormat="1" ht="18.75" customHeight="1" spans="1:14">
      <c r="A38" s="10"/>
      <c r="B38" s="11"/>
      <c r="C38" s="10"/>
      <c r="D38" s="11"/>
      <c r="E38" s="10"/>
      <c r="F38" s="11"/>
      <c r="G38" s="10"/>
      <c r="H38" s="11"/>
      <c r="I38" s="10"/>
      <c r="J38" s="11"/>
      <c r="K38" s="10"/>
      <c r="L38" s="11"/>
      <c r="M38" s="10"/>
      <c r="N38" s="11"/>
    </row>
    <row r="39" s="1" customFormat="1" ht="18.75" customHeight="1" spans="1:14">
      <c r="A39" s="10"/>
      <c r="B39" s="11"/>
      <c r="C39" s="10"/>
      <c r="D39" s="11"/>
      <c r="E39" s="10"/>
      <c r="F39" s="11"/>
      <c r="G39" s="10"/>
      <c r="H39" s="11"/>
      <c r="I39" s="10"/>
      <c r="J39" s="11"/>
      <c r="K39" s="10"/>
      <c r="L39" s="11"/>
      <c r="M39" s="10"/>
      <c r="N39" s="11"/>
    </row>
    <row r="40" s="1" customFormat="1" ht="18.75" customHeight="1" spans="1:14">
      <c r="A40" s="10"/>
      <c r="B40" s="11"/>
      <c r="C40" s="10"/>
      <c r="D40" s="11"/>
      <c r="E40" s="10"/>
      <c r="F40" s="11"/>
      <c r="G40" s="10"/>
      <c r="H40" s="11"/>
      <c r="I40" s="10"/>
      <c r="J40" s="11"/>
      <c r="K40" s="10"/>
      <c r="L40" s="11"/>
      <c r="M40" s="10"/>
      <c r="N40" s="11"/>
    </row>
    <row r="41" s="1" customFormat="1" ht="18.75" customHeight="1" spans="1:14">
      <c r="A41" s="10"/>
      <c r="B41" s="11"/>
      <c r="C41" s="10"/>
      <c r="D41" s="11"/>
      <c r="E41" s="10"/>
      <c r="F41" s="11"/>
      <c r="G41" s="10"/>
      <c r="H41" s="11"/>
      <c r="I41" s="10"/>
      <c r="J41" s="11"/>
      <c r="K41" s="10"/>
      <c r="L41" s="11"/>
      <c r="M41" s="10"/>
      <c r="N41" s="11"/>
    </row>
    <row r="42" s="1" customFormat="1" ht="18.75" customHeight="1" spans="1:14">
      <c r="A42" s="10"/>
      <c r="B42" s="11"/>
      <c r="C42" s="10"/>
      <c r="D42" s="11"/>
      <c r="E42" s="10"/>
      <c r="F42" s="11"/>
      <c r="G42" s="10"/>
      <c r="H42" s="11"/>
      <c r="I42" s="10"/>
      <c r="J42" s="11"/>
      <c r="K42" s="10"/>
      <c r="L42" s="11"/>
      <c r="M42" s="10"/>
      <c r="N42" s="11"/>
    </row>
    <row r="43" s="1" customFormat="1" ht="18.75" customHeight="1" spans="1:14">
      <c r="A43" s="10"/>
      <c r="B43" s="11"/>
      <c r="C43" s="10"/>
      <c r="D43" s="11"/>
      <c r="E43" s="10"/>
      <c r="F43" s="11"/>
      <c r="G43" s="10"/>
      <c r="H43" s="11"/>
      <c r="I43" s="10"/>
      <c r="J43" s="11"/>
      <c r="K43" s="10"/>
      <c r="L43" s="11"/>
      <c r="M43" s="10"/>
      <c r="N43" s="11"/>
    </row>
    <row r="44" s="1" customFormat="1" ht="18.75" customHeight="1" spans="1:14">
      <c r="A44" s="10"/>
      <c r="B44" s="11"/>
      <c r="C44" s="10"/>
      <c r="D44" s="11"/>
      <c r="E44" s="10"/>
      <c r="F44" s="11"/>
      <c r="G44" s="10"/>
      <c r="H44" s="11"/>
      <c r="I44" s="10"/>
      <c r="J44" s="11"/>
      <c r="K44" s="10"/>
      <c r="L44" s="11"/>
      <c r="M44" s="10"/>
      <c r="N44" s="11"/>
    </row>
    <row r="45" s="1" customFormat="1" ht="18.75" customHeight="1" spans="1:14">
      <c r="A45" s="10"/>
      <c r="B45" s="11"/>
      <c r="C45" s="10"/>
      <c r="D45" s="11"/>
      <c r="E45" s="10"/>
      <c r="F45" s="11"/>
      <c r="G45" s="10"/>
      <c r="H45" s="11"/>
      <c r="I45" s="10"/>
      <c r="J45" s="11"/>
      <c r="K45" s="10"/>
      <c r="L45" s="11"/>
      <c r="M45" s="10"/>
      <c r="N45" s="11"/>
    </row>
    <row r="46" s="1" customFormat="1" ht="18.75" customHeight="1" spans="1:14">
      <c r="A46" s="10"/>
      <c r="B46" s="11"/>
      <c r="C46" s="10"/>
      <c r="D46" s="11"/>
      <c r="E46" s="10"/>
      <c r="F46" s="11"/>
      <c r="G46" s="10"/>
      <c r="H46" s="11"/>
      <c r="I46" s="10"/>
      <c r="J46" s="11"/>
      <c r="K46" s="10"/>
      <c r="L46" s="11"/>
      <c r="M46" s="10"/>
      <c r="N46" s="11"/>
    </row>
    <row r="47" s="1" customFormat="1" ht="18.75" customHeight="1" spans="1:14">
      <c r="A47" s="10"/>
      <c r="B47" s="11"/>
      <c r="C47" s="10"/>
      <c r="D47" s="11"/>
      <c r="E47" s="10"/>
      <c r="F47" s="11"/>
      <c r="G47" s="10"/>
      <c r="H47" s="11"/>
      <c r="I47" s="10"/>
      <c r="J47" s="11"/>
      <c r="K47" s="10"/>
      <c r="L47" s="11"/>
      <c r="M47" s="10"/>
      <c r="N47" s="11"/>
    </row>
    <row r="48" s="1" customFormat="1" ht="18.75" customHeight="1" spans="1:14">
      <c r="A48" s="10"/>
      <c r="B48" s="11"/>
      <c r="C48" s="10"/>
      <c r="D48" s="11"/>
      <c r="E48" s="10"/>
      <c r="F48" s="11"/>
      <c r="G48" s="10"/>
      <c r="H48" s="11"/>
      <c r="I48" s="10"/>
      <c r="J48" s="11"/>
      <c r="K48" s="10"/>
      <c r="L48" s="11"/>
      <c r="M48" s="10"/>
      <c r="N48" s="11"/>
    </row>
    <row r="49" s="1" customFormat="1" ht="18.75" customHeight="1" spans="1:14">
      <c r="A49" s="10"/>
      <c r="B49" s="11"/>
      <c r="C49" s="10"/>
      <c r="D49" s="11"/>
      <c r="E49" s="10"/>
      <c r="F49" s="11"/>
      <c r="G49" s="10"/>
      <c r="H49" s="11"/>
      <c r="I49" s="10"/>
      <c r="J49" s="11"/>
      <c r="K49" s="10"/>
      <c r="L49" s="11"/>
      <c r="M49" s="10"/>
      <c r="N49" s="11"/>
    </row>
    <row r="50" s="1" customFormat="1" ht="18.75" customHeight="1" spans="1:14">
      <c r="A50" s="10"/>
      <c r="B50" s="11"/>
      <c r="C50" s="10"/>
      <c r="D50" s="11"/>
      <c r="E50" s="10"/>
      <c r="F50" s="11"/>
      <c r="G50" s="10"/>
      <c r="H50" s="11"/>
      <c r="I50" s="10"/>
      <c r="J50" s="11"/>
      <c r="K50" s="10"/>
      <c r="L50" s="11"/>
      <c r="M50" s="10"/>
      <c r="N50" s="11"/>
    </row>
    <row r="51" s="1" customFormat="1" ht="18.75" customHeight="1" spans="1:14">
      <c r="A51" s="10"/>
      <c r="B51" s="11"/>
      <c r="C51" s="10"/>
      <c r="D51" s="11"/>
      <c r="E51" s="10"/>
      <c r="F51" s="11"/>
      <c r="G51" s="10"/>
      <c r="H51" s="11"/>
      <c r="I51" s="10"/>
      <c r="J51" s="11"/>
      <c r="K51" s="10"/>
      <c r="L51" s="11"/>
      <c r="M51" s="10"/>
      <c r="N51" s="11"/>
    </row>
    <row r="52" s="1" customFormat="1" ht="18.75" customHeight="1" spans="1:14">
      <c r="A52" s="10"/>
      <c r="B52" s="11"/>
      <c r="C52" s="10"/>
      <c r="D52" s="11"/>
      <c r="E52" s="10"/>
      <c r="F52" s="11"/>
      <c r="G52" s="10"/>
      <c r="H52" s="11"/>
      <c r="I52" s="10"/>
      <c r="J52" s="11"/>
      <c r="K52" s="10"/>
      <c r="L52" s="11"/>
      <c r="M52" s="10"/>
      <c r="N52" s="11"/>
    </row>
    <row r="53" s="1" customFormat="1" ht="18.75" customHeight="1" spans="1:14">
      <c r="A53" s="10"/>
      <c r="B53" s="11"/>
      <c r="C53" s="10"/>
      <c r="D53" s="11"/>
      <c r="E53" s="10"/>
      <c r="F53" s="11"/>
      <c r="G53" s="10"/>
      <c r="H53" s="11"/>
      <c r="I53" s="10"/>
      <c r="J53" s="11"/>
      <c r="K53" s="10"/>
      <c r="L53" s="11"/>
      <c r="M53" s="10"/>
      <c r="N53" s="11"/>
    </row>
    <row r="54" s="1" customFormat="1" ht="18.75" customHeight="1" spans="1:14">
      <c r="A54" s="10"/>
      <c r="B54" s="11"/>
      <c r="C54" s="10"/>
      <c r="D54" s="11"/>
      <c r="E54" s="10"/>
      <c r="F54" s="11"/>
      <c r="G54" s="10"/>
      <c r="H54" s="11"/>
      <c r="I54" s="10"/>
      <c r="J54" s="11"/>
      <c r="K54" s="10"/>
      <c r="L54" s="11"/>
      <c r="M54" s="10"/>
      <c r="N54" s="11"/>
    </row>
    <row r="55" ht="18.75" customHeight="1"/>
    <row r="56" ht="18.75" customHeight="1"/>
    <row r="57" ht="18.75" customHeight="1" spans="1:11">
      <c r="A57" s="3" t="s">
        <v>340</v>
      </c>
      <c r="B57" s="4"/>
      <c r="C57" s="4"/>
      <c r="D57" s="4"/>
      <c r="E57" s="4"/>
      <c r="F57" s="4"/>
      <c r="G57" s="4"/>
      <c r="H57" s="4"/>
      <c r="I57" s="4"/>
      <c r="J57" s="4"/>
      <c r="K57" s="6"/>
    </row>
    <row r="58" s="1" customFormat="1" ht="18.75" customHeight="1" spans="1:11">
      <c r="A58" s="9" t="s">
        <v>124</v>
      </c>
      <c r="B58" s="9" t="s">
        <v>147</v>
      </c>
      <c r="C58" s="9" t="s">
        <v>341</v>
      </c>
      <c r="D58" s="9" t="s">
        <v>342</v>
      </c>
      <c r="E58" s="9" t="s">
        <v>343</v>
      </c>
      <c r="F58" s="9" t="s">
        <v>344</v>
      </c>
      <c r="G58" s="9" t="s">
        <v>171</v>
      </c>
      <c r="H58" s="9" t="s">
        <v>172</v>
      </c>
      <c r="I58" s="9" t="s">
        <v>345</v>
      </c>
      <c r="J58" s="9" t="s">
        <v>126</v>
      </c>
      <c r="K58" s="9" t="s">
        <v>198</v>
      </c>
    </row>
    <row r="59" s="1" customFormat="1" ht="18.75" customHeight="1" spans="1:11">
      <c r="A59" s="10"/>
      <c r="B59" s="11"/>
      <c r="C59" s="10"/>
      <c r="D59" s="11"/>
      <c r="E59" s="10"/>
      <c r="F59" s="11"/>
      <c r="G59" s="10"/>
      <c r="H59" s="11"/>
      <c r="I59" s="10"/>
      <c r="J59" s="11"/>
      <c r="K59" s="10"/>
    </row>
    <row r="60" s="1" customFormat="1" ht="18.75" customHeight="1" spans="1:11">
      <c r="A60" s="10"/>
      <c r="B60" s="11"/>
      <c r="C60" s="10"/>
      <c r="D60" s="11"/>
      <c r="E60" s="10"/>
      <c r="F60" s="11"/>
      <c r="G60" s="10"/>
      <c r="H60" s="11"/>
      <c r="I60" s="10"/>
      <c r="J60" s="11"/>
      <c r="K60" s="10"/>
    </row>
    <row r="61" s="1" customFormat="1" ht="18.75" customHeight="1" spans="1:11">
      <c r="A61" s="10"/>
      <c r="B61" s="11"/>
      <c r="C61" s="10"/>
      <c r="D61" s="11"/>
      <c r="E61" s="10"/>
      <c r="F61" s="11"/>
      <c r="G61" s="10"/>
      <c r="H61" s="11"/>
      <c r="I61" s="10"/>
      <c r="J61" s="11"/>
      <c r="K61" s="10"/>
    </row>
    <row r="62" s="1" customFormat="1" ht="18.75" customHeight="1" spans="1:11">
      <c r="A62" s="10"/>
      <c r="B62" s="11"/>
      <c r="C62" s="10"/>
      <c r="D62" s="11"/>
      <c r="E62" s="10"/>
      <c r="F62" s="11"/>
      <c r="G62" s="10"/>
      <c r="H62" s="11"/>
      <c r="I62" s="10"/>
      <c r="J62" s="11"/>
      <c r="K62" s="10"/>
    </row>
    <row r="63" s="1" customFormat="1" ht="18.75" customHeight="1" spans="1:11">
      <c r="A63" s="10"/>
      <c r="B63" s="11"/>
      <c r="C63" s="10"/>
      <c r="D63" s="11"/>
      <c r="E63" s="10"/>
      <c r="F63" s="11"/>
      <c r="G63" s="10"/>
      <c r="H63" s="11"/>
      <c r="I63" s="10"/>
      <c r="J63" s="11"/>
      <c r="K63" s="10"/>
    </row>
    <row r="64" s="1" customFormat="1" ht="18.75" customHeight="1" spans="1:11">
      <c r="A64" s="10"/>
      <c r="B64" s="11"/>
      <c r="C64" s="10"/>
      <c r="D64" s="11"/>
      <c r="E64" s="10"/>
      <c r="F64" s="11"/>
      <c r="G64" s="10"/>
      <c r="H64" s="11"/>
      <c r="I64" s="10"/>
      <c r="J64" s="11"/>
      <c r="K64" s="10"/>
    </row>
    <row r="65" s="1" customFormat="1" ht="18.75" customHeight="1" spans="1:11">
      <c r="A65" s="10"/>
      <c r="B65" s="11"/>
      <c r="C65" s="10"/>
      <c r="D65" s="11"/>
      <c r="E65" s="10"/>
      <c r="F65" s="11"/>
      <c r="G65" s="10"/>
      <c r="H65" s="11"/>
      <c r="I65" s="10"/>
      <c r="J65" s="11"/>
      <c r="K65" s="10"/>
    </row>
    <row r="66" s="1" customFormat="1" ht="18.75" customHeight="1" spans="1:11">
      <c r="A66" s="10"/>
      <c r="B66" s="11"/>
      <c r="C66" s="10"/>
      <c r="D66" s="11"/>
      <c r="E66" s="10"/>
      <c r="F66" s="11"/>
      <c r="G66" s="10"/>
      <c r="H66" s="11"/>
      <c r="I66" s="10"/>
      <c r="J66" s="11"/>
      <c r="K66" s="10"/>
    </row>
    <row r="67" s="1" customFormat="1" ht="18.75" customHeight="1" spans="1:11">
      <c r="A67" s="10"/>
      <c r="B67" s="11"/>
      <c r="C67" s="10"/>
      <c r="D67" s="11"/>
      <c r="E67" s="10"/>
      <c r="F67" s="11"/>
      <c r="G67" s="10"/>
      <c r="H67" s="11"/>
      <c r="I67" s="10"/>
      <c r="J67" s="11"/>
      <c r="K67" s="10"/>
    </row>
    <row r="68" s="1" customFormat="1" ht="18.75" customHeight="1" spans="1:11">
      <c r="A68" s="10"/>
      <c r="B68" s="11"/>
      <c r="C68" s="10"/>
      <c r="D68" s="11"/>
      <c r="E68" s="10"/>
      <c r="F68" s="11"/>
      <c r="G68" s="10"/>
      <c r="H68" s="11"/>
      <c r="I68" s="10"/>
      <c r="J68" s="11"/>
      <c r="K68" s="10"/>
    </row>
    <row r="69" s="1" customFormat="1" ht="18.75" customHeight="1" spans="1:11">
      <c r="A69" s="10"/>
      <c r="B69" s="11"/>
      <c r="C69" s="10"/>
      <c r="D69" s="11"/>
      <c r="E69" s="10"/>
      <c r="F69" s="11"/>
      <c r="G69" s="10"/>
      <c r="H69" s="11"/>
      <c r="I69" s="10"/>
      <c r="J69" s="11"/>
      <c r="K69" s="10"/>
    </row>
    <row r="70" s="1" customFormat="1" ht="18.75" customHeight="1" spans="1:11">
      <c r="A70" s="10"/>
      <c r="B70" s="11"/>
      <c r="C70" s="10"/>
      <c r="D70" s="11"/>
      <c r="E70" s="10"/>
      <c r="F70" s="11"/>
      <c r="G70" s="10"/>
      <c r="H70" s="11"/>
      <c r="I70" s="10"/>
      <c r="J70" s="11"/>
      <c r="K70" s="10"/>
    </row>
    <row r="71" s="1" customFormat="1" ht="18.75" customHeight="1" spans="1:11">
      <c r="A71" s="10"/>
      <c r="B71" s="11"/>
      <c r="C71" s="10"/>
      <c r="D71" s="11"/>
      <c r="E71" s="10"/>
      <c r="F71" s="11"/>
      <c r="G71" s="10"/>
      <c r="H71" s="11"/>
      <c r="I71" s="10"/>
      <c r="J71" s="11"/>
      <c r="K71" s="10"/>
    </row>
    <row r="72" s="1" customFormat="1" ht="18.75" customHeight="1" spans="1:11">
      <c r="A72" s="10"/>
      <c r="B72" s="11"/>
      <c r="C72" s="10"/>
      <c r="D72" s="11"/>
      <c r="E72" s="10"/>
      <c r="F72" s="11"/>
      <c r="G72" s="10"/>
      <c r="H72" s="11"/>
      <c r="I72" s="10"/>
      <c r="J72" s="11"/>
      <c r="K72" s="10"/>
    </row>
    <row r="73" s="1" customFormat="1" ht="18.75" customHeight="1" spans="1:11">
      <c r="A73" s="10"/>
      <c r="B73" s="11"/>
      <c r="C73" s="10"/>
      <c r="D73" s="11"/>
      <c r="E73" s="10"/>
      <c r="F73" s="11"/>
      <c r="G73" s="10"/>
      <c r="H73" s="11"/>
      <c r="I73" s="10"/>
      <c r="J73" s="11"/>
      <c r="K73" s="10"/>
    </row>
    <row r="74" s="1" customFormat="1" ht="18.75" customHeight="1" spans="1:11">
      <c r="A74" s="10"/>
      <c r="B74" s="11"/>
      <c r="C74" s="10"/>
      <c r="D74" s="11"/>
      <c r="E74" s="10"/>
      <c r="F74" s="11"/>
      <c r="G74" s="10"/>
      <c r="H74" s="11"/>
      <c r="I74" s="10"/>
      <c r="J74" s="11"/>
      <c r="K74" s="10"/>
    </row>
    <row r="75" s="1" customFormat="1" ht="18.75" customHeight="1" spans="1:11">
      <c r="A75" s="10"/>
      <c r="B75" s="11"/>
      <c r="C75" s="10"/>
      <c r="D75" s="11"/>
      <c r="E75" s="10"/>
      <c r="F75" s="11"/>
      <c r="G75" s="10"/>
      <c r="H75" s="11"/>
      <c r="I75" s="10"/>
      <c r="J75" s="11"/>
      <c r="K75" s="10"/>
    </row>
    <row r="76" s="1" customFormat="1" ht="18.75" customHeight="1" spans="1:11">
      <c r="A76" s="10"/>
      <c r="B76" s="11"/>
      <c r="C76" s="10"/>
      <c r="D76" s="11"/>
      <c r="E76" s="10"/>
      <c r="F76" s="11"/>
      <c r="G76" s="10"/>
      <c r="H76" s="11"/>
      <c r="I76" s="10"/>
      <c r="J76" s="11"/>
      <c r="K76" s="10"/>
    </row>
    <row r="77" s="1" customFormat="1" ht="18.75" customHeight="1" spans="1:11">
      <c r="A77" s="10"/>
      <c r="B77" s="11"/>
      <c r="C77" s="10"/>
      <c r="D77" s="11"/>
      <c r="E77" s="10"/>
      <c r="F77" s="11"/>
      <c r="G77" s="10"/>
      <c r="H77" s="11"/>
      <c r="I77" s="10"/>
      <c r="J77" s="11"/>
      <c r="K77" s="10"/>
    </row>
    <row r="78" s="1" customFormat="1" ht="18.75" customHeight="1" spans="1:11">
      <c r="A78" s="10"/>
      <c r="B78" s="11"/>
      <c r="C78" s="10"/>
      <c r="D78" s="11"/>
      <c r="E78" s="10"/>
      <c r="F78" s="11"/>
      <c r="G78" s="10"/>
      <c r="H78" s="11"/>
      <c r="I78" s="10"/>
      <c r="J78" s="11"/>
      <c r="K78" s="10"/>
    </row>
    <row r="79" s="1" customFormat="1" ht="18.75" customHeight="1" spans="1:11">
      <c r="A79" s="10"/>
      <c r="B79" s="11"/>
      <c r="C79" s="10"/>
      <c r="D79" s="11"/>
      <c r="E79" s="10"/>
      <c r="F79" s="11"/>
      <c r="G79" s="10"/>
      <c r="H79" s="11"/>
      <c r="I79" s="10"/>
      <c r="J79" s="11"/>
      <c r="K79" s="10"/>
    </row>
    <row r="80" s="1" customFormat="1" ht="18.75" customHeight="1" spans="1:11">
      <c r="A80" s="10"/>
      <c r="B80" s="11"/>
      <c r="C80" s="10"/>
      <c r="D80" s="11"/>
      <c r="E80" s="10"/>
      <c r="F80" s="11"/>
      <c r="G80" s="10"/>
      <c r="H80" s="11"/>
      <c r="I80" s="10"/>
      <c r="J80" s="11"/>
      <c r="K80" s="10"/>
    </row>
    <row r="81" s="1" customFormat="1" ht="18.75" customHeight="1" spans="1:11">
      <c r="A81" s="10"/>
      <c r="B81" s="11"/>
      <c r="C81" s="10"/>
      <c r="D81" s="11"/>
      <c r="E81" s="10"/>
      <c r="F81" s="11"/>
      <c r="G81" s="10"/>
      <c r="H81" s="11"/>
      <c r="I81" s="10"/>
      <c r="J81" s="11"/>
      <c r="K81" s="10"/>
    </row>
    <row r="82" s="1" customFormat="1" ht="18.75" customHeight="1" spans="1:11">
      <c r="A82" s="10"/>
      <c r="B82" s="11"/>
      <c r="C82" s="10"/>
      <c r="D82" s="11"/>
      <c r="E82" s="10"/>
      <c r="F82" s="11"/>
      <c r="G82" s="10"/>
      <c r="H82" s="11"/>
      <c r="I82" s="10"/>
      <c r="J82" s="11"/>
      <c r="K82" s="10"/>
    </row>
    <row r="83" s="1" customFormat="1" ht="18.75" customHeight="1" spans="1:11">
      <c r="A83" s="10"/>
      <c r="B83" s="11"/>
      <c r="C83" s="10"/>
      <c r="D83" s="11"/>
      <c r="E83" s="10"/>
      <c r="F83" s="11"/>
      <c r="G83" s="10"/>
      <c r="H83" s="11"/>
      <c r="I83" s="10"/>
      <c r="J83" s="11"/>
      <c r="K83" s="10"/>
    </row>
    <row r="84" s="1" customFormat="1" ht="18.75" customHeight="1" spans="1:11">
      <c r="A84" s="10"/>
      <c r="B84" s="11"/>
      <c r="C84" s="10"/>
      <c r="D84" s="11"/>
      <c r="E84" s="10"/>
      <c r="F84" s="11"/>
      <c r="G84" s="10"/>
      <c r="H84" s="11"/>
      <c r="I84" s="10"/>
      <c r="J84" s="11"/>
      <c r="K84" s="10"/>
    </row>
    <row r="85" s="1" customFormat="1" ht="18.75" customHeight="1" spans="1:11">
      <c r="A85" s="10"/>
      <c r="B85" s="11"/>
      <c r="C85" s="10"/>
      <c r="D85" s="11"/>
      <c r="E85" s="10"/>
      <c r="F85" s="11"/>
      <c r="G85" s="10"/>
      <c r="H85" s="11"/>
      <c r="I85" s="10"/>
      <c r="J85" s="11"/>
      <c r="K85" s="10"/>
    </row>
    <row r="86" s="1" customFormat="1" ht="18.75" customHeight="1" spans="1:11">
      <c r="A86" s="10"/>
      <c r="B86" s="11"/>
      <c r="C86" s="10"/>
      <c r="D86" s="11"/>
      <c r="E86" s="10"/>
      <c r="F86" s="11"/>
      <c r="G86" s="10"/>
      <c r="H86" s="11"/>
      <c r="I86" s="10"/>
      <c r="J86" s="11"/>
      <c r="K86" s="10"/>
    </row>
    <row r="87" s="1" customFormat="1" ht="18.75" customHeight="1" spans="1:11">
      <c r="A87" s="10"/>
      <c r="B87" s="11"/>
      <c r="C87" s="10"/>
      <c r="D87" s="11"/>
      <c r="E87" s="10"/>
      <c r="F87" s="11"/>
      <c r="G87" s="10"/>
      <c r="H87" s="11"/>
      <c r="I87" s="10"/>
      <c r="J87" s="11"/>
      <c r="K87" s="10"/>
    </row>
    <row r="88" s="1" customFormat="1" ht="18.75" customHeight="1" spans="1:11">
      <c r="A88" s="10"/>
      <c r="B88" s="11"/>
      <c r="C88" s="10"/>
      <c r="D88" s="11"/>
      <c r="E88" s="10"/>
      <c r="F88" s="11"/>
      <c r="G88" s="10"/>
      <c r="H88" s="11"/>
      <c r="I88" s="10"/>
      <c r="J88" s="11"/>
      <c r="K88" s="10"/>
    </row>
    <row r="89" ht="18.75" customHeight="1" spans="1:17">
      <c r="A89" s="3" t="s">
        <v>437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6"/>
    </row>
    <row r="90" s="1" customFormat="1" ht="18.75" customHeight="1" spans="1:17">
      <c r="A90" s="9" t="s">
        <v>147</v>
      </c>
      <c r="B90" s="9" t="s">
        <v>113</v>
      </c>
      <c r="C90" s="9" t="s">
        <v>124</v>
      </c>
      <c r="D90" s="9" t="s">
        <v>438</v>
      </c>
      <c r="E90" s="9" t="s">
        <v>439</v>
      </c>
      <c r="F90" s="9" t="s">
        <v>440</v>
      </c>
      <c r="G90" s="9" t="s">
        <v>129</v>
      </c>
      <c r="H90" s="9" t="s">
        <v>119</v>
      </c>
      <c r="I90" s="9" t="s">
        <v>441</v>
      </c>
      <c r="J90" s="9" t="s">
        <v>442</v>
      </c>
      <c r="K90" s="9" t="s">
        <v>443</v>
      </c>
      <c r="L90" s="9" t="s">
        <v>444</v>
      </c>
      <c r="M90" s="9" t="s">
        <v>445</v>
      </c>
      <c r="N90" s="9" t="s">
        <v>446</v>
      </c>
      <c r="O90" s="9" t="s">
        <v>447</v>
      </c>
      <c r="P90" s="9" t="s">
        <v>448</v>
      </c>
      <c r="Q90" s="9" t="s">
        <v>449</v>
      </c>
    </row>
    <row r="91" ht="18.75" customHeight="1" spans="1:17">
      <c r="A91" s="10"/>
      <c r="B91" s="10"/>
      <c r="C91" s="10"/>
      <c r="D91" s="10"/>
      <c r="E91" s="10"/>
      <c r="F91" s="10"/>
      <c r="G91" s="10"/>
      <c r="H91" s="15" t="str">
        <f t="shared" ref="H91:H154" si="0">IFERROR(VLOOKUP($B91,$A$25:$N$54,7,FALSE),"")</f>
        <v/>
      </c>
      <c r="I91" s="16" t="str">
        <f t="shared" ref="I91:I154" si="1">IF($H91="Minor",1,IF($H91="Moderate",2,IF($H91="Major",3,IF($H91="Critical",4,""))))</f>
        <v/>
      </c>
      <c r="J91" s="17"/>
      <c r="K91" s="17"/>
      <c r="L91" s="16">
        <f t="shared" ref="L91:L154" si="2">IF(OR($G91="Exact TP",$G91="Equivalent TP"),1,0)</f>
        <v>0</v>
      </c>
      <c r="M91" s="16">
        <f t="shared" ref="M91:M154" si="3">IF(OR($G91="FP Extra",$G91="Harmful FP"),1,0)</f>
        <v>0</v>
      </c>
      <c r="N91" s="16">
        <f t="shared" ref="N91:N154" si="4">IF(OR($G91="FN",$G91="Partial"),1,0)</f>
        <v>0</v>
      </c>
      <c r="O91" s="16">
        <f t="shared" ref="O91:O154" si="5">IF($L91=1,$I91,0)</f>
        <v>0</v>
      </c>
      <c r="P91" s="16">
        <f t="shared" ref="P91:P154" si="6">IF($M91=1,$I91,0)</f>
        <v>0</v>
      </c>
      <c r="Q91" s="16">
        <f t="shared" ref="Q91:Q154" si="7">IF($N91=1,$I91,0)</f>
        <v>0</v>
      </c>
    </row>
    <row r="92" ht="18.75" customHeight="1" spans="1:17">
      <c r="A92" s="10"/>
      <c r="B92" s="10"/>
      <c r="C92" s="10"/>
      <c r="D92" s="10"/>
      <c r="E92" s="10"/>
      <c r="F92" s="10"/>
      <c r="G92" s="10"/>
      <c r="H92" s="15" t="str">
        <f t="shared" si="0"/>
        <v/>
      </c>
      <c r="I92" s="16" t="str">
        <f t="shared" si="1"/>
        <v/>
      </c>
      <c r="J92" s="17"/>
      <c r="K92" s="17"/>
      <c r="L92" s="16">
        <f t="shared" si="2"/>
        <v>0</v>
      </c>
      <c r="M92" s="16">
        <f t="shared" si="3"/>
        <v>0</v>
      </c>
      <c r="N92" s="16">
        <f t="shared" si="4"/>
        <v>0</v>
      </c>
      <c r="O92" s="16">
        <f t="shared" si="5"/>
        <v>0</v>
      </c>
      <c r="P92" s="16">
        <f t="shared" si="6"/>
        <v>0</v>
      </c>
      <c r="Q92" s="16">
        <f t="shared" si="7"/>
        <v>0</v>
      </c>
    </row>
    <row r="93" ht="18.75" customHeight="1" spans="1:17">
      <c r="A93" s="10"/>
      <c r="B93" s="10"/>
      <c r="C93" s="10"/>
      <c r="D93" s="10"/>
      <c r="E93" s="10"/>
      <c r="F93" s="10"/>
      <c r="G93" s="10"/>
      <c r="H93" s="15" t="str">
        <f t="shared" si="0"/>
        <v/>
      </c>
      <c r="I93" s="16" t="str">
        <f t="shared" si="1"/>
        <v/>
      </c>
      <c r="J93" s="17"/>
      <c r="K93" s="17"/>
      <c r="L93" s="16">
        <f t="shared" si="2"/>
        <v>0</v>
      </c>
      <c r="M93" s="16">
        <f t="shared" si="3"/>
        <v>0</v>
      </c>
      <c r="N93" s="16">
        <f t="shared" si="4"/>
        <v>0</v>
      </c>
      <c r="O93" s="16">
        <f t="shared" si="5"/>
        <v>0</v>
      </c>
      <c r="P93" s="16">
        <f t="shared" si="6"/>
        <v>0</v>
      </c>
      <c r="Q93" s="16">
        <f t="shared" si="7"/>
        <v>0</v>
      </c>
    </row>
    <row r="94" ht="18.75" customHeight="1" spans="1:17">
      <c r="A94" s="10"/>
      <c r="B94" s="10"/>
      <c r="C94" s="10"/>
      <c r="D94" s="10"/>
      <c r="E94" s="10"/>
      <c r="F94" s="10"/>
      <c r="G94" s="10"/>
      <c r="H94" s="15" t="str">
        <f t="shared" si="0"/>
        <v/>
      </c>
      <c r="I94" s="16" t="str">
        <f t="shared" si="1"/>
        <v/>
      </c>
      <c r="J94" s="17"/>
      <c r="K94" s="17"/>
      <c r="L94" s="16">
        <f t="shared" si="2"/>
        <v>0</v>
      </c>
      <c r="M94" s="16">
        <f t="shared" si="3"/>
        <v>0</v>
      </c>
      <c r="N94" s="16">
        <f t="shared" si="4"/>
        <v>0</v>
      </c>
      <c r="O94" s="16">
        <f t="shared" si="5"/>
        <v>0</v>
      </c>
      <c r="P94" s="16">
        <f t="shared" si="6"/>
        <v>0</v>
      </c>
      <c r="Q94" s="16">
        <f t="shared" si="7"/>
        <v>0</v>
      </c>
    </row>
    <row r="95" ht="18.75" customHeight="1" spans="1:17">
      <c r="A95" s="10"/>
      <c r="B95" s="10"/>
      <c r="C95" s="10"/>
      <c r="D95" s="10"/>
      <c r="E95" s="10"/>
      <c r="F95" s="10"/>
      <c r="G95" s="10"/>
      <c r="H95" s="15" t="str">
        <f t="shared" si="0"/>
        <v/>
      </c>
      <c r="I95" s="16" t="str">
        <f t="shared" si="1"/>
        <v/>
      </c>
      <c r="J95" s="17"/>
      <c r="K95" s="17"/>
      <c r="L95" s="16">
        <f t="shared" si="2"/>
        <v>0</v>
      </c>
      <c r="M95" s="16">
        <f t="shared" si="3"/>
        <v>0</v>
      </c>
      <c r="N95" s="16">
        <f t="shared" si="4"/>
        <v>0</v>
      </c>
      <c r="O95" s="16">
        <f t="shared" si="5"/>
        <v>0</v>
      </c>
      <c r="P95" s="16">
        <f t="shared" si="6"/>
        <v>0</v>
      </c>
      <c r="Q95" s="16">
        <f t="shared" si="7"/>
        <v>0</v>
      </c>
    </row>
    <row r="96" ht="18.75" customHeight="1" spans="1:17">
      <c r="A96" s="10"/>
      <c r="B96" s="10"/>
      <c r="C96" s="10"/>
      <c r="D96" s="10"/>
      <c r="E96" s="10"/>
      <c r="F96" s="10"/>
      <c r="G96" s="10"/>
      <c r="H96" s="15" t="str">
        <f t="shared" si="0"/>
        <v/>
      </c>
      <c r="I96" s="16" t="str">
        <f t="shared" si="1"/>
        <v/>
      </c>
      <c r="J96" s="17"/>
      <c r="K96" s="17"/>
      <c r="L96" s="16">
        <f t="shared" si="2"/>
        <v>0</v>
      </c>
      <c r="M96" s="16">
        <f t="shared" si="3"/>
        <v>0</v>
      </c>
      <c r="N96" s="16">
        <f t="shared" si="4"/>
        <v>0</v>
      </c>
      <c r="O96" s="16">
        <f t="shared" si="5"/>
        <v>0</v>
      </c>
      <c r="P96" s="16">
        <f t="shared" si="6"/>
        <v>0</v>
      </c>
      <c r="Q96" s="16">
        <f t="shared" si="7"/>
        <v>0</v>
      </c>
    </row>
    <row r="97" ht="18.75" customHeight="1" spans="1:17">
      <c r="A97" s="10"/>
      <c r="B97" s="10"/>
      <c r="C97" s="10"/>
      <c r="D97" s="10"/>
      <c r="E97" s="10"/>
      <c r="F97" s="10"/>
      <c r="G97" s="10"/>
      <c r="H97" s="15" t="str">
        <f t="shared" si="0"/>
        <v/>
      </c>
      <c r="I97" s="16" t="str">
        <f t="shared" si="1"/>
        <v/>
      </c>
      <c r="J97" s="17"/>
      <c r="K97" s="17"/>
      <c r="L97" s="16">
        <f t="shared" si="2"/>
        <v>0</v>
      </c>
      <c r="M97" s="16">
        <f t="shared" si="3"/>
        <v>0</v>
      </c>
      <c r="N97" s="16">
        <f t="shared" si="4"/>
        <v>0</v>
      </c>
      <c r="O97" s="16">
        <f t="shared" si="5"/>
        <v>0</v>
      </c>
      <c r="P97" s="16">
        <f t="shared" si="6"/>
        <v>0</v>
      </c>
      <c r="Q97" s="16">
        <f t="shared" si="7"/>
        <v>0</v>
      </c>
    </row>
    <row r="98" ht="18.75" customHeight="1" spans="1:17">
      <c r="A98" s="10"/>
      <c r="B98" s="10"/>
      <c r="C98" s="10"/>
      <c r="D98" s="10"/>
      <c r="E98" s="10"/>
      <c r="F98" s="10"/>
      <c r="G98" s="10"/>
      <c r="H98" s="15" t="str">
        <f t="shared" si="0"/>
        <v/>
      </c>
      <c r="I98" s="16" t="str">
        <f t="shared" si="1"/>
        <v/>
      </c>
      <c r="J98" s="17"/>
      <c r="K98" s="17"/>
      <c r="L98" s="16">
        <f t="shared" si="2"/>
        <v>0</v>
      </c>
      <c r="M98" s="16">
        <f t="shared" si="3"/>
        <v>0</v>
      </c>
      <c r="N98" s="16">
        <f t="shared" si="4"/>
        <v>0</v>
      </c>
      <c r="O98" s="16">
        <f t="shared" si="5"/>
        <v>0</v>
      </c>
      <c r="P98" s="16">
        <f t="shared" si="6"/>
        <v>0</v>
      </c>
      <c r="Q98" s="16">
        <f t="shared" si="7"/>
        <v>0</v>
      </c>
    </row>
    <row r="99" ht="18.75" customHeight="1" spans="1:17">
      <c r="A99" s="10"/>
      <c r="B99" s="10"/>
      <c r="C99" s="10"/>
      <c r="D99" s="10"/>
      <c r="E99" s="10"/>
      <c r="F99" s="10"/>
      <c r="G99" s="10"/>
      <c r="H99" s="15" t="str">
        <f t="shared" si="0"/>
        <v/>
      </c>
      <c r="I99" s="16" t="str">
        <f t="shared" si="1"/>
        <v/>
      </c>
      <c r="J99" s="17"/>
      <c r="K99" s="17"/>
      <c r="L99" s="16">
        <f t="shared" si="2"/>
        <v>0</v>
      </c>
      <c r="M99" s="16">
        <f t="shared" si="3"/>
        <v>0</v>
      </c>
      <c r="N99" s="16">
        <f t="shared" si="4"/>
        <v>0</v>
      </c>
      <c r="O99" s="16">
        <f t="shared" si="5"/>
        <v>0</v>
      </c>
      <c r="P99" s="16">
        <f t="shared" si="6"/>
        <v>0</v>
      </c>
      <c r="Q99" s="16">
        <f t="shared" si="7"/>
        <v>0</v>
      </c>
    </row>
    <row r="100" ht="18.75" customHeight="1" spans="1:17">
      <c r="A100" s="10"/>
      <c r="B100" s="10"/>
      <c r="C100" s="10"/>
      <c r="D100" s="10"/>
      <c r="E100" s="10"/>
      <c r="F100" s="10"/>
      <c r="G100" s="10"/>
      <c r="H100" s="15" t="str">
        <f t="shared" si="0"/>
        <v/>
      </c>
      <c r="I100" s="16" t="str">
        <f t="shared" si="1"/>
        <v/>
      </c>
      <c r="J100" s="17"/>
      <c r="K100" s="17"/>
      <c r="L100" s="16">
        <f t="shared" si="2"/>
        <v>0</v>
      </c>
      <c r="M100" s="16">
        <f t="shared" si="3"/>
        <v>0</v>
      </c>
      <c r="N100" s="16">
        <f t="shared" si="4"/>
        <v>0</v>
      </c>
      <c r="O100" s="16">
        <f t="shared" si="5"/>
        <v>0</v>
      </c>
      <c r="P100" s="16">
        <f t="shared" si="6"/>
        <v>0</v>
      </c>
      <c r="Q100" s="16">
        <f t="shared" si="7"/>
        <v>0</v>
      </c>
    </row>
    <row r="101" ht="18.75" customHeight="1" spans="1:17">
      <c r="A101" s="10"/>
      <c r="B101" s="10"/>
      <c r="C101" s="10"/>
      <c r="D101" s="10"/>
      <c r="E101" s="10"/>
      <c r="F101" s="10"/>
      <c r="G101" s="10"/>
      <c r="H101" s="15" t="str">
        <f t="shared" si="0"/>
        <v/>
      </c>
      <c r="I101" s="16" t="str">
        <f t="shared" si="1"/>
        <v/>
      </c>
      <c r="J101" s="17"/>
      <c r="K101" s="17"/>
      <c r="L101" s="16">
        <f t="shared" si="2"/>
        <v>0</v>
      </c>
      <c r="M101" s="16">
        <f t="shared" si="3"/>
        <v>0</v>
      </c>
      <c r="N101" s="16">
        <f t="shared" si="4"/>
        <v>0</v>
      </c>
      <c r="O101" s="16">
        <f t="shared" si="5"/>
        <v>0</v>
      </c>
      <c r="P101" s="16">
        <f t="shared" si="6"/>
        <v>0</v>
      </c>
      <c r="Q101" s="16">
        <f t="shared" si="7"/>
        <v>0</v>
      </c>
    </row>
    <row r="102" ht="18.75" customHeight="1" spans="1:17">
      <c r="A102" s="10"/>
      <c r="B102" s="10"/>
      <c r="C102" s="10"/>
      <c r="D102" s="10"/>
      <c r="E102" s="10"/>
      <c r="F102" s="10"/>
      <c r="G102" s="10"/>
      <c r="H102" s="15" t="str">
        <f t="shared" si="0"/>
        <v/>
      </c>
      <c r="I102" s="16" t="str">
        <f t="shared" si="1"/>
        <v/>
      </c>
      <c r="J102" s="17"/>
      <c r="K102" s="17"/>
      <c r="L102" s="16">
        <f t="shared" si="2"/>
        <v>0</v>
      </c>
      <c r="M102" s="16">
        <f t="shared" si="3"/>
        <v>0</v>
      </c>
      <c r="N102" s="16">
        <f t="shared" si="4"/>
        <v>0</v>
      </c>
      <c r="O102" s="16">
        <f t="shared" si="5"/>
        <v>0</v>
      </c>
      <c r="P102" s="16">
        <f t="shared" si="6"/>
        <v>0</v>
      </c>
      <c r="Q102" s="16">
        <f t="shared" si="7"/>
        <v>0</v>
      </c>
    </row>
    <row r="103" ht="18.75" customHeight="1" spans="1:17">
      <c r="A103" s="10"/>
      <c r="B103" s="10"/>
      <c r="C103" s="10"/>
      <c r="D103" s="10"/>
      <c r="E103" s="10"/>
      <c r="F103" s="10"/>
      <c r="G103" s="10"/>
      <c r="H103" s="15" t="str">
        <f t="shared" si="0"/>
        <v/>
      </c>
      <c r="I103" s="16" t="str">
        <f t="shared" si="1"/>
        <v/>
      </c>
      <c r="J103" s="17"/>
      <c r="K103" s="17"/>
      <c r="L103" s="16">
        <f t="shared" si="2"/>
        <v>0</v>
      </c>
      <c r="M103" s="16">
        <f t="shared" si="3"/>
        <v>0</v>
      </c>
      <c r="N103" s="16">
        <f t="shared" si="4"/>
        <v>0</v>
      </c>
      <c r="O103" s="16">
        <f t="shared" si="5"/>
        <v>0</v>
      </c>
      <c r="P103" s="16">
        <f t="shared" si="6"/>
        <v>0</v>
      </c>
      <c r="Q103" s="16">
        <f t="shared" si="7"/>
        <v>0</v>
      </c>
    </row>
    <row r="104" ht="18.75" customHeight="1" spans="1:17">
      <c r="A104" s="10"/>
      <c r="B104" s="10"/>
      <c r="C104" s="10"/>
      <c r="D104" s="10"/>
      <c r="E104" s="10"/>
      <c r="F104" s="10"/>
      <c r="G104" s="10"/>
      <c r="H104" s="15" t="str">
        <f t="shared" si="0"/>
        <v/>
      </c>
      <c r="I104" s="16" t="str">
        <f t="shared" si="1"/>
        <v/>
      </c>
      <c r="J104" s="17"/>
      <c r="K104" s="17"/>
      <c r="L104" s="16">
        <f t="shared" si="2"/>
        <v>0</v>
      </c>
      <c r="M104" s="16">
        <f t="shared" si="3"/>
        <v>0</v>
      </c>
      <c r="N104" s="16">
        <f t="shared" si="4"/>
        <v>0</v>
      </c>
      <c r="O104" s="16">
        <f t="shared" si="5"/>
        <v>0</v>
      </c>
      <c r="P104" s="16">
        <f t="shared" si="6"/>
        <v>0</v>
      </c>
      <c r="Q104" s="16">
        <f t="shared" si="7"/>
        <v>0</v>
      </c>
    </row>
    <row r="105" ht="18.75" customHeight="1" spans="1:17">
      <c r="A105" s="10"/>
      <c r="B105" s="10"/>
      <c r="C105" s="10"/>
      <c r="D105" s="10"/>
      <c r="E105" s="10"/>
      <c r="F105" s="10"/>
      <c r="G105" s="10"/>
      <c r="H105" s="15" t="str">
        <f t="shared" si="0"/>
        <v/>
      </c>
      <c r="I105" s="16" t="str">
        <f t="shared" si="1"/>
        <v/>
      </c>
      <c r="J105" s="17"/>
      <c r="K105" s="17"/>
      <c r="L105" s="16">
        <f t="shared" si="2"/>
        <v>0</v>
      </c>
      <c r="M105" s="16">
        <f t="shared" si="3"/>
        <v>0</v>
      </c>
      <c r="N105" s="16">
        <f t="shared" si="4"/>
        <v>0</v>
      </c>
      <c r="O105" s="16">
        <f t="shared" si="5"/>
        <v>0</v>
      </c>
      <c r="P105" s="16">
        <f t="shared" si="6"/>
        <v>0</v>
      </c>
      <c r="Q105" s="16">
        <f t="shared" si="7"/>
        <v>0</v>
      </c>
    </row>
    <row r="106" ht="18.75" customHeight="1" spans="1:17">
      <c r="A106" s="10"/>
      <c r="B106" s="10"/>
      <c r="C106" s="10"/>
      <c r="D106" s="10"/>
      <c r="E106" s="10"/>
      <c r="F106" s="10"/>
      <c r="G106" s="10"/>
      <c r="H106" s="15" t="str">
        <f t="shared" si="0"/>
        <v/>
      </c>
      <c r="I106" s="16" t="str">
        <f t="shared" si="1"/>
        <v/>
      </c>
      <c r="J106" s="17"/>
      <c r="K106" s="17"/>
      <c r="L106" s="16">
        <f t="shared" si="2"/>
        <v>0</v>
      </c>
      <c r="M106" s="16">
        <f t="shared" si="3"/>
        <v>0</v>
      </c>
      <c r="N106" s="16">
        <f t="shared" si="4"/>
        <v>0</v>
      </c>
      <c r="O106" s="16">
        <f t="shared" si="5"/>
        <v>0</v>
      </c>
      <c r="P106" s="16">
        <f t="shared" si="6"/>
        <v>0</v>
      </c>
      <c r="Q106" s="16">
        <f t="shared" si="7"/>
        <v>0</v>
      </c>
    </row>
    <row r="107" ht="18.75" customHeight="1" spans="1:17">
      <c r="A107" s="10"/>
      <c r="B107" s="10"/>
      <c r="C107" s="10"/>
      <c r="D107" s="10"/>
      <c r="E107" s="10"/>
      <c r="F107" s="10"/>
      <c r="G107" s="10"/>
      <c r="H107" s="15" t="str">
        <f t="shared" si="0"/>
        <v/>
      </c>
      <c r="I107" s="16" t="str">
        <f t="shared" si="1"/>
        <v/>
      </c>
      <c r="J107" s="17"/>
      <c r="K107" s="17"/>
      <c r="L107" s="16">
        <f t="shared" si="2"/>
        <v>0</v>
      </c>
      <c r="M107" s="16">
        <f t="shared" si="3"/>
        <v>0</v>
      </c>
      <c r="N107" s="16">
        <f t="shared" si="4"/>
        <v>0</v>
      </c>
      <c r="O107" s="16">
        <f t="shared" si="5"/>
        <v>0</v>
      </c>
      <c r="P107" s="16">
        <f t="shared" si="6"/>
        <v>0</v>
      </c>
      <c r="Q107" s="16">
        <f t="shared" si="7"/>
        <v>0</v>
      </c>
    </row>
    <row r="108" ht="18.75" customHeight="1" spans="1:17">
      <c r="A108" s="10"/>
      <c r="B108" s="10"/>
      <c r="C108" s="10"/>
      <c r="D108" s="10"/>
      <c r="E108" s="10"/>
      <c r="F108" s="10"/>
      <c r="G108" s="10"/>
      <c r="H108" s="15" t="str">
        <f t="shared" si="0"/>
        <v/>
      </c>
      <c r="I108" s="16" t="str">
        <f t="shared" si="1"/>
        <v/>
      </c>
      <c r="J108" s="17"/>
      <c r="K108" s="17"/>
      <c r="L108" s="16">
        <f t="shared" si="2"/>
        <v>0</v>
      </c>
      <c r="M108" s="16">
        <f t="shared" si="3"/>
        <v>0</v>
      </c>
      <c r="N108" s="16">
        <f t="shared" si="4"/>
        <v>0</v>
      </c>
      <c r="O108" s="16">
        <f t="shared" si="5"/>
        <v>0</v>
      </c>
      <c r="P108" s="16">
        <f t="shared" si="6"/>
        <v>0</v>
      </c>
      <c r="Q108" s="16">
        <f t="shared" si="7"/>
        <v>0</v>
      </c>
    </row>
    <row r="109" ht="18.75" customHeight="1" spans="1:17">
      <c r="A109" s="10"/>
      <c r="B109" s="10"/>
      <c r="C109" s="10"/>
      <c r="D109" s="10"/>
      <c r="E109" s="10"/>
      <c r="F109" s="10"/>
      <c r="G109" s="10"/>
      <c r="H109" s="15" t="str">
        <f t="shared" si="0"/>
        <v/>
      </c>
      <c r="I109" s="16" t="str">
        <f t="shared" si="1"/>
        <v/>
      </c>
      <c r="J109" s="17"/>
      <c r="K109" s="17"/>
      <c r="L109" s="16">
        <f t="shared" si="2"/>
        <v>0</v>
      </c>
      <c r="M109" s="16">
        <f t="shared" si="3"/>
        <v>0</v>
      </c>
      <c r="N109" s="16">
        <f t="shared" si="4"/>
        <v>0</v>
      </c>
      <c r="O109" s="16">
        <f t="shared" si="5"/>
        <v>0</v>
      </c>
      <c r="P109" s="16">
        <f t="shared" si="6"/>
        <v>0</v>
      </c>
      <c r="Q109" s="16">
        <f t="shared" si="7"/>
        <v>0</v>
      </c>
    </row>
    <row r="110" ht="18.75" customHeight="1" spans="1:17">
      <c r="A110" s="10"/>
      <c r="B110" s="10"/>
      <c r="C110" s="10"/>
      <c r="D110" s="10"/>
      <c r="E110" s="10"/>
      <c r="F110" s="10"/>
      <c r="G110" s="10"/>
      <c r="H110" s="15" t="str">
        <f t="shared" si="0"/>
        <v/>
      </c>
      <c r="I110" s="16" t="str">
        <f t="shared" si="1"/>
        <v/>
      </c>
      <c r="J110" s="17"/>
      <c r="K110" s="17"/>
      <c r="L110" s="16">
        <f t="shared" si="2"/>
        <v>0</v>
      </c>
      <c r="M110" s="16">
        <f t="shared" si="3"/>
        <v>0</v>
      </c>
      <c r="N110" s="16">
        <f t="shared" si="4"/>
        <v>0</v>
      </c>
      <c r="O110" s="16">
        <f t="shared" si="5"/>
        <v>0</v>
      </c>
      <c r="P110" s="16">
        <f t="shared" si="6"/>
        <v>0</v>
      </c>
      <c r="Q110" s="16">
        <f t="shared" si="7"/>
        <v>0</v>
      </c>
    </row>
    <row r="111" ht="18.75" customHeight="1" spans="1:17">
      <c r="A111" s="10"/>
      <c r="B111" s="10"/>
      <c r="C111" s="10"/>
      <c r="D111" s="10"/>
      <c r="E111" s="10"/>
      <c r="F111" s="10"/>
      <c r="G111" s="10"/>
      <c r="H111" s="15" t="str">
        <f t="shared" si="0"/>
        <v/>
      </c>
      <c r="I111" s="16" t="str">
        <f t="shared" si="1"/>
        <v/>
      </c>
      <c r="J111" s="17"/>
      <c r="K111" s="17"/>
      <c r="L111" s="16">
        <f t="shared" si="2"/>
        <v>0</v>
      </c>
      <c r="M111" s="16">
        <f t="shared" si="3"/>
        <v>0</v>
      </c>
      <c r="N111" s="16">
        <f t="shared" si="4"/>
        <v>0</v>
      </c>
      <c r="O111" s="16">
        <f t="shared" si="5"/>
        <v>0</v>
      </c>
      <c r="P111" s="16">
        <f t="shared" si="6"/>
        <v>0</v>
      </c>
      <c r="Q111" s="16">
        <f t="shared" si="7"/>
        <v>0</v>
      </c>
    </row>
    <row r="112" ht="18.75" customHeight="1" spans="1:17">
      <c r="A112" s="10"/>
      <c r="B112" s="10"/>
      <c r="C112" s="10"/>
      <c r="D112" s="10"/>
      <c r="E112" s="10"/>
      <c r="F112" s="10"/>
      <c r="G112" s="10"/>
      <c r="H112" s="15" t="str">
        <f t="shared" si="0"/>
        <v/>
      </c>
      <c r="I112" s="16" t="str">
        <f t="shared" si="1"/>
        <v/>
      </c>
      <c r="J112" s="17"/>
      <c r="K112" s="17"/>
      <c r="L112" s="16">
        <f t="shared" si="2"/>
        <v>0</v>
      </c>
      <c r="M112" s="16">
        <f t="shared" si="3"/>
        <v>0</v>
      </c>
      <c r="N112" s="16">
        <f t="shared" si="4"/>
        <v>0</v>
      </c>
      <c r="O112" s="16">
        <f t="shared" si="5"/>
        <v>0</v>
      </c>
      <c r="P112" s="16">
        <f t="shared" si="6"/>
        <v>0</v>
      </c>
      <c r="Q112" s="16">
        <f t="shared" si="7"/>
        <v>0</v>
      </c>
    </row>
    <row r="113" ht="18.75" customHeight="1" spans="1:17">
      <c r="A113" s="10"/>
      <c r="B113" s="10"/>
      <c r="C113" s="10"/>
      <c r="D113" s="10"/>
      <c r="E113" s="10"/>
      <c r="F113" s="10"/>
      <c r="G113" s="10"/>
      <c r="H113" s="15" t="str">
        <f t="shared" si="0"/>
        <v/>
      </c>
      <c r="I113" s="16" t="str">
        <f t="shared" si="1"/>
        <v/>
      </c>
      <c r="J113" s="17"/>
      <c r="K113" s="17"/>
      <c r="L113" s="16">
        <f t="shared" si="2"/>
        <v>0</v>
      </c>
      <c r="M113" s="16">
        <f t="shared" si="3"/>
        <v>0</v>
      </c>
      <c r="N113" s="16">
        <f t="shared" si="4"/>
        <v>0</v>
      </c>
      <c r="O113" s="16">
        <f t="shared" si="5"/>
        <v>0</v>
      </c>
      <c r="P113" s="16">
        <f t="shared" si="6"/>
        <v>0</v>
      </c>
      <c r="Q113" s="16">
        <f t="shared" si="7"/>
        <v>0</v>
      </c>
    </row>
    <row r="114" ht="18.75" customHeight="1" spans="1:17">
      <c r="A114" s="10"/>
      <c r="B114" s="10"/>
      <c r="C114" s="10"/>
      <c r="D114" s="10"/>
      <c r="E114" s="10"/>
      <c r="F114" s="10"/>
      <c r="G114" s="10"/>
      <c r="H114" s="15" t="str">
        <f t="shared" si="0"/>
        <v/>
      </c>
      <c r="I114" s="16" t="str">
        <f t="shared" si="1"/>
        <v/>
      </c>
      <c r="J114" s="17"/>
      <c r="K114" s="17"/>
      <c r="L114" s="16">
        <f t="shared" si="2"/>
        <v>0</v>
      </c>
      <c r="M114" s="16">
        <f t="shared" si="3"/>
        <v>0</v>
      </c>
      <c r="N114" s="16">
        <f t="shared" si="4"/>
        <v>0</v>
      </c>
      <c r="O114" s="16">
        <f t="shared" si="5"/>
        <v>0</v>
      </c>
      <c r="P114" s="16">
        <f t="shared" si="6"/>
        <v>0</v>
      </c>
      <c r="Q114" s="16">
        <f t="shared" si="7"/>
        <v>0</v>
      </c>
    </row>
    <row r="115" ht="18.75" customHeight="1" spans="1:17">
      <c r="A115" s="10"/>
      <c r="B115" s="10"/>
      <c r="C115" s="10"/>
      <c r="D115" s="10"/>
      <c r="E115" s="10"/>
      <c r="F115" s="10"/>
      <c r="G115" s="10"/>
      <c r="H115" s="15" t="str">
        <f t="shared" si="0"/>
        <v/>
      </c>
      <c r="I115" s="16" t="str">
        <f t="shared" si="1"/>
        <v/>
      </c>
      <c r="J115" s="17"/>
      <c r="K115" s="17"/>
      <c r="L115" s="16">
        <f t="shared" si="2"/>
        <v>0</v>
      </c>
      <c r="M115" s="16">
        <f t="shared" si="3"/>
        <v>0</v>
      </c>
      <c r="N115" s="16">
        <f t="shared" si="4"/>
        <v>0</v>
      </c>
      <c r="O115" s="16">
        <f t="shared" si="5"/>
        <v>0</v>
      </c>
      <c r="P115" s="16">
        <f t="shared" si="6"/>
        <v>0</v>
      </c>
      <c r="Q115" s="16">
        <f t="shared" si="7"/>
        <v>0</v>
      </c>
    </row>
    <row r="116" ht="18.75" customHeight="1" spans="1:17">
      <c r="A116" s="10"/>
      <c r="B116" s="10"/>
      <c r="C116" s="10"/>
      <c r="D116" s="10"/>
      <c r="E116" s="10"/>
      <c r="F116" s="10"/>
      <c r="G116" s="10"/>
      <c r="H116" s="15" t="str">
        <f t="shared" si="0"/>
        <v/>
      </c>
      <c r="I116" s="16" t="str">
        <f t="shared" si="1"/>
        <v/>
      </c>
      <c r="J116" s="17"/>
      <c r="K116" s="17"/>
      <c r="L116" s="16">
        <f t="shared" si="2"/>
        <v>0</v>
      </c>
      <c r="M116" s="16">
        <f t="shared" si="3"/>
        <v>0</v>
      </c>
      <c r="N116" s="16">
        <f t="shared" si="4"/>
        <v>0</v>
      </c>
      <c r="O116" s="16">
        <f t="shared" si="5"/>
        <v>0</v>
      </c>
      <c r="P116" s="16">
        <f t="shared" si="6"/>
        <v>0</v>
      </c>
      <c r="Q116" s="16">
        <f t="shared" si="7"/>
        <v>0</v>
      </c>
    </row>
    <row r="117" ht="18.75" customHeight="1" spans="1:17">
      <c r="A117" s="10"/>
      <c r="B117" s="10"/>
      <c r="C117" s="10"/>
      <c r="D117" s="10"/>
      <c r="E117" s="10"/>
      <c r="F117" s="10"/>
      <c r="G117" s="10"/>
      <c r="H117" s="15" t="str">
        <f t="shared" si="0"/>
        <v/>
      </c>
      <c r="I117" s="16" t="str">
        <f t="shared" si="1"/>
        <v/>
      </c>
      <c r="J117" s="17"/>
      <c r="K117" s="17"/>
      <c r="L117" s="16">
        <f t="shared" si="2"/>
        <v>0</v>
      </c>
      <c r="M117" s="16">
        <f t="shared" si="3"/>
        <v>0</v>
      </c>
      <c r="N117" s="16">
        <f t="shared" si="4"/>
        <v>0</v>
      </c>
      <c r="O117" s="16">
        <f t="shared" si="5"/>
        <v>0</v>
      </c>
      <c r="P117" s="16">
        <f t="shared" si="6"/>
        <v>0</v>
      </c>
      <c r="Q117" s="16">
        <f t="shared" si="7"/>
        <v>0</v>
      </c>
    </row>
    <row r="118" ht="18.75" customHeight="1" spans="1:17">
      <c r="A118" s="10"/>
      <c r="B118" s="10"/>
      <c r="C118" s="10"/>
      <c r="D118" s="10"/>
      <c r="E118" s="10"/>
      <c r="F118" s="10"/>
      <c r="G118" s="10"/>
      <c r="H118" s="15" t="str">
        <f t="shared" si="0"/>
        <v/>
      </c>
      <c r="I118" s="16" t="str">
        <f t="shared" si="1"/>
        <v/>
      </c>
      <c r="J118" s="17"/>
      <c r="K118" s="17"/>
      <c r="L118" s="16">
        <f t="shared" si="2"/>
        <v>0</v>
      </c>
      <c r="M118" s="16">
        <f t="shared" si="3"/>
        <v>0</v>
      </c>
      <c r="N118" s="16">
        <f t="shared" si="4"/>
        <v>0</v>
      </c>
      <c r="O118" s="16">
        <f t="shared" si="5"/>
        <v>0</v>
      </c>
      <c r="P118" s="16">
        <f t="shared" si="6"/>
        <v>0</v>
      </c>
      <c r="Q118" s="16">
        <f t="shared" si="7"/>
        <v>0</v>
      </c>
    </row>
    <row r="119" ht="18.75" customHeight="1" spans="1:17">
      <c r="A119" s="10"/>
      <c r="B119" s="10"/>
      <c r="C119" s="10"/>
      <c r="D119" s="10"/>
      <c r="E119" s="10"/>
      <c r="F119" s="10"/>
      <c r="G119" s="10"/>
      <c r="H119" s="15" t="str">
        <f t="shared" si="0"/>
        <v/>
      </c>
      <c r="I119" s="16" t="str">
        <f t="shared" si="1"/>
        <v/>
      </c>
      <c r="J119" s="17"/>
      <c r="K119" s="17"/>
      <c r="L119" s="16">
        <f t="shared" si="2"/>
        <v>0</v>
      </c>
      <c r="M119" s="16">
        <f t="shared" si="3"/>
        <v>0</v>
      </c>
      <c r="N119" s="16">
        <f t="shared" si="4"/>
        <v>0</v>
      </c>
      <c r="O119" s="16">
        <f t="shared" si="5"/>
        <v>0</v>
      </c>
      <c r="P119" s="16">
        <f t="shared" si="6"/>
        <v>0</v>
      </c>
      <c r="Q119" s="16">
        <f t="shared" si="7"/>
        <v>0</v>
      </c>
    </row>
    <row r="120" ht="18.75" customHeight="1" spans="1:17">
      <c r="A120" s="10"/>
      <c r="B120" s="10"/>
      <c r="C120" s="10"/>
      <c r="D120" s="10"/>
      <c r="E120" s="10"/>
      <c r="F120" s="10"/>
      <c r="G120" s="10"/>
      <c r="H120" s="15" t="str">
        <f t="shared" si="0"/>
        <v/>
      </c>
      <c r="I120" s="16" t="str">
        <f t="shared" si="1"/>
        <v/>
      </c>
      <c r="J120" s="17"/>
      <c r="K120" s="17"/>
      <c r="L120" s="16">
        <f t="shared" si="2"/>
        <v>0</v>
      </c>
      <c r="M120" s="16">
        <f t="shared" si="3"/>
        <v>0</v>
      </c>
      <c r="N120" s="16">
        <f t="shared" si="4"/>
        <v>0</v>
      </c>
      <c r="O120" s="16">
        <f t="shared" si="5"/>
        <v>0</v>
      </c>
      <c r="P120" s="16">
        <f t="shared" si="6"/>
        <v>0</v>
      </c>
      <c r="Q120" s="16">
        <f t="shared" si="7"/>
        <v>0</v>
      </c>
    </row>
    <row r="121" ht="18.75" customHeight="1" spans="1:17">
      <c r="A121" s="10"/>
      <c r="B121" s="10"/>
      <c r="C121" s="10"/>
      <c r="D121" s="10"/>
      <c r="E121" s="10"/>
      <c r="F121" s="10"/>
      <c r="G121" s="10"/>
      <c r="H121" s="15" t="str">
        <f t="shared" si="0"/>
        <v/>
      </c>
      <c r="I121" s="16" t="str">
        <f t="shared" si="1"/>
        <v/>
      </c>
      <c r="J121" s="17"/>
      <c r="K121" s="17"/>
      <c r="L121" s="16">
        <f t="shared" si="2"/>
        <v>0</v>
      </c>
      <c r="M121" s="16">
        <f t="shared" si="3"/>
        <v>0</v>
      </c>
      <c r="N121" s="16">
        <f t="shared" si="4"/>
        <v>0</v>
      </c>
      <c r="O121" s="16">
        <f t="shared" si="5"/>
        <v>0</v>
      </c>
      <c r="P121" s="16">
        <f t="shared" si="6"/>
        <v>0</v>
      </c>
      <c r="Q121" s="16">
        <f t="shared" si="7"/>
        <v>0</v>
      </c>
    </row>
    <row r="122" ht="18.75" customHeight="1" spans="1:17">
      <c r="A122" s="10"/>
      <c r="B122" s="10"/>
      <c r="C122" s="10"/>
      <c r="D122" s="10"/>
      <c r="E122" s="10"/>
      <c r="F122" s="10"/>
      <c r="G122" s="10"/>
      <c r="H122" s="15" t="str">
        <f t="shared" si="0"/>
        <v/>
      </c>
      <c r="I122" s="16" t="str">
        <f t="shared" si="1"/>
        <v/>
      </c>
      <c r="J122" s="17"/>
      <c r="K122" s="17"/>
      <c r="L122" s="16">
        <f t="shared" si="2"/>
        <v>0</v>
      </c>
      <c r="M122" s="16">
        <f t="shared" si="3"/>
        <v>0</v>
      </c>
      <c r="N122" s="16">
        <f t="shared" si="4"/>
        <v>0</v>
      </c>
      <c r="O122" s="16">
        <f t="shared" si="5"/>
        <v>0</v>
      </c>
      <c r="P122" s="16">
        <f t="shared" si="6"/>
        <v>0</v>
      </c>
      <c r="Q122" s="16">
        <f t="shared" si="7"/>
        <v>0</v>
      </c>
    </row>
    <row r="123" ht="18.75" customHeight="1" spans="1:17">
      <c r="A123" s="10"/>
      <c r="B123" s="10"/>
      <c r="C123" s="10"/>
      <c r="D123" s="10"/>
      <c r="E123" s="10"/>
      <c r="F123" s="10"/>
      <c r="G123" s="10"/>
      <c r="H123" s="15" t="str">
        <f t="shared" si="0"/>
        <v/>
      </c>
      <c r="I123" s="16" t="str">
        <f t="shared" si="1"/>
        <v/>
      </c>
      <c r="J123" s="17"/>
      <c r="K123" s="17"/>
      <c r="L123" s="16">
        <f t="shared" si="2"/>
        <v>0</v>
      </c>
      <c r="M123" s="16">
        <f t="shared" si="3"/>
        <v>0</v>
      </c>
      <c r="N123" s="16">
        <f t="shared" si="4"/>
        <v>0</v>
      </c>
      <c r="O123" s="16">
        <f t="shared" si="5"/>
        <v>0</v>
      </c>
      <c r="P123" s="16">
        <f t="shared" si="6"/>
        <v>0</v>
      </c>
      <c r="Q123" s="16">
        <f t="shared" si="7"/>
        <v>0</v>
      </c>
    </row>
    <row r="124" ht="18.75" customHeight="1" spans="1:17">
      <c r="A124" s="10"/>
      <c r="B124" s="10"/>
      <c r="C124" s="10"/>
      <c r="D124" s="10"/>
      <c r="E124" s="10"/>
      <c r="F124" s="10"/>
      <c r="G124" s="10"/>
      <c r="H124" s="15" t="str">
        <f t="shared" si="0"/>
        <v/>
      </c>
      <c r="I124" s="16" t="str">
        <f t="shared" si="1"/>
        <v/>
      </c>
      <c r="J124" s="17"/>
      <c r="K124" s="17"/>
      <c r="L124" s="16">
        <f t="shared" si="2"/>
        <v>0</v>
      </c>
      <c r="M124" s="16">
        <f t="shared" si="3"/>
        <v>0</v>
      </c>
      <c r="N124" s="16">
        <f t="shared" si="4"/>
        <v>0</v>
      </c>
      <c r="O124" s="16">
        <f t="shared" si="5"/>
        <v>0</v>
      </c>
      <c r="P124" s="16">
        <f t="shared" si="6"/>
        <v>0</v>
      </c>
      <c r="Q124" s="16">
        <f t="shared" si="7"/>
        <v>0</v>
      </c>
    </row>
    <row r="125" ht="18.75" customHeight="1" spans="1:17">
      <c r="A125" s="10"/>
      <c r="B125" s="10"/>
      <c r="C125" s="10"/>
      <c r="D125" s="10"/>
      <c r="E125" s="10"/>
      <c r="F125" s="10"/>
      <c r="G125" s="10"/>
      <c r="H125" s="15" t="str">
        <f t="shared" si="0"/>
        <v/>
      </c>
      <c r="I125" s="16" t="str">
        <f t="shared" si="1"/>
        <v/>
      </c>
      <c r="J125" s="17"/>
      <c r="K125" s="17"/>
      <c r="L125" s="16">
        <f t="shared" si="2"/>
        <v>0</v>
      </c>
      <c r="M125" s="16">
        <f t="shared" si="3"/>
        <v>0</v>
      </c>
      <c r="N125" s="16">
        <f t="shared" si="4"/>
        <v>0</v>
      </c>
      <c r="O125" s="16">
        <f t="shared" si="5"/>
        <v>0</v>
      </c>
      <c r="P125" s="16">
        <f t="shared" si="6"/>
        <v>0</v>
      </c>
      <c r="Q125" s="16">
        <f t="shared" si="7"/>
        <v>0</v>
      </c>
    </row>
    <row r="126" ht="18.75" customHeight="1" spans="1:17">
      <c r="A126" s="10"/>
      <c r="B126" s="10"/>
      <c r="C126" s="10"/>
      <c r="D126" s="10"/>
      <c r="E126" s="10"/>
      <c r="F126" s="10"/>
      <c r="G126" s="10"/>
      <c r="H126" s="15" t="str">
        <f t="shared" si="0"/>
        <v/>
      </c>
      <c r="I126" s="16" t="str">
        <f t="shared" si="1"/>
        <v/>
      </c>
      <c r="J126" s="17"/>
      <c r="K126" s="17"/>
      <c r="L126" s="16">
        <f t="shared" si="2"/>
        <v>0</v>
      </c>
      <c r="M126" s="16">
        <f t="shared" si="3"/>
        <v>0</v>
      </c>
      <c r="N126" s="16">
        <f t="shared" si="4"/>
        <v>0</v>
      </c>
      <c r="O126" s="16">
        <f t="shared" si="5"/>
        <v>0</v>
      </c>
      <c r="P126" s="16">
        <f t="shared" si="6"/>
        <v>0</v>
      </c>
      <c r="Q126" s="16">
        <f t="shared" si="7"/>
        <v>0</v>
      </c>
    </row>
    <row r="127" ht="18.75" customHeight="1" spans="1:17">
      <c r="A127" s="10"/>
      <c r="B127" s="10"/>
      <c r="C127" s="10"/>
      <c r="D127" s="10"/>
      <c r="E127" s="10"/>
      <c r="F127" s="10"/>
      <c r="G127" s="10"/>
      <c r="H127" s="15" t="str">
        <f t="shared" si="0"/>
        <v/>
      </c>
      <c r="I127" s="16" t="str">
        <f t="shared" si="1"/>
        <v/>
      </c>
      <c r="J127" s="17"/>
      <c r="K127" s="17"/>
      <c r="L127" s="16">
        <f t="shared" si="2"/>
        <v>0</v>
      </c>
      <c r="M127" s="16">
        <f t="shared" si="3"/>
        <v>0</v>
      </c>
      <c r="N127" s="16">
        <f t="shared" si="4"/>
        <v>0</v>
      </c>
      <c r="O127" s="16">
        <f t="shared" si="5"/>
        <v>0</v>
      </c>
      <c r="P127" s="16">
        <f t="shared" si="6"/>
        <v>0</v>
      </c>
      <c r="Q127" s="16">
        <f t="shared" si="7"/>
        <v>0</v>
      </c>
    </row>
    <row r="128" ht="18.75" customHeight="1" spans="1:17">
      <c r="A128" s="10"/>
      <c r="B128" s="10"/>
      <c r="C128" s="10"/>
      <c r="D128" s="10"/>
      <c r="E128" s="10"/>
      <c r="F128" s="10"/>
      <c r="G128" s="10"/>
      <c r="H128" s="15" t="str">
        <f t="shared" si="0"/>
        <v/>
      </c>
      <c r="I128" s="16" t="str">
        <f t="shared" si="1"/>
        <v/>
      </c>
      <c r="J128" s="17"/>
      <c r="K128" s="17"/>
      <c r="L128" s="16">
        <f t="shared" si="2"/>
        <v>0</v>
      </c>
      <c r="M128" s="16">
        <f t="shared" si="3"/>
        <v>0</v>
      </c>
      <c r="N128" s="16">
        <f t="shared" si="4"/>
        <v>0</v>
      </c>
      <c r="O128" s="16">
        <f t="shared" si="5"/>
        <v>0</v>
      </c>
      <c r="P128" s="16">
        <f t="shared" si="6"/>
        <v>0</v>
      </c>
      <c r="Q128" s="16">
        <f t="shared" si="7"/>
        <v>0</v>
      </c>
    </row>
    <row r="129" ht="18.75" customHeight="1" spans="1:17">
      <c r="A129" s="10"/>
      <c r="B129" s="10"/>
      <c r="C129" s="10"/>
      <c r="D129" s="10"/>
      <c r="E129" s="10"/>
      <c r="F129" s="10"/>
      <c r="G129" s="10"/>
      <c r="H129" s="15" t="str">
        <f t="shared" si="0"/>
        <v/>
      </c>
      <c r="I129" s="16" t="str">
        <f t="shared" si="1"/>
        <v/>
      </c>
      <c r="J129" s="17"/>
      <c r="K129" s="17"/>
      <c r="L129" s="16">
        <f t="shared" si="2"/>
        <v>0</v>
      </c>
      <c r="M129" s="16">
        <f t="shared" si="3"/>
        <v>0</v>
      </c>
      <c r="N129" s="16">
        <f t="shared" si="4"/>
        <v>0</v>
      </c>
      <c r="O129" s="16">
        <f t="shared" si="5"/>
        <v>0</v>
      </c>
      <c r="P129" s="16">
        <f t="shared" si="6"/>
        <v>0</v>
      </c>
      <c r="Q129" s="16">
        <f t="shared" si="7"/>
        <v>0</v>
      </c>
    </row>
    <row r="130" ht="18.75" customHeight="1" spans="1:17">
      <c r="A130" s="10"/>
      <c r="B130" s="10"/>
      <c r="C130" s="10"/>
      <c r="D130" s="10"/>
      <c r="E130" s="10"/>
      <c r="F130" s="10"/>
      <c r="G130" s="10"/>
      <c r="H130" s="15" t="str">
        <f t="shared" si="0"/>
        <v/>
      </c>
      <c r="I130" s="16" t="str">
        <f t="shared" si="1"/>
        <v/>
      </c>
      <c r="J130" s="17"/>
      <c r="K130" s="17"/>
      <c r="L130" s="16">
        <f t="shared" si="2"/>
        <v>0</v>
      </c>
      <c r="M130" s="16">
        <f t="shared" si="3"/>
        <v>0</v>
      </c>
      <c r="N130" s="16">
        <f t="shared" si="4"/>
        <v>0</v>
      </c>
      <c r="O130" s="16">
        <f t="shared" si="5"/>
        <v>0</v>
      </c>
      <c r="P130" s="16">
        <f t="shared" si="6"/>
        <v>0</v>
      </c>
      <c r="Q130" s="16">
        <f t="shared" si="7"/>
        <v>0</v>
      </c>
    </row>
    <row r="131" ht="18.75" customHeight="1" spans="1:17">
      <c r="A131" s="10"/>
      <c r="B131" s="10"/>
      <c r="C131" s="10"/>
      <c r="D131" s="10"/>
      <c r="E131" s="10"/>
      <c r="F131" s="10"/>
      <c r="G131" s="10"/>
      <c r="H131" s="15" t="str">
        <f t="shared" si="0"/>
        <v/>
      </c>
      <c r="I131" s="16" t="str">
        <f t="shared" si="1"/>
        <v/>
      </c>
      <c r="J131" s="17"/>
      <c r="K131" s="17"/>
      <c r="L131" s="16">
        <f t="shared" si="2"/>
        <v>0</v>
      </c>
      <c r="M131" s="16">
        <f t="shared" si="3"/>
        <v>0</v>
      </c>
      <c r="N131" s="16">
        <f t="shared" si="4"/>
        <v>0</v>
      </c>
      <c r="O131" s="16">
        <f t="shared" si="5"/>
        <v>0</v>
      </c>
      <c r="P131" s="16">
        <f t="shared" si="6"/>
        <v>0</v>
      </c>
      <c r="Q131" s="16">
        <f t="shared" si="7"/>
        <v>0</v>
      </c>
    </row>
    <row r="132" ht="18.75" customHeight="1" spans="1:17">
      <c r="A132" s="10"/>
      <c r="B132" s="10"/>
      <c r="C132" s="10"/>
      <c r="D132" s="10"/>
      <c r="E132" s="10"/>
      <c r="F132" s="10"/>
      <c r="G132" s="10"/>
      <c r="H132" s="15" t="str">
        <f t="shared" si="0"/>
        <v/>
      </c>
      <c r="I132" s="16" t="str">
        <f t="shared" si="1"/>
        <v/>
      </c>
      <c r="J132" s="17"/>
      <c r="K132" s="17"/>
      <c r="L132" s="16">
        <f t="shared" si="2"/>
        <v>0</v>
      </c>
      <c r="M132" s="16">
        <f t="shared" si="3"/>
        <v>0</v>
      </c>
      <c r="N132" s="16">
        <f t="shared" si="4"/>
        <v>0</v>
      </c>
      <c r="O132" s="16">
        <f t="shared" si="5"/>
        <v>0</v>
      </c>
      <c r="P132" s="16">
        <f t="shared" si="6"/>
        <v>0</v>
      </c>
      <c r="Q132" s="16">
        <f t="shared" si="7"/>
        <v>0</v>
      </c>
    </row>
    <row r="133" ht="18.75" customHeight="1" spans="1:17">
      <c r="A133" s="10"/>
      <c r="B133" s="10"/>
      <c r="C133" s="10"/>
      <c r="D133" s="10"/>
      <c r="E133" s="10"/>
      <c r="F133" s="10"/>
      <c r="G133" s="10"/>
      <c r="H133" s="15" t="str">
        <f t="shared" si="0"/>
        <v/>
      </c>
      <c r="I133" s="16" t="str">
        <f t="shared" si="1"/>
        <v/>
      </c>
      <c r="J133" s="17"/>
      <c r="K133" s="17"/>
      <c r="L133" s="16">
        <f t="shared" si="2"/>
        <v>0</v>
      </c>
      <c r="M133" s="16">
        <f t="shared" si="3"/>
        <v>0</v>
      </c>
      <c r="N133" s="16">
        <f t="shared" si="4"/>
        <v>0</v>
      </c>
      <c r="O133" s="16">
        <f t="shared" si="5"/>
        <v>0</v>
      </c>
      <c r="P133" s="16">
        <f t="shared" si="6"/>
        <v>0</v>
      </c>
      <c r="Q133" s="16">
        <f t="shared" si="7"/>
        <v>0</v>
      </c>
    </row>
    <row r="134" ht="18.75" customHeight="1" spans="1:17">
      <c r="A134" s="10"/>
      <c r="B134" s="10"/>
      <c r="C134" s="10"/>
      <c r="D134" s="10"/>
      <c r="E134" s="10"/>
      <c r="F134" s="10"/>
      <c r="G134" s="10"/>
      <c r="H134" s="15" t="str">
        <f t="shared" si="0"/>
        <v/>
      </c>
      <c r="I134" s="16" t="str">
        <f t="shared" si="1"/>
        <v/>
      </c>
      <c r="J134" s="17"/>
      <c r="K134" s="17"/>
      <c r="L134" s="16">
        <f t="shared" si="2"/>
        <v>0</v>
      </c>
      <c r="M134" s="16">
        <f t="shared" si="3"/>
        <v>0</v>
      </c>
      <c r="N134" s="16">
        <f t="shared" si="4"/>
        <v>0</v>
      </c>
      <c r="O134" s="16">
        <f t="shared" si="5"/>
        <v>0</v>
      </c>
      <c r="P134" s="16">
        <f t="shared" si="6"/>
        <v>0</v>
      </c>
      <c r="Q134" s="16">
        <f t="shared" si="7"/>
        <v>0</v>
      </c>
    </row>
    <row r="135" ht="18.75" customHeight="1" spans="1:17">
      <c r="A135" s="10"/>
      <c r="B135" s="10"/>
      <c r="C135" s="10"/>
      <c r="D135" s="10"/>
      <c r="E135" s="10"/>
      <c r="F135" s="10"/>
      <c r="G135" s="10"/>
      <c r="H135" s="15" t="str">
        <f t="shared" si="0"/>
        <v/>
      </c>
      <c r="I135" s="16" t="str">
        <f t="shared" si="1"/>
        <v/>
      </c>
      <c r="J135" s="17"/>
      <c r="K135" s="17"/>
      <c r="L135" s="16">
        <f t="shared" si="2"/>
        <v>0</v>
      </c>
      <c r="M135" s="16">
        <f t="shared" si="3"/>
        <v>0</v>
      </c>
      <c r="N135" s="16">
        <f t="shared" si="4"/>
        <v>0</v>
      </c>
      <c r="O135" s="16">
        <f t="shared" si="5"/>
        <v>0</v>
      </c>
      <c r="P135" s="16">
        <f t="shared" si="6"/>
        <v>0</v>
      </c>
      <c r="Q135" s="16">
        <f t="shared" si="7"/>
        <v>0</v>
      </c>
    </row>
    <row r="136" ht="18.75" customHeight="1" spans="1:17">
      <c r="A136" s="10"/>
      <c r="B136" s="10"/>
      <c r="C136" s="10"/>
      <c r="D136" s="10"/>
      <c r="E136" s="10"/>
      <c r="F136" s="10"/>
      <c r="G136" s="10"/>
      <c r="H136" s="15" t="str">
        <f t="shared" si="0"/>
        <v/>
      </c>
      <c r="I136" s="16" t="str">
        <f t="shared" si="1"/>
        <v/>
      </c>
      <c r="J136" s="17"/>
      <c r="K136" s="17"/>
      <c r="L136" s="16">
        <f t="shared" si="2"/>
        <v>0</v>
      </c>
      <c r="M136" s="16">
        <f t="shared" si="3"/>
        <v>0</v>
      </c>
      <c r="N136" s="16">
        <f t="shared" si="4"/>
        <v>0</v>
      </c>
      <c r="O136" s="16">
        <f t="shared" si="5"/>
        <v>0</v>
      </c>
      <c r="P136" s="16">
        <f t="shared" si="6"/>
        <v>0</v>
      </c>
      <c r="Q136" s="16">
        <f t="shared" si="7"/>
        <v>0</v>
      </c>
    </row>
    <row r="137" ht="18.75" customHeight="1" spans="1:17">
      <c r="A137" s="10"/>
      <c r="B137" s="10"/>
      <c r="C137" s="10"/>
      <c r="D137" s="10"/>
      <c r="E137" s="10"/>
      <c r="F137" s="10"/>
      <c r="G137" s="10"/>
      <c r="H137" s="15" t="str">
        <f t="shared" si="0"/>
        <v/>
      </c>
      <c r="I137" s="16" t="str">
        <f t="shared" si="1"/>
        <v/>
      </c>
      <c r="J137" s="17"/>
      <c r="K137" s="17"/>
      <c r="L137" s="16">
        <f t="shared" si="2"/>
        <v>0</v>
      </c>
      <c r="M137" s="16">
        <f t="shared" si="3"/>
        <v>0</v>
      </c>
      <c r="N137" s="16">
        <f t="shared" si="4"/>
        <v>0</v>
      </c>
      <c r="O137" s="16">
        <f t="shared" si="5"/>
        <v>0</v>
      </c>
      <c r="P137" s="16">
        <f t="shared" si="6"/>
        <v>0</v>
      </c>
      <c r="Q137" s="16">
        <f t="shared" si="7"/>
        <v>0</v>
      </c>
    </row>
    <row r="138" ht="18.75" customHeight="1" spans="1:17">
      <c r="A138" s="10"/>
      <c r="B138" s="10"/>
      <c r="C138" s="10"/>
      <c r="D138" s="10"/>
      <c r="E138" s="10"/>
      <c r="F138" s="10"/>
      <c r="G138" s="10"/>
      <c r="H138" s="15" t="str">
        <f t="shared" si="0"/>
        <v/>
      </c>
      <c r="I138" s="16" t="str">
        <f t="shared" si="1"/>
        <v/>
      </c>
      <c r="J138" s="17"/>
      <c r="K138" s="17"/>
      <c r="L138" s="16">
        <f t="shared" si="2"/>
        <v>0</v>
      </c>
      <c r="M138" s="16">
        <f t="shared" si="3"/>
        <v>0</v>
      </c>
      <c r="N138" s="16">
        <f t="shared" si="4"/>
        <v>0</v>
      </c>
      <c r="O138" s="16">
        <f t="shared" si="5"/>
        <v>0</v>
      </c>
      <c r="P138" s="16">
        <f t="shared" si="6"/>
        <v>0</v>
      </c>
      <c r="Q138" s="16">
        <f t="shared" si="7"/>
        <v>0</v>
      </c>
    </row>
    <row r="139" ht="18.75" customHeight="1" spans="1:17">
      <c r="A139" s="10"/>
      <c r="B139" s="10"/>
      <c r="C139" s="10"/>
      <c r="D139" s="10"/>
      <c r="E139" s="10"/>
      <c r="F139" s="10"/>
      <c r="G139" s="10"/>
      <c r="H139" s="15" t="str">
        <f t="shared" si="0"/>
        <v/>
      </c>
      <c r="I139" s="16" t="str">
        <f t="shared" si="1"/>
        <v/>
      </c>
      <c r="J139" s="17"/>
      <c r="K139" s="17"/>
      <c r="L139" s="16">
        <f t="shared" si="2"/>
        <v>0</v>
      </c>
      <c r="M139" s="16">
        <f t="shared" si="3"/>
        <v>0</v>
      </c>
      <c r="N139" s="16">
        <f t="shared" si="4"/>
        <v>0</v>
      </c>
      <c r="O139" s="16">
        <f t="shared" si="5"/>
        <v>0</v>
      </c>
      <c r="P139" s="16">
        <f t="shared" si="6"/>
        <v>0</v>
      </c>
      <c r="Q139" s="16">
        <f t="shared" si="7"/>
        <v>0</v>
      </c>
    </row>
    <row r="140" ht="18.75" customHeight="1" spans="1:17">
      <c r="A140" s="10"/>
      <c r="B140" s="10"/>
      <c r="C140" s="10"/>
      <c r="D140" s="10"/>
      <c r="E140" s="10"/>
      <c r="F140" s="10"/>
      <c r="G140" s="10"/>
      <c r="H140" s="15" t="str">
        <f t="shared" si="0"/>
        <v/>
      </c>
      <c r="I140" s="16" t="str">
        <f t="shared" si="1"/>
        <v/>
      </c>
      <c r="J140" s="17"/>
      <c r="K140" s="17"/>
      <c r="L140" s="16">
        <f t="shared" si="2"/>
        <v>0</v>
      </c>
      <c r="M140" s="16">
        <f t="shared" si="3"/>
        <v>0</v>
      </c>
      <c r="N140" s="16">
        <f t="shared" si="4"/>
        <v>0</v>
      </c>
      <c r="O140" s="16">
        <f t="shared" si="5"/>
        <v>0</v>
      </c>
      <c r="P140" s="16">
        <f t="shared" si="6"/>
        <v>0</v>
      </c>
      <c r="Q140" s="16">
        <f t="shared" si="7"/>
        <v>0</v>
      </c>
    </row>
    <row r="141" ht="18.75" customHeight="1" spans="1:17">
      <c r="A141" s="10"/>
      <c r="B141" s="10"/>
      <c r="C141" s="10"/>
      <c r="D141" s="10"/>
      <c r="E141" s="10"/>
      <c r="F141" s="10"/>
      <c r="G141" s="10"/>
      <c r="H141" s="15" t="str">
        <f t="shared" si="0"/>
        <v/>
      </c>
      <c r="I141" s="16" t="str">
        <f t="shared" si="1"/>
        <v/>
      </c>
      <c r="J141" s="17"/>
      <c r="K141" s="17"/>
      <c r="L141" s="16">
        <f t="shared" si="2"/>
        <v>0</v>
      </c>
      <c r="M141" s="16">
        <f t="shared" si="3"/>
        <v>0</v>
      </c>
      <c r="N141" s="16">
        <f t="shared" si="4"/>
        <v>0</v>
      </c>
      <c r="O141" s="16">
        <f t="shared" si="5"/>
        <v>0</v>
      </c>
      <c r="P141" s="16">
        <f t="shared" si="6"/>
        <v>0</v>
      </c>
      <c r="Q141" s="16">
        <f t="shared" si="7"/>
        <v>0</v>
      </c>
    </row>
    <row r="142" ht="18.75" customHeight="1" spans="1:17">
      <c r="A142" s="10"/>
      <c r="B142" s="10"/>
      <c r="C142" s="10"/>
      <c r="D142" s="10"/>
      <c r="E142" s="10"/>
      <c r="F142" s="10"/>
      <c r="G142" s="10"/>
      <c r="H142" s="15" t="str">
        <f t="shared" si="0"/>
        <v/>
      </c>
      <c r="I142" s="16" t="str">
        <f t="shared" si="1"/>
        <v/>
      </c>
      <c r="J142" s="17"/>
      <c r="K142" s="17"/>
      <c r="L142" s="16">
        <f t="shared" si="2"/>
        <v>0</v>
      </c>
      <c r="M142" s="16">
        <f t="shared" si="3"/>
        <v>0</v>
      </c>
      <c r="N142" s="16">
        <f t="shared" si="4"/>
        <v>0</v>
      </c>
      <c r="O142" s="16">
        <f t="shared" si="5"/>
        <v>0</v>
      </c>
      <c r="P142" s="16">
        <f t="shared" si="6"/>
        <v>0</v>
      </c>
      <c r="Q142" s="16">
        <f t="shared" si="7"/>
        <v>0</v>
      </c>
    </row>
    <row r="143" ht="18.75" customHeight="1" spans="1:17">
      <c r="A143" s="10"/>
      <c r="B143" s="10"/>
      <c r="C143" s="10"/>
      <c r="D143" s="10"/>
      <c r="E143" s="10"/>
      <c r="F143" s="10"/>
      <c r="G143" s="10"/>
      <c r="H143" s="15" t="str">
        <f t="shared" si="0"/>
        <v/>
      </c>
      <c r="I143" s="16" t="str">
        <f t="shared" si="1"/>
        <v/>
      </c>
      <c r="J143" s="17"/>
      <c r="K143" s="17"/>
      <c r="L143" s="16">
        <f t="shared" si="2"/>
        <v>0</v>
      </c>
      <c r="M143" s="16">
        <f t="shared" si="3"/>
        <v>0</v>
      </c>
      <c r="N143" s="16">
        <f t="shared" si="4"/>
        <v>0</v>
      </c>
      <c r="O143" s="16">
        <f t="shared" si="5"/>
        <v>0</v>
      </c>
      <c r="P143" s="16">
        <f t="shared" si="6"/>
        <v>0</v>
      </c>
      <c r="Q143" s="16">
        <f t="shared" si="7"/>
        <v>0</v>
      </c>
    </row>
    <row r="144" ht="18.75" customHeight="1" spans="1:17">
      <c r="A144" s="10"/>
      <c r="B144" s="10"/>
      <c r="C144" s="10"/>
      <c r="D144" s="10"/>
      <c r="E144" s="10"/>
      <c r="F144" s="10"/>
      <c r="G144" s="10"/>
      <c r="H144" s="15" t="str">
        <f t="shared" si="0"/>
        <v/>
      </c>
      <c r="I144" s="16" t="str">
        <f t="shared" si="1"/>
        <v/>
      </c>
      <c r="J144" s="17"/>
      <c r="K144" s="17"/>
      <c r="L144" s="16">
        <f t="shared" si="2"/>
        <v>0</v>
      </c>
      <c r="M144" s="16">
        <f t="shared" si="3"/>
        <v>0</v>
      </c>
      <c r="N144" s="16">
        <f t="shared" si="4"/>
        <v>0</v>
      </c>
      <c r="O144" s="16">
        <f t="shared" si="5"/>
        <v>0</v>
      </c>
      <c r="P144" s="16">
        <f t="shared" si="6"/>
        <v>0</v>
      </c>
      <c r="Q144" s="16">
        <f t="shared" si="7"/>
        <v>0</v>
      </c>
    </row>
    <row r="145" ht="18.75" customHeight="1" spans="1:17">
      <c r="A145" s="10"/>
      <c r="B145" s="10"/>
      <c r="C145" s="10"/>
      <c r="D145" s="10"/>
      <c r="E145" s="10"/>
      <c r="F145" s="10"/>
      <c r="G145" s="10"/>
      <c r="H145" s="15" t="str">
        <f t="shared" si="0"/>
        <v/>
      </c>
      <c r="I145" s="16" t="str">
        <f t="shared" si="1"/>
        <v/>
      </c>
      <c r="J145" s="17"/>
      <c r="K145" s="17"/>
      <c r="L145" s="16">
        <f t="shared" si="2"/>
        <v>0</v>
      </c>
      <c r="M145" s="16">
        <f t="shared" si="3"/>
        <v>0</v>
      </c>
      <c r="N145" s="16">
        <f t="shared" si="4"/>
        <v>0</v>
      </c>
      <c r="O145" s="16">
        <f t="shared" si="5"/>
        <v>0</v>
      </c>
      <c r="P145" s="16">
        <f t="shared" si="6"/>
        <v>0</v>
      </c>
      <c r="Q145" s="16">
        <f t="shared" si="7"/>
        <v>0</v>
      </c>
    </row>
    <row r="146" ht="18.75" customHeight="1" spans="1:17">
      <c r="A146" s="10"/>
      <c r="B146" s="10"/>
      <c r="C146" s="10"/>
      <c r="D146" s="10"/>
      <c r="E146" s="10"/>
      <c r="F146" s="10"/>
      <c r="G146" s="10"/>
      <c r="H146" s="15" t="str">
        <f t="shared" si="0"/>
        <v/>
      </c>
      <c r="I146" s="16" t="str">
        <f t="shared" si="1"/>
        <v/>
      </c>
      <c r="J146" s="17"/>
      <c r="K146" s="17"/>
      <c r="L146" s="16">
        <f t="shared" si="2"/>
        <v>0</v>
      </c>
      <c r="M146" s="16">
        <f t="shared" si="3"/>
        <v>0</v>
      </c>
      <c r="N146" s="16">
        <f t="shared" si="4"/>
        <v>0</v>
      </c>
      <c r="O146" s="16">
        <f t="shared" si="5"/>
        <v>0</v>
      </c>
      <c r="P146" s="16">
        <f t="shared" si="6"/>
        <v>0</v>
      </c>
      <c r="Q146" s="16">
        <f t="shared" si="7"/>
        <v>0</v>
      </c>
    </row>
    <row r="147" ht="18.75" customHeight="1" spans="1:17">
      <c r="A147" s="10"/>
      <c r="B147" s="10"/>
      <c r="C147" s="10"/>
      <c r="D147" s="10"/>
      <c r="E147" s="10"/>
      <c r="F147" s="10"/>
      <c r="G147" s="10"/>
      <c r="H147" s="15" t="str">
        <f t="shared" si="0"/>
        <v/>
      </c>
      <c r="I147" s="16" t="str">
        <f t="shared" si="1"/>
        <v/>
      </c>
      <c r="J147" s="17"/>
      <c r="K147" s="17"/>
      <c r="L147" s="16">
        <f t="shared" si="2"/>
        <v>0</v>
      </c>
      <c r="M147" s="16">
        <f t="shared" si="3"/>
        <v>0</v>
      </c>
      <c r="N147" s="16">
        <f t="shared" si="4"/>
        <v>0</v>
      </c>
      <c r="O147" s="16">
        <f t="shared" si="5"/>
        <v>0</v>
      </c>
      <c r="P147" s="16">
        <f t="shared" si="6"/>
        <v>0</v>
      </c>
      <c r="Q147" s="16">
        <f t="shared" si="7"/>
        <v>0</v>
      </c>
    </row>
    <row r="148" ht="18.75" customHeight="1" spans="1:17">
      <c r="A148" s="10"/>
      <c r="B148" s="10"/>
      <c r="C148" s="10"/>
      <c r="D148" s="10"/>
      <c r="E148" s="10"/>
      <c r="F148" s="10"/>
      <c r="G148" s="10"/>
      <c r="H148" s="15" t="str">
        <f t="shared" si="0"/>
        <v/>
      </c>
      <c r="I148" s="16" t="str">
        <f t="shared" si="1"/>
        <v/>
      </c>
      <c r="J148" s="17"/>
      <c r="K148" s="17"/>
      <c r="L148" s="16">
        <f t="shared" si="2"/>
        <v>0</v>
      </c>
      <c r="M148" s="16">
        <f t="shared" si="3"/>
        <v>0</v>
      </c>
      <c r="N148" s="16">
        <f t="shared" si="4"/>
        <v>0</v>
      </c>
      <c r="O148" s="16">
        <f t="shared" si="5"/>
        <v>0</v>
      </c>
      <c r="P148" s="16">
        <f t="shared" si="6"/>
        <v>0</v>
      </c>
      <c r="Q148" s="16">
        <f t="shared" si="7"/>
        <v>0</v>
      </c>
    </row>
    <row r="149" ht="18.75" customHeight="1" spans="1:17">
      <c r="A149" s="10"/>
      <c r="B149" s="10"/>
      <c r="C149" s="10"/>
      <c r="D149" s="10"/>
      <c r="E149" s="10"/>
      <c r="F149" s="10"/>
      <c r="G149" s="10"/>
      <c r="H149" s="15" t="str">
        <f t="shared" si="0"/>
        <v/>
      </c>
      <c r="I149" s="16" t="str">
        <f t="shared" si="1"/>
        <v/>
      </c>
      <c r="J149" s="17"/>
      <c r="K149" s="17"/>
      <c r="L149" s="16">
        <f t="shared" si="2"/>
        <v>0</v>
      </c>
      <c r="M149" s="16">
        <f t="shared" si="3"/>
        <v>0</v>
      </c>
      <c r="N149" s="16">
        <f t="shared" si="4"/>
        <v>0</v>
      </c>
      <c r="O149" s="16">
        <f t="shared" si="5"/>
        <v>0</v>
      </c>
      <c r="P149" s="16">
        <f t="shared" si="6"/>
        <v>0</v>
      </c>
      <c r="Q149" s="16">
        <f t="shared" si="7"/>
        <v>0</v>
      </c>
    </row>
    <row r="150" ht="18.75" customHeight="1" spans="1:17">
      <c r="A150" s="10"/>
      <c r="B150" s="10"/>
      <c r="C150" s="10"/>
      <c r="D150" s="10"/>
      <c r="E150" s="10"/>
      <c r="F150" s="10"/>
      <c r="G150" s="10"/>
      <c r="H150" s="15" t="str">
        <f t="shared" si="0"/>
        <v/>
      </c>
      <c r="I150" s="16" t="str">
        <f t="shared" si="1"/>
        <v/>
      </c>
      <c r="J150" s="17"/>
      <c r="K150" s="17"/>
      <c r="L150" s="16">
        <f t="shared" si="2"/>
        <v>0</v>
      </c>
      <c r="M150" s="16">
        <f t="shared" si="3"/>
        <v>0</v>
      </c>
      <c r="N150" s="16">
        <f t="shared" si="4"/>
        <v>0</v>
      </c>
      <c r="O150" s="16">
        <f t="shared" si="5"/>
        <v>0</v>
      </c>
      <c r="P150" s="16">
        <f t="shared" si="6"/>
        <v>0</v>
      </c>
      <c r="Q150" s="16">
        <f t="shared" si="7"/>
        <v>0</v>
      </c>
    </row>
    <row r="151" ht="18.75" customHeight="1" spans="1:17">
      <c r="A151" s="10"/>
      <c r="B151" s="10"/>
      <c r="C151" s="10"/>
      <c r="D151" s="10"/>
      <c r="E151" s="10"/>
      <c r="F151" s="10"/>
      <c r="G151" s="10"/>
      <c r="H151" s="15" t="str">
        <f t="shared" si="0"/>
        <v/>
      </c>
      <c r="I151" s="16" t="str">
        <f t="shared" si="1"/>
        <v/>
      </c>
      <c r="J151" s="17"/>
      <c r="K151" s="17"/>
      <c r="L151" s="16">
        <f t="shared" si="2"/>
        <v>0</v>
      </c>
      <c r="M151" s="16">
        <f t="shared" si="3"/>
        <v>0</v>
      </c>
      <c r="N151" s="16">
        <f t="shared" si="4"/>
        <v>0</v>
      </c>
      <c r="O151" s="16">
        <f t="shared" si="5"/>
        <v>0</v>
      </c>
      <c r="P151" s="16">
        <f t="shared" si="6"/>
        <v>0</v>
      </c>
      <c r="Q151" s="16">
        <f t="shared" si="7"/>
        <v>0</v>
      </c>
    </row>
    <row r="152" ht="18.75" customHeight="1" spans="1:17">
      <c r="A152" s="10"/>
      <c r="B152" s="10"/>
      <c r="C152" s="10"/>
      <c r="D152" s="10"/>
      <c r="E152" s="10"/>
      <c r="F152" s="10"/>
      <c r="G152" s="10"/>
      <c r="H152" s="15" t="str">
        <f t="shared" si="0"/>
        <v/>
      </c>
      <c r="I152" s="16" t="str">
        <f t="shared" si="1"/>
        <v/>
      </c>
      <c r="J152" s="17"/>
      <c r="K152" s="17"/>
      <c r="L152" s="16">
        <f t="shared" si="2"/>
        <v>0</v>
      </c>
      <c r="M152" s="16">
        <f t="shared" si="3"/>
        <v>0</v>
      </c>
      <c r="N152" s="16">
        <f t="shared" si="4"/>
        <v>0</v>
      </c>
      <c r="O152" s="16">
        <f t="shared" si="5"/>
        <v>0</v>
      </c>
      <c r="P152" s="16">
        <f t="shared" si="6"/>
        <v>0</v>
      </c>
      <c r="Q152" s="16">
        <f t="shared" si="7"/>
        <v>0</v>
      </c>
    </row>
    <row r="153" ht="18.75" customHeight="1" spans="1:17">
      <c r="A153" s="10"/>
      <c r="B153" s="10"/>
      <c r="C153" s="10"/>
      <c r="D153" s="10"/>
      <c r="E153" s="10"/>
      <c r="F153" s="10"/>
      <c r="G153" s="10"/>
      <c r="H153" s="15" t="str">
        <f t="shared" si="0"/>
        <v/>
      </c>
      <c r="I153" s="16" t="str">
        <f t="shared" si="1"/>
        <v/>
      </c>
      <c r="J153" s="17"/>
      <c r="K153" s="17"/>
      <c r="L153" s="16">
        <f t="shared" si="2"/>
        <v>0</v>
      </c>
      <c r="M153" s="16">
        <f t="shared" si="3"/>
        <v>0</v>
      </c>
      <c r="N153" s="16">
        <f t="shared" si="4"/>
        <v>0</v>
      </c>
      <c r="O153" s="16">
        <f t="shared" si="5"/>
        <v>0</v>
      </c>
      <c r="P153" s="16">
        <f t="shared" si="6"/>
        <v>0</v>
      </c>
      <c r="Q153" s="16">
        <f t="shared" si="7"/>
        <v>0</v>
      </c>
    </row>
    <row r="154" ht="18.75" customHeight="1" spans="1:17">
      <c r="A154" s="10"/>
      <c r="B154" s="10"/>
      <c r="C154" s="10"/>
      <c r="D154" s="10"/>
      <c r="E154" s="10"/>
      <c r="F154" s="10"/>
      <c r="G154" s="10"/>
      <c r="H154" s="15" t="str">
        <f t="shared" si="0"/>
        <v/>
      </c>
      <c r="I154" s="16" t="str">
        <f t="shared" si="1"/>
        <v/>
      </c>
      <c r="J154" s="17"/>
      <c r="K154" s="17"/>
      <c r="L154" s="16">
        <f t="shared" si="2"/>
        <v>0</v>
      </c>
      <c r="M154" s="16">
        <f t="shared" si="3"/>
        <v>0</v>
      </c>
      <c r="N154" s="16">
        <f t="shared" si="4"/>
        <v>0</v>
      </c>
      <c r="O154" s="16">
        <f t="shared" si="5"/>
        <v>0</v>
      </c>
      <c r="P154" s="16">
        <f t="shared" si="6"/>
        <v>0</v>
      </c>
      <c r="Q154" s="16">
        <f t="shared" si="7"/>
        <v>0</v>
      </c>
    </row>
    <row r="155" ht="18.75" customHeight="1" spans="1:17">
      <c r="A155" s="10"/>
      <c r="B155" s="10"/>
      <c r="C155" s="10"/>
      <c r="D155" s="10"/>
      <c r="E155" s="10"/>
      <c r="F155" s="10"/>
      <c r="G155" s="10"/>
      <c r="H155" s="15" t="str">
        <f t="shared" ref="H155:H210" si="8">IFERROR(VLOOKUP($B155,$A$25:$N$54,7,FALSE),"")</f>
        <v/>
      </c>
      <c r="I155" s="16" t="str">
        <f t="shared" ref="I155:I210" si="9">IF($H155="Minor",1,IF($H155="Moderate",2,IF($H155="Major",3,IF($H155="Critical",4,""))))</f>
        <v/>
      </c>
      <c r="J155" s="17"/>
      <c r="K155" s="17"/>
      <c r="L155" s="16">
        <f t="shared" ref="L155:L210" si="10">IF(OR($G155="Exact TP",$G155="Equivalent TP"),1,0)</f>
        <v>0</v>
      </c>
      <c r="M155" s="16">
        <f t="shared" ref="M155:M210" si="11">IF(OR($G155="FP Extra",$G155="Harmful FP"),1,0)</f>
        <v>0</v>
      </c>
      <c r="N155" s="16">
        <f t="shared" ref="N155:N210" si="12">IF(OR($G155="FN",$G155="Partial"),1,0)</f>
        <v>0</v>
      </c>
      <c r="O155" s="16">
        <f t="shared" ref="O155:O210" si="13">IF($L155=1,$I155,0)</f>
        <v>0</v>
      </c>
      <c r="P155" s="16">
        <f t="shared" ref="P155:P210" si="14">IF($M155=1,$I155,0)</f>
        <v>0</v>
      </c>
      <c r="Q155" s="16">
        <f t="shared" ref="Q155:Q210" si="15">IF($N155=1,$I155,0)</f>
        <v>0</v>
      </c>
    </row>
    <row r="156" ht="18.75" customHeight="1" spans="1:17">
      <c r="A156" s="10"/>
      <c r="B156" s="10"/>
      <c r="C156" s="10"/>
      <c r="D156" s="10"/>
      <c r="E156" s="10"/>
      <c r="F156" s="10"/>
      <c r="G156" s="10"/>
      <c r="H156" s="15" t="str">
        <f t="shared" si="8"/>
        <v/>
      </c>
      <c r="I156" s="16" t="str">
        <f t="shared" si="9"/>
        <v/>
      </c>
      <c r="J156" s="17"/>
      <c r="K156" s="17"/>
      <c r="L156" s="16">
        <f t="shared" si="10"/>
        <v>0</v>
      </c>
      <c r="M156" s="16">
        <f t="shared" si="11"/>
        <v>0</v>
      </c>
      <c r="N156" s="16">
        <f t="shared" si="12"/>
        <v>0</v>
      </c>
      <c r="O156" s="16">
        <f t="shared" si="13"/>
        <v>0</v>
      </c>
      <c r="P156" s="16">
        <f t="shared" si="14"/>
        <v>0</v>
      </c>
      <c r="Q156" s="16">
        <f t="shared" si="15"/>
        <v>0</v>
      </c>
    </row>
    <row r="157" ht="18.75" customHeight="1" spans="1:17">
      <c r="A157" s="10"/>
      <c r="B157" s="10"/>
      <c r="C157" s="10"/>
      <c r="D157" s="10"/>
      <c r="E157" s="10"/>
      <c r="F157" s="10"/>
      <c r="G157" s="10"/>
      <c r="H157" s="15" t="str">
        <f t="shared" si="8"/>
        <v/>
      </c>
      <c r="I157" s="16" t="str">
        <f t="shared" si="9"/>
        <v/>
      </c>
      <c r="J157" s="17"/>
      <c r="K157" s="17"/>
      <c r="L157" s="16">
        <f t="shared" si="10"/>
        <v>0</v>
      </c>
      <c r="M157" s="16">
        <f t="shared" si="11"/>
        <v>0</v>
      </c>
      <c r="N157" s="16">
        <f t="shared" si="12"/>
        <v>0</v>
      </c>
      <c r="O157" s="16">
        <f t="shared" si="13"/>
        <v>0</v>
      </c>
      <c r="P157" s="16">
        <f t="shared" si="14"/>
        <v>0</v>
      </c>
      <c r="Q157" s="16">
        <f t="shared" si="15"/>
        <v>0</v>
      </c>
    </row>
    <row r="158" ht="18.75" customHeight="1" spans="1:17">
      <c r="A158" s="10"/>
      <c r="B158" s="10"/>
      <c r="C158" s="10"/>
      <c r="D158" s="10"/>
      <c r="E158" s="10"/>
      <c r="F158" s="10"/>
      <c r="G158" s="10"/>
      <c r="H158" s="15" t="str">
        <f t="shared" si="8"/>
        <v/>
      </c>
      <c r="I158" s="16" t="str">
        <f t="shared" si="9"/>
        <v/>
      </c>
      <c r="J158" s="17"/>
      <c r="K158" s="17"/>
      <c r="L158" s="16">
        <f t="shared" si="10"/>
        <v>0</v>
      </c>
      <c r="M158" s="16">
        <f t="shared" si="11"/>
        <v>0</v>
      </c>
      <c r="N158" s="16">
        <f t="shared" si="12"/>
        <v>0</v>
      </c>
      <c r="O158" s="16">
        <f t="shared" si="13"/>
        <v>0</v>
      </c>
      <c r="P158" s="16">
        <f t="shared" si="14"/>
        <v>0</v>
      </c>
      <c r="Q158" s="16">
        <f t="shared" si="15"/>
        <v>0</v>
      </c>
    </row>
    <row r="159" ht="18.75" customHeight="1" spans="1:17">
      <c r="A159" s="10"/>
      <c r="B159" s="10"/>
      <c r="C159" s="10"/>
      <c r="D159" s="10"/>
      <c r="E159" s="10"/>
      <c r="F159" s="10"/>
      <c r="G159" s="10"/>
      <c r="H159" s="15" t="str">
        <f t="shared" si="8"/>
        <v/>
      </c>
      <c r="I159" s="16" t="str">
        <f t="shared" si="9"/>
        <v/>
      </c>
      <c r="J159" s="17"/>
      <c r="K159" s="17"/>
      <c r="L159" s="16">
        <f t="shared" si="10"/>
        <v>0</v>
      </c>
      <c r="M159" s="16">
        <f t="shared" si="11"/>
        <v>0</v>
      </c>
      <c r="N159" s="16">
        <f t="shared" si="12"/>
        <v>0</v>
      </c>
      <c r="O159" s="16">
        <f t="shared" si="13"/>
        <v>0</v>
      </c>
      <c r="P159" s="16">
        <f t="shared" si="14"/>
        <v>0</v>
      </c>
      <c r="Q159" s="16">
        <f t="shared" si="15"/>
        <v>0</v>
      </c>
    </row>
    <row r="160" ht="18.75" customHeight="1" spans="1:17">
      <c r="A160" s="10"/>
      <c r="B160" s="10"/>
      <c r="C160" s="10"/>
      <c r="D160" s="10"/>
      <c r="E160" s="10"/>
      <c r="F160" s="10"/>
      <c r="G160" s="10"/>
      <c r="H160" s="15" t="str">
        <f t="shared" si="8"/>
        <v/>
      </c>
      <c r="I160" s="16" t="str">
        <f t="shared" si="9"/>
        <v/>
      </c>
      <c r="J160" s="17"/>
      <c r="K160" s="17"/>
      <c r="L160" s="16">
        <f t="shared" si="10"/>
        <v>0</v>
      </c>
      <c r="M160" s="16">
        <f t="shared" si="11"/>
        <v>0</v>
      </c>
      <c r="N160" s="16">
        <f t="shared" si="12"/>
        <v>0</v>
      </c>
      <c r="O160" s="16">
        <f t="shared" si="13"/>
        <v>0</v>
      </c>
      <c r="P160" s="16">
        <f t="shared" si="14"/>
        <v>0</v>
      </c>
      <c r="Q160" s="16">
        <f t="shared" si="15"/>
        <v>0</v>
      </c>
    </row>
    <row r="161" ht="18.75" customHeight="1" spans="1:17">
      <c r="A161" s="10"/>
      <c r="B161" s="10"/>
      <c r="C161" s="10"/>
      <c r="D161" s="10"/>
      <c r="E161" s="10"/>
      <c r="F161" s="10"/>
      <c r="G161" s="10"/>
      <c r="H161" s="15" t="str">
        <f t="shared" si="8"/>
        <v/>
      </c>
      <c r="I161" s="16" t="str">
        <f t="shared" si="9"/>
        <v/>
      </c>
      <c r="J161" s="17"/>
      <c r="K161" s="17"/>
      <c r="L161" s="16">
        <f t="shared" si="10"/>
        <v>0</v>
      </c>
      <c r="M161" s="16">
        <f t="shared" si="11"/>
        <v>0</v>
      </c>
      <c r="N161" s="16">
        <f t="shared" si="12"/>
        <v>0</v>
      </c>
      <c r="O161" s="16">
        <f t="shared" si="13"/>
        <v>0</v>
      </c>
      <c r="P161" s="16">
        <f t="shared" si="14"/>
        <v>0</v>
      </c>
      <c r="Q161" s="16">
        <f t="shared" si="15"/>
        <v>0</v>
      </c>
    </row>
    <row r="162" ht="18.75" customHeight="1" spans="1:17">
      <c r="A162" s="10"/>
      <c r="B162" s="10"/>
      <c r="C162" s="10"/>
      <c r="D162" s="10"/>
      <c r="E162" s="10"/>
      <c r="F162" s="10"/>
      <c r="G162" s="10"/>
      <c r="H162" s="15" t="str">
        <f t="shared" si="8"/>
        <v/>
      </c>
      <c r="I162" s="16" t="str">
        <f t="shared" si="9"/>
        <v/>
      </c>
      <c r="J162" s="17"/>
      <c r="K162" s="17"/>
      <c r="L162" s="16">
        <f t="shared" si="10"/>
        <v>0</v>
      </c>
      <c r="M162" s="16">
        <f t="shared" si="11"/>
        <v>0</v>
      </c>
      <c r="N162" s="16">
        <f t="shared" si="12"/>
        <v>0</v>
      </c>
      <c r="O162" s="16">
        <f t="shared" si="13"/>
        <v>0</v>
      </c>
      <c r="P162" s="16">
        <f t="shared" si="14"/>
        <v>0</v>
      </c>
      <c r="Q162" s="16">
        <f t="shared" si="15"/>
        <v>0</v>
      </c>
    </row>
    <row r="163" ht="18.75" customHeight="1" spans="1:17">
      <c r="A163" s="10"/>
      <c r="B163" s="10"/>
      <c r="C163" s="10"/>
      <c r="D163" s="10"/>
      <c r="E163" s="10"/>
      <c r="F163" s="10"/>
      <c r="G163" s="10"/>
      <c r="H163" s="15" t="str">
        <f t="shared" si="8"/>
        <v/>
      </c>
      <c r="I163" s="16" t="str">
        <f t="shared" si="9"/>
        <v/>
      </c>
      <c r="J163" s="17"/>
      <c r="K163" s="17"/>
      <c r="L163" s="16">
        <f t="shared" si="10"/>
        <v>0</v>
      </c>
      <c r="M163" s="16">
        <f t="shared" si="11"/>
        <v>0</v>
      </c>
      <c r="N163" s="16">
        <f t="shared" si="12"/>
        <v>0</v>
      </c>
      <c r="O163" s="16">
        <f t="shared" si="13"/>
        <v>0</v>
      </c>
      <c r="P163" s="16">
        <f t="shared" si="14"/>
        <v>0</v>
      </c>
      <c r="Q163" s="16">
        <f t="shared" si="15"/>
        <v>0</v>
      </c>
    </row>
    <row r="164" ht="18.75" customHeight="1" spans="1:17">
      <c r="A164" s="10"/>
      <c r="B164" s="10"/>
      <c r="C164" s="10"/>
      <c r="D164" s="10"/>
      <c r="E164" s="10"/>
      <c r="F164" s="10"/>
      <c r="G164" s="10"/>
      <c r="H164" s="15" t="str">
        <f t="shared" si="8"/>
        <v/>
      </c>
      <c r="I164" s="16" t="str">
        <f t="shared" si="9"/>
        <v/>
      </c>
      <c r="J164" s="17"/>
      <c r="K164" s="17"/>
      <c r="L164" s="16">
        <f t="shared" si="10"/>
        <v>0</v>
      </c>
      <c r="M164" s="16">
        <f t="shared" si="11"/>
        <v>0</v>
      </c>
      <c r="N164" s="16">
        <f t="shared" si="12"/>
        <v>0</v>
      </c>
      <c r="O164" s="16">
        <f t="shared" si="13"/>
        <v>0</v>
      </c>
      <c r="P164" s="16">
        <f t="shared" si="14"/>
        <v>0</v>
      </c>
      <c r="Q164" s="16">
        <f t="shared" si="15"/>
        <v>0</v>
      </c>
    </row>
    <row r="165" ht="18.75" customHeight="1" spans="1:17">
      <c r="A165" s="10"/>
      <c r="B165" s="10"/>
      <c r="C165" s="10"/>
      <c r="D165" s="10"/>
      <c r="E165" s="10"/>
      <c r="F165" s="10"/>
      <c r="G165" s="10"/>
      <c r="H165" s="15" t="str">
        <f t="shared" si="8"/>
        <v/>
      </c>
      <c r="I165" s="16" t="str">
        <f t="shared" si="9"/>
        <v/>
      </c>
      <c r="J165" s="17"/>
      <c r="K165" s="17"/>
      <c r="L165" s="16">
        <f t="shared" si="10"/>
        <v>0</v>
      </c>
      <c r="M165" s="16">
        <f t="shared" si="11"/>
        <v>0</v>
      </c>
      <c r="N165" s="16">
        <f t="shared" si="12"/>
        <v>0</v>
      </c>
      <c r="O165" s="16">
        <f t="shared" si="13"/>
        <v>0</v>
      </c>
      <c r="P165" s="16">
        <f t="shared" si="14"/>
        <v>0</v>
      </c>
      <c r="Q165" s="16">
        <f t="shared" si="15"/>
        <v>0</v>
      </c>
    </row>
    <row r="166" ht="18.75" customHeight="1" spans="1:17">
      <c r="A166" s="10"/>
      <c r="B166" s="10"/>
      <c r="C166" s="10"/>
      <c r="D166" s="10"/>
      <c r="E166" s="10"/>
      <c r="F166" s="10"/>
      <c r="G166" s="10"/>
      <c r="H166" s="15" t="str">
        <f t="shared" si="8"/>
        <v/>
      </c>
      <c r="I166" s="16" t="str">
        <f t="shared" si="9"/>
        <v/>
      </c>
      <c r="J166" s="17"/>
      <c r="K166" s="17"/>
      <c r="L166" s="16">
        <f t="shared" si="10"/>
        <v>0</v>
      </c>
      <c r="M166" s="16">
        <f t="shared" si="11"/>
        <v>0</v>
      </c>
      <c r="N166" s="16">
        <f t="shared" si="12"/>
        <v>0</v>
      </c>
      <c r="O166" s="16">
        <f t="shared" si="13"/>
        <v>0</v>
      </c>
      <c r="P166" s="16">
        <f t="shared" si="14"/>
        <v>0</v>
      </c>
      <c r="Q166" s="16">
        <f t="shared" si="15"/>
        <v>0</v>
      </c>
    </row>
    <row r="167" ht="18.75" customHeight="1" spans="1:17">
      <c r="A167" s="10"/>
      <c r="B167" s="10"/>
      <c r="C167" s="10"/>
      <c r="D167" s="10"/>
      <c r="E167" s="10"/>
      <c r="F167" s="10"/>
      <c r="G167" s="10"/>
      <c r="H167" s="15" t="str">
        <f t="shared" si="8"/>
        <v/>
      </c>
      <c r="I167" s="16" t="str">
        <f t="shared" si="9"/>
        <v/>
      </c>
      <c r="J167" s="17"/>
      <c r="K167" s="17"/>
      <c r="L167" s="16">
        <f t="shared" si="10"/>
        <v>0</v>
      </c>
      <c r="M167" s="16">
        <f t="shared" si="11"/>
        <v>0</v>
      </c>
      <c r="N167" s="16">
        <f t="shared" si="12"/>
        <v>0</v>
      </c>
      <c r="O167" s="16">
        <f t="shared" si="13"/>
        <v>0</v>
      </c>
      <c r="P167" s="16">
        <f t="shared" si="14"/>
        <v>0</v>
      </c>
      <c r="Q167" s="16">
        <f t="shared" si="15"/>
        <v>0</v>
      </c>
    </row>
    <row r="168" ht="18.75" customHeight="1" spans="1:17">
      <c r="A168" s="10"/>
      <c r="B168" s="10"/>
      <c r="C168" s="10"/>
      <c r="D168" s="10"/>
      <c r="E168" s="10"/>
      <c r="F168" s="10"/>
      <c r="G168" s="10"/>
      <c r="H168" s="15" t="str">
        <f t="shared" si="8"/>
        <v/>
      </c>
      <c r="I168" s="16" t="str">
        <f t="shared" si="9"/>
        <v/>
      </c>
      <c r="J168" s="17"/>
      <c r="K168" s="17"/>
      <c r="L168" s="16">
        <f t="shared" si="10"/>
        <v>0</v>
      </c>
      <c r="M168" s="16">
        <f t="shared" si="11"/>
        <v>0</v>
      </c>
      <c r="N168" s="16">
        <f t="shared" si="12"/>
        <v>0</v>
      </c>
      <c r="O168" s="16">
        <f t="shared" si="13"/>
        <v>0</v>
      </c>
      <c r="P168" s="16">
        <f t="shared" si="14"/>
        <v>0</v>
      </c>
      <c r="Q168" s="16">
        <f t="shared" si="15"/>
        <v>0</v>
      </c>
    </row>
    <row r="169" ht="18.75" customHeight="1" spans="1:17">
      <c r="A169" s="10"/>
      <c r="B169" s="10"/>
      <c r="C169" s="10"/>
      <c r="D169" s="10"/>
      <c r="E169" s="10"/>
      <c r="F169" s="10"/>
      <c r="G169" s="10"/>
      <c r="H169" s="15" t="str">
        <f t="shared" si="8"/>
        <v/>
      </c>
      <c r="I169" s="16" t="str">
        <f t="shared" si="9"/>
        <v/>
      </c>
      <c r="J169" s="17"/>
      <c r="K169" s="17"/>
      <c r="L169" s="16">
        <f t="shared" si="10"/>
        <v>0</v>
      </c>
      <c r="M169" s="16">
        <f t="shared" si="11"/>
        <v>0</v>
      </c>
      <c r="N169" s="16">
        <f t="shared" si="12"/>
        <v>0</v>
      </c>
      <c r="O169" s="16">
        <f t="shared" si="13"/>
        <v>0</v>
      </c>
      <c r="P169" s="16">
        <f t="shared" si="14"/>
        <v>0</v>
      </c>
      <c r="Q169" s="16">
        <f t="shared" si="15"/>
        <v>0</v>
      </c>
    </row>
    <row r="170" ht="18.75" customHeight="1" spans="1:17">
      <c r="A170" s="10"/>
      <c r="B170" s="10"/>
      <c r="C170" s="10"/>
      <c r="D170" s="10"/>
      <c r="E170" s="10"/>
      <c r="F170" s="10"/>
      <c r="G170" s="10"/>
      <c r="H170" s="15" t="str">
        <f t="shared" si="8"/>
        <v/>
      </c>
      <c r="I170" s="16" t="str">
        <f t="shared" si="9"/>
        <v/>
      </c>
      <c r="J170" s="17"/>
      <c r="K170" s="17"/>
      <c r="L170" s="16">
        <f t="shared" si="10"/>
        <v>0</v>
      </c>
      <c r="M170" s="16">
        <f t="shared" si="11"/>
        <v>0</v>
      </c>
      <c r="N170" s="16">
        <f t="shared" si="12"/>
        <v>0</v>
      </c>
      <c r="O170" s="16">
        <f t="shared" si="13"/>
        <v>0</v>
      </c>
      <c r="P170" s="16">
        <f t="shared" si="14"/>
        <v>0</v>
      </c>
      <c r="Q170" s="16">
        <f t="shared" si="15"/>
        <v>0</v>
      </c>
    </row>
    <row r="171" ht="18.75" customHeight="1" spans="1:17">
      <c r="A171" s="10"/>
      <c r="B171" s="10"/>
      <c r="C171" s="10"/>
      <c r="D171" s="10"/>
      <c r="E171" s="10"/>
      <c r="F171" s="10"/>
      <c r="G171" s="10"/>
      <c r="H171" s="15" t="str">
        <f t="shared" si="8"/>
        <v/>
      </c>
      <c r="I171" s="16" t="str">
        <f t="shared" si="9"/>
        <v/>
      </c>
      <c r="J171" s="17"/>
      <c r="K171" s="17"/>
      <c r="L171" s="16">
        <f t="shared" si="10"/>
        <v>0</v>
      </c>
      <c r="M171" s="16">
        <f t="shared" si="11"/>
        <v>0</v>
      </c>
      <c r="N171" s="16">
        <f t="shared" si="12"/>
        <v>0</v>
      </c>
      <c r="O171" s="16">
        <f t="shared" si="13"/>
        <v>0</v>
      </c>
      <c r="P171" s="16">
        <f t="shared" si="14"/>
        <v>0</v>
      </c>
      <c r="Q171" s="16">
        <f t="shared" si="15"/>
        <v>0</v>
      </c>
    </row>
    <row r="172" ht="18.75" customHeight="1" spans="1:17">
      <c r="A172" s="10"/>
      <c r="B172" s="10"/>
      <c r="C172" s="10"/>
      <c r="D172" s="10"/>
      <c r="E172" s="10"/>
      <c r="F172" s="10"/>
      <c r="G172" s="10"/>
      <c r="H172" s="15" t="str">
        <f t="shared" si="8"/>
        <v/>
      </c>
      <c r="I172" s="16" t="str">
        <f t="shared" si="9"/>
        <v/>
      </c>
      <c r="J172" s="17"/>
      <c r="K172" s="17"/>
      <c r="L172" s="16">
        <f t="shared" si="10"/>
        <v>0</v>
      </c>
      <c r="M172" s="16">
        <f t="shared" si="11"/>
        <v>0</v>
      </c>
      <c r="N172" s="16">
        <f t="shared" si="12"/>
        <v>0</v>
      </c>
      <c r="O172" s="16">
        <f t="shared" si="13"/>
        <v>0</v>
      </c>
      <c r="P172" s="16">
        <f t="shared" si="14"/>
        <v>0</v>
      </c>
      <c r="Q172" s="16">
        <f t="shared" si="15"/>
        <v>0</v>
      </c>
    </row>
    <row r="173" ht="18.75" customHeight="1" spans="1:17">
      <c r="A173" s="10"/>
      <c r="B173" s="10"/>
      <c r="C173" s="10"/>
      <c r="D173" s="10"/>
      <c r="E173" s="10"/>
      <c r="F173" s="10"/>
      <c r="G173" s="10"/>
      <c r="H173" s="15" t="str">
        <f t="shared" si="8"/>
        <v/>
      </c>
      <c r="I173" s="16" t="str">
        <f t="shared" si="9"/>
        <v/>
      </c>
      <c r="J173" s="17"/>
      <c r="K173" s="17"/>
      <c r="L173" s="16">
        <f t="shared" si="10"/>
        <v>0</v>
      </c>
      <c r="M173" s="16">
        <f t="shared" si="11"/>
        <v>0</v>
      </c>
      <c r="N173" s="16">
        <f t="shared" si="12"/>
        <v>0</v>
      </c>
      <c r="O173" s="16">
        <f t="shared" si="13"/>
        <v>0</v>
      </c>
      <c r="P173" s="16">
        <f t="shared" si="14"/>
        <v>0</v>
      </c>
      <c r="Q173" s="16">
        <f t="shared" si="15"/>
        <v>0</v>
      </c>
    </row>
    <row r="174" ht="18.75" customHeight="1" spans="1:17">
      <c r="A174" s="10"/>
      <c r="B174" s="10"/>
      <c r="C174" s="10"/>
      <c r="D174" s="10"/>
      <c r="E174" s="10"/>
      <c r="F174" s="10"/>
      <c r="G174" s="10"/>
      <c r="H174" s="15" t="str">
        <f t="shared" si="8"/>
        <v/>
      </c>
      <c r="I174" s="16" t="str">
        <f t="shared" si="9"/>
        <v/>
      </c>
      <c r="J174" s="17"/>
      <c r="K174" s="17"/>
      <c r="L174" s="16">
        <f t="shared" si="10"/>
        <v>0</v>
      </c>
      <c r="M174" s="16">
        <f t="shared" si="11"/>
        <v>0</v>
      </c>
      <c r="N174" s="16">
        <f t="shared" si="12"/>
        <v>0</v>
      </c>
      <c r="O174" s="16">
        <f t="shared" si="13"/>
        <v>0</v>
      </c>
      <c r="P174" s="16">
        <f t="shared" si="14"/>
        <v>0</v>
      </c>
      <c r="Q174" s="16">
        <f t="shared" si="15"/>
        <v>0</v>
      </c>
    </row>
    <row r="175" ht="18.75" customHeight="1" spans="1:17">
      <c r="A175" s="10"/>
      <c r="B175" s="10"/>
      <c r="C175" s="10"/>
      <c r="D175" s="10"/>
      <c r="E175" s="10"/>
      <c r="F175" s="10"/>
      <c r="G175" s="10"/>
      <c r="H175" s="15" t="str">
        <f t="shared" si="8"/>
        <v/>
      </c>
      <c r="I175" s="16" t="str">
        <f t="shared" si="9"/>
        <v/>
      </c>
      <c r="J175" s="17"/>
      <c r="K175" s="17"/>
      <c r="L175" s="16">
        <f t="shared" si="10"/>
        <v>0</v>
      </c>
      <c r="M175" s="16">
        <f t="shared" si="11"/>
        <v>0</v>
      </c>
      <c r="N175" s="16">
        <f t="shared" si="12"/>
        <v>0</v>
      </c>
      <c r="O175" s="16">
        <f t="shared" si="13"/>
        <v>0</v>
      </c>
      <c r="P175" s="16">
        <f t="shared" si="14"/>
        <v>0</v>
      </c>
      <c r="Q175" s="16">
        <f t="shared" si="15"/>
        <v>0</v>
      </c>
    </row>
    <row r="176" ht="18.75" customHeight="1" spans="1:17">
      <c r="A176" s="10"/>
      <c r="B176" s="10"/>
      <c r="C176" s="10"/>
      <c r="D176" s="10"/>
      <c r="E176" s="10"/>
      <c r="F176" s="10"/>
      <c r="G176" s="10"/>
      <c r="H176" s="15" t="str">
        <f t="shared" si="8"/>
        <v/>
      </c>
      <c r="I176" s="16" t="str">
        <f t="shared" si="9"/>
        <v/>
      </c>
      <c r="J176" s="17"/>
      <c r="K176" s="17"/>
      <c r="L176" s="16">
        <f t="shared" si="10"/>
        <v>0</v>
      </c>
      <c r="M176" s="16">
        <f t="shared" si="11"/>
        <v>0</v>
      </c>
      <c r="N176" s="16">
        <f t="shared" si="12"/>
        <v>0</v>
      </c>
      <c r="O176" s="16">
        <f t="shared" si="13"/>
        <v>0</v>
      </c>
      <c r="P176" s="16">
        <f t="shared" si="14"/>
        <v>0</v>
      </c>
      <c r="Q176" s="16">
        <f t="shared" si="15"/>
        <v>0</v>
      </c>
    </row>
    <row r="177" ht="18.75" customHeight="1" spans="1:17">
      <c r="A177" s="10"/>
      <c r="B177" s="10"/>
      <c r="C177" s="10"/>
      <c r="D177" s="10"/>
      <c r="E177" s="10"/>
      <c r="F177" s="10"/>
      <c r="G177" s="10"/>
      <c r="H177" s="15" t="str">
        <f t="shared" si="8"/>
        <v/>
      </c>
      <c r="I177" s="16" t="str">
        <f t="shared" si="9"/>
        <v/>
      </c>
      <c r="J177" s="17"/>
      <c r="K177" s="17"/>
      <c r="L177" s="16">
        <f t="shared" si="10"/>
        <v>0</v>
      </c>
      <c r="M177" s="16">
        <f t="shared" si="11"/>
        <v>0</v>
      </c>
      <c r="N177" s="16">
        <f t="shared" si="12"/>
        <v>0</v>
      </c>
      <c r="O177" s="16">
        <f t="shared" si="13"/>
        <v>0</v>
      </c>
      <c r="P177" s="16">
        <f t="shared" si="14"/>
        <v>0</v>
      </c>
      <c r="Q177" s="16">
        <f t="shared" si="15"/>
        <v>0</v>
      </c>
    </row>
    <row r="178" ht="18.75" customHeight="1" spans="1:17">
      <c r="A178" s="10"/>
      <c r="B178" s="10"/>
      <c r="C178" s="10"/>
      <c r="D178" s="10"/>
      <c r="E178" s="10"/>
      <c r="F178" s="10"/>
      <c r="G178" s="10"/>
      <c r="H178" s="15" t="str">
        <f t="shared" si="8"/>
        <v/>
      </c>
      <c r="I178" s="16" t="str">
        <f t="shared" si="9"/>
        <v/>
      </c>
      <c r="J178" s="17"/>
      <c r="K178" s="17"/>
      <c r="L178" s="16">
        <f t="shared" si="10"/>
        <v>0</v>
      </c>
      <c r="M178" s="16">
        <f t="shared" si="11"/>
        <v>0</v>
      </c>
      <c r="N178" s="16">
        <f t="shared" si="12"/>
        <v>0</v>
      </c>
      <c r="O178" s="16">
        <f t="shared" si="13"/>
        <v>0</v>
      </c>
      <c r="P178" s="16">
        <f t="shared" si="14"/>
        <v>0</v>
      </c>
      <c r="Q178" s="16">
        <f t="shared" si="15"/>
        <v>0</v>
      </c>
    </row>
    <row r="179" ht="18.75" customHeight="1" spans="1:17">
      <c r="A179" s="10"/>
      <c r="B179" s="10"/>
      <c r="C179" s="10"/>
      <c r="D179" s="10"/>
      <c r="E179" s="10"/>
      <c r="F179" s="10"/>
      <c r="G179" s="10"/>
      <c r="H179" s="15" t="str">
        <f t="shared" si="8"/>
        <v/>
      </c>
      <c r="I179" s="16" t="str">
        <f t="shared" si="9"/>
        <v/>
      </c>
      <c r="J179" s="17"/>
      <c r="K179" s="17"/>
      <c r="L179" s="16">
        <f t="shared" si="10"/>
        <v>0</v>
      </c>
      <c r="M179" s="16">
        <f t="shared" si="11"/>
        <v>0</v>
      </c>
      <c r="N179" s="16">
        <f t="shared" si="12"/>
        <v>0</v>
      </c>
      <c r="O179" s="16">
        <f t="shared" si="13"/>
        <v>0</v>
      </c>
      <c r="P179" s="16">
        <f t="shared" si="14"/>
        <v>0</v>
      </c>
      <c r="Q179" s="16">
        <f t="shared" si="15"/>
        <v>0</v>
      </c>
    </row>
    <row r="180" ht="18.75" customHeight="1" spans="1:17">
      <c r="A180" s="10"/>
      <c r="B180" s="10"/>
      <c r="C180" s="10"/>
      <c r="D180" s="10"/>
      <c r="E180" s="10"/>
      <c r="F180" s="10"/>
      <c r="G180" s="10"/>
      <c r="H180" s="15" t="str">
        <f t="shared" si="8"/>
        <v/>
      </c>
      <c r="I180" s="16" t="str">
        <f t="shared" si="9"/>
        <v/>
      </c>
      <c r="J180" s="17"/>
      <c r="K180" s="17"/>
      <c r="L180" s="16">
        <f t="shared" si="10"/>
        <v>0</v>
      </c>
      <c r="M180" s="16">
        <f t="shared" si="11"/>
        <v>0</v>
      </c>
      <c r="N180" s="16">
        <f t="shared" si="12"/>
        <v>0</v>
      </c>
      <c r="O180" s="16">
        <f t="shared" si="13"/>
        <v>0</v>
      </c>
      <c r="P180" s="16">
        <f t="shared" si="14"/>
        <v>0</v>
      </c>
      <c r="Q180" s="16">
        <f t="shared" si="15"/>
        <v>0</v>
      </c>
    </row>
    <row r="181" ht="18.75" customHeight="1" spans="1:17">
      <c r="A181" s="10"/>
      <c r="B181" s="10"/>
      <c r="C181" s="10"/>
      <c r="D181" s="10"/>
      <c r="E181" s="10"/>
      <c r="F181" s="10"/>
      <c r="G181" s="10"/>
      <c r="H181" s="15" t="str">
        <f t="shared" si="8"/>
        <v/>
      </c>
      <c r="I181" s="16" t="str">
        <f t="shared" si="9"/>
        <v/>
      </c>
      <c r="J181" s="17"/>
      <c r="K181" s="17"/>
      <c r="L181" s="16">
        <f t="shared" si="10"/>
        <v>0</v>
      </c>
      <c r="M181" s="16">
        <f t="shared" si="11"/>
        <v>0</v>
      </c>
      <c r="N181" s="16">
        <f t="shared" si="12"/>
        <v>0</v>
      </c>
      <c r="O181" s="16">
        <f t="shared" si="13"/>
        <v>0</v>
      </c>
      <c r="P181" s="16">
        <f t="shared" si="14"/>
        <v>0</v>
      </c>
      <c r="Q181" s="16">
        <f t="shared" si="15"/>
        <v>0</v>
      </c>
    </row>
    <row r="182" ht="18.75" customHeight="1" spans="1:17">
      <c r="A182" s="10"/>
      <c r="B182" s="10"/>
      <c r="C182" s="10"/>
      <c r="D182" s="10"/>
      <c r="E182" s="10"/>
      <c r="F182" s="10"/>
      <c r="G182" s="10"/>
      <c r="H182" s="15" t="str">
        <f t="shared" si="8"/>
        <v/>
      </c>
      <c r="I182" s="16" t="str">
        <f t="shared" si="9"/>
        <v/>
      </c>
      <c r="J182" s="17"/>
      <c r="K182" s="17"/>
      <c r="L182" s="16">
        <f t="shared" si="10"/>
        <v>0</v>
      </c>
      <c r="M182" s="16">
        <f t="shared" si="11"/>
        <v>0</v>
      </c>
      <c r="N182" s="16">
        <f t="shared" si="12"/>
        <v>0</v>
      </c>
      <c r="O182" s="16">
        <f t="shared" si="13"/>
        <v>0</v>
      </c>
      <c r="P182" s="16">
        <f t="shared" si="14"/>
        <v>0</v>
      </c>
      <c r="Q182" s="16">
        <f t="shared" si="15"/>
        <v>0</v>
      </c>
    </row>
    <row r="183" ht="18.75" customHeight="1" spans="1:17">
      <c r="A183" s="10"/>
      <c r="B183" s="10"/>
      <c r="C183" s="10"/>
      <c r="D183" s="10"/>
      <c r="E183" s="10"/>
      <c r="F183" s="10"/>
      <c r="G183" s="10"/>
      <c r="H183" s="15" t="str">
        <f t="shared" si="8"/>
        <v/>
      </c>
      <c r="I183" s="16" t="str">
        <f t="shared" si="9"/>
        <v/>
      </c>
      <c r="J183" s="17"/>
      <c r="K183" s="17"/>
      <c r="L183" s="16">
        <f t="shared" si="10"/>
        <v>0</v>
      </c>
      <c r="M183" s="16">
        <f t="shared" si="11"/>
        <v>0</v>
      </c>
      <c r="N183" s="16">
        <f t="shared" si="12"/>
        <v>0</v>
      </c>
      <c r="O183" s="16">
        <f t="shared" si="13"/>
        <v>0</v>
      </c>
      <c r="P183" s="16">
        <f t="shared" si="14"/>
        <v>0</v>
      </c>
      <c r="Q183" s="16">
        <f t="shared" si="15"/>
        <v>0</v>
      </c>
    </row>
    <row r="184" ht="18.75" customHeight="1" spans="1:17">
      <c r="A184" s="10"/>
      <c r="B184" s="10"/>
      <c r="C184" s="10"/>
      <c r="D184" s="10"/>
      <c r="E184" s="10"/>
      <c r="F184" s="10"/>
      <c r="G184" s="10"/>
      <c r="H184" s="15" t="str">
        <f t="shared" si="8"/>
        <v/>
      </c>
      <c r="I184" s="16" t="str">
        <f t="shared" si="9"/>
        <v/>
      </c>
      <c r="J184" s="17"/>
      <c r="K184" s="17"/>
      <c r="L184" s="16">
        <f t="shared" si="10"/>
        <v>0</v>
      </c>
      <c r="M184" s="16">
        <f t="shared" si="11"/>
        <v>0</v>
      </c>
      <c r="N184" s="16">
        <f t="shared" si="12"/>
        <v>0</v>
      </c>
      <c r="O184" s="16">
        <f t="shared" si="13"/>
        <v>0</v>
      </c>
      <c r="P184" s="16">
        <f t="shared" si="14"/>
        <v>0</v>
      </c>
      <c r="Q184" s="16">
        <f t="shared" si="15"/>
        <v>0</v>
      </c>
    </row>
    <row r="185" ht="18.75" customHeight="1" spans="1:17">
      <c r="A185" s="10"/>
      <c r="B185" s="10"/>
      <c r="C185" s="10"/>
      <c r="D185" s="10"/>
      <c r="E185" s="10"/>
      <c r="F185" s="10"/>
      <c r="G185" s="10"/>
      <c r="H185" s="15" t="str">
        <f t="shared" si="8"/>
        <v/>
      </c>
      <c r="I185" s="16" t="str">
        <f t="shared" si="9"/>
        <v/>
      </c>
      <c r="J185" s="17"/>
      <c r="K185" s="17"/>
      <c r="L185" s="16">
        <f t="shared" si="10"/>
        <v>0</v>
      </c>
      <c r="M185" s="16">
        <f t="shared" si="11"/>
        <v>0</v>
      </c>
      <c r="N185" s="16">
        <f t="shared" si="12"/>
        <v>0</v>
      </c>
      <c r="O185" s="16">
        <f t="shared" si="13"/>
        <v>0</v>
      </c>
      <c r="P185" s="16">
        <f t="shared" si="14"/>
        <v>0</v>
      </c>
      <c r="Q185" s="16">
        <f t="shared" si="15"/>
        <v>0</v>
      </c>
    </row>
    <row r="186" ht="18.75" customHeight="1" spans="1:17">
      <c r="A186" s="10"/>
      <c r="B186" s="10"/>
      <c r="C186" s="10"/>
      <c r="D186" s="10"/>
      <c r="E186" s="10"/>
      <c r="F186" s="10"/>
      <c r="G186" s="10"/>
      <c r="H186" s="15" t="str">
        <f t="shared" si="8"/>
        <v/>
      </c>
      <c r="I186" s="16" t="str">
        <f t="shared" si="9"/>
        <v/>
      </c>
      <c r="J186" s="17"/>
      <c r="K186" s="17"/>
      <c r="L186" s="16">
        <f t="shared" si="10"/>
        <v>0</v>
      </c>
      <c r="M186" s="16">
        <f t="shared" si="11"/>
        <v>0</v>
      </c>
      <c r="N186" s="16">
        <f t="shared" si="12"/>
        <v>0</v>
      </c>
      <c r="O186" s="16">
        <f t="shared" si="13"/>
        <v>0</v>
      </c>
      <c r="P186" s="16">
        <f t="shared" si="14"/>
        <v>0</v>
      </c>
      <c r="Q186" s="16">
        <f t="shared" si="15"/>
        <v>0</v>
      </c>
    </row>
    <row r="187" ht="18.75" customHeight="1" spans="1:17">
      <c r="A187" s="10"/>
      <c r="B187" s="10"/>
      <c r="C187" s="10"/>
      <c r="D187" s="10"/>
      <c r="E187" s="10"/>
      <c r="F187" s="10"/>
      <c r="G187" s="10"/>
      <c r="H187" s="15" t="str">
        <f t="shared" si="8"/>
        <v/>
      </c>
      <c r="I187" s="16" t="str">
        <f t="shared" si="9"/>
        <v/>
      </c>
      <c r="J187" s="17"/>
      <c r="K187" s="17"/>
      <c r="L187" s="16">
        <f t="shared" si="10"/>
        <v>0</v>
      </c>
      <c r="M187" s="16">
        <f t="shared" si="11"/>
        <v>0</v>
      </c>
      <c r="N187" s="16">
        <f t="shared" si="12"/>
        <v>0</v>
      </c>
      <c r="O187" s="16">
        <f t="shared" si="13"/>
        <v>0</v>
      </c>
      <c r="P187" s="16">
        <f t="shared" si="14"/>
        <v>0</v>
      </c>
      <c r="Q187" s="16">
        <f t="shared" si="15"/>
        <v>0</v>
      </c>
    </row>
    <row r="188" ht="18.75" customHeight="1" spans="1:17">
      <c r="A188" s="10"/>
      <c r="B188" s="10"/>
      <c r="C188" s="10"/>
      <c r="D188" s="10"/>
      <c r="E188" s="10"/>
      <c r="F188" s="10"/>
      <c r="G188" s="10"/>
      <c r="H188" s="15" t="str">
        <f t="shared" si="8"/>
        <v/>
      </c>
      <c r="I188" s="16" t="str">
        <f t="shared" si="9"/>
        <v/>
      </c>
      <c r="J188" s="17"/>
      <c r="K188" s="17"/>
      <c r="L188" s="16">
        <f t="shared" si="10"/>
        <v>0</v>
      </c>
      <c r="M188" s="16">
        <f t="shared" si="11"/>
        <v>0</v>
      </c>
      <c r="N188" s="16">
        <f t="shared" si="12"/>
        <v>0</v>
      </c>
      <c r="O188" s="16">
        <f t="shared" si="13"/>
        <v>0</v>
      </c>
      <c r="P188" s="16">
        <f t="shared" si="14"/>
        <v>0</v>
      </c>
      <c r="Q188" s="16">
        <f t="shared" si="15"/>
        <v>0</v>
      </c>
    </row>
    <row r="189" ht="18.75" customHeight="1" spans="1:17">
      <c r="A189" s="10"/>
      <c r="B189" s="10"/>
      <c r="C189" s="10"/>
      <c r="D189" s="10"/>
      <c r="E189" s="10"/>
      <c r="F189" s="10"/>
      <c r="G189" s="10"/>
      <c r="H189" s="15" t="str">
        <f t="shared" si="8"/>
        <v/>
      </c>
      <c r="I189" s="16" t="str">
        <f t="shared" si="9"/>
        <v/>
      </c>
      <c r="J189" s="17"/>
      <c r="K189" s="17"/>
      <c r="L189" s="16">
        <f t="shared" si="10"/>
        <v>0</v>
      </c>
      <c r="M189" s="16">
        <f t="shared" si="11"/>
        <v>0</v>
      </c>
      <c r="N189" s="16">
        <f t="shared" si="12"/>
        <v>0</v>
      </c>
      <c r="O189" s="16">
        <f t="shared" si="13"/>
        <v>0</v>
      </c>
      <c r="P189" s="16">
        <f t="shared" si="14"/>
        <v>0</v>
      </c>
      <c r="Q189" s="16">
        <f t="shared" si="15"/>
        <v>0</v>
      </c>
    </row>
    <row r="190" ht="18.75" customHeight="1" spans="1:17">
      <c r="A190" s="10"/>
      <c r="B190" s="10"/>
      <c r="C190" s="10"/>
      <c r="D190" s="10"/>
      <c r="E190" s="10"/>
      <c r="F190" s="10"/>
      <c r="G190" s="10"/>
      <c r="H190" s="15" t="str">
        <f t="shared" si="8"/>
        <v/>
      </c>
      <c r="I190" s="16" t="str">
        <f t="shared" si="9"/>
        <v/>
      </c>
      <c r="J190" s="17"/>
      <c r="K190" s="17"/>
      <c r="L190" s="16">
        <f t="shared" si="10"/>
        <v>0</v>
      </c>
      <c r="M190" s="16">
        <f t="shared" si="11"/>
        <v>0</v>
      </c>
      <c r="N190" s="16">
        <f t="shared" si="12"/>
        <v>0</v>
      </c>
      <c r="O190" s="16">
        <f t="shared" si="13"/>
        <v>0</v>
      </c>
      <c r="P190" s="16">
        <f t="shared" si="14"/>
        <v>0</v>
      </c>
      <c r="Q190" s="16">
        <f t="shared" si="15"/>
        <v>0</v>
      </c>
    </row>
    <row r="191" ht="18.75" customHeight="1" spans="1:17">
      <c r="A191" s="10"/>
      <c r="B191" s="10"/>
      <c r="C191" s="10"/>
      <c r="D191" s="10"/>
      <c r="E191" s="10"/>
      <c r="F191" s="10"/>
      <c r="G191" s="10"/>
      <c r="H191" s="15" t="str">
        <f t="shared" si="8"/>
        <v/>
      </c>
      <c r="I191" s="16" t="str">
        <f t="shared" si="9"/>
        <v/>
      </c>
      <c r="J191" s="17"/>
      <c r="K191" s="17"/>
      <c r="L191" s="16">
        <f t="shared" si="10"/>
        <v>0</v>
      </c>
      <c r="M191" s="16">
        <f t="shared" si="11"/>
        <v>0</v>
      </c>
      <c r="N191" s="16">
        <f t="shared" si="12"/>
        <v>0</v>
      </c>
      <c r="O191" s="16">
        <f t="shared" si="13"/>
        <v>0</v>
      </c>
      <c r="P191" s="16">
        <f t="shared" si="14"/>
        <v>0</v>
      </c>
      <c r="Q191" s="16">
        <f t="shared" si="15"/>
        <v>0</v>
      </c>
    </row>
    <row r="192" ht="18.75" customHeight="1" spans="1:17">
      <c r="A192" s="10"/>
      <c r="B192" s="10"/>
      <c r="C192" s="10"/>
      <c r="D192" s="10"/>
      <c r="E192" s="10"/>
      <c r="F192" s="10"/>
      <c r="G192" s="10"/>
      <c r="H192" s="15" t="str">
        <f t="shared" si="8"/>
        <v/>
      </c>
      <c r="I192" s="16" t="str">
        <f t="shared" si="9"/>
        <v/>
      </c>
      <c r="J192" s="17"/>
      <c r="K192" s="17"/>
      <c r="L192" s="16">
        <f t="shared" si="10"/>
        <v>0</v>
      </c>
      <c r="M192" s="16">
        <f t="shared" si="11"/>
        <v>0</v>
      </c>
      <c r="N192" s="16">
        <f t="shared" si="12"/>
        <v>0</v>
      </c>
      <c r="O192" s="16">
        <f t="shared" si="13"/>
        <v>0</v>
      </c>
      <c r="P192" s="16">
        <f t="shared" si="14"/>
        <v>0</v>
      </c>
      <c r="Q192" s="16">
        <f t="shared" si="15"/>
        <v>0</v>
      </c>
    </row>
    <row r="193" ht="18.75" customHeight="1" spans="1:17">
      <c r="A193" s="10"/>
      <c r="B193" s="10"/>
      <c r="C193" s="10"/>
      <c r="D193" s="10"/>
      <c r="E193" s="10"/>
      <c r="F193" s="10"/>
      <c r="G193" s="10"/>
      <c r="H193" s="15" t="str">
        <f t="shared" si="8"/>
        <v/>
      </c>
      <c r="I193" s="16" t="str">
        <f t="shared" si="9"/>
        <v/>
      </c>
      <c r="J193" s="17"/>
      <c r="K193" s="17"/>
      <c r="L193" s="16">
        <f t="shared" si="10"/>
        <v>0</v>
      </c>
      <c r="M193" s="16">
        <f t="shared" si="11"/>
        <v>0</v>
      </c>
      <c r="N193" s="16">
        <f t="shared" si="12"/>
        <v>0</v>
      </c>
      <c r="O193" s="16">
        <f t="shared" si="13"/>
        <v>0</v>
      </c>
      <c r="P193" s="16">
        <f t="shared" si="14"/>
        <v>0</v>
      </c>
      <c r="Q193" s="16">
        <f t="shared" si="15"/>
        <v>0</v>
      </c>
    </row>
    <row r="194" ht="18.75" customHeight="1" spans="1:17">
      <c r="A194" s="10"/>
      <c r="B194" s="10"/>
      <c r="C194" s="10"/>
      <c r="D194" s="10"/>
      <c r="E194" s="10"/>
      <c r="F194" s="10"/>
      <c r="G194" s="10"/>
      <c r="H194" s="15" t="str">
        <f t="shared" si="8"/>
        <v/>
      </c>
      <c r="I194" s="16" t="str">
        <f t="shared" si="9"/>
        <v/>
      </c>
      <c r="J194" s="17"/>
      <c r="K194" s="17"/>
      <c r="L194" s="16">
        <f t="shared" si="10"/>
        <v>0</v>
      </c>
      <c r="M194" s="16">
        <f t="shared" si="11"/>
        <v>0</v>
      </c>
      <c r="N194" s="16">
        <f t="shared" si="12"/>
        <v>0</v>
      </c>
      <c r="O194" s="16">
        <f t="shared" si="13"/>
        <v>0</v>
      </c>
      <c r="P194" s="16">
        <f t="shared" si="14"/>
        <v>0</v>
      </c>
      <c r="Q194" s="16">
        <f t="shared" si="15"/>
        <v>0</v>
      </c>
    </row>
    <row r="195" ht="18.75" customHeight="1" spans="1:17">
      <c r="A195" s="10"/>
      <c r="B195" s="10"/>
      <c r="C195" s="10"/>
      <c r="D195" s="10"/>
      <c r="E195" s="10"/>
      <c r="F195" s="10"/>
      <c r="G195" s="10"/>
      <c r="H195" s="15" t="str">
        <f t="shared" si="8"/>
        <v/>
      </c>
      <c r="I195" s="16" t="str">
        <f t="shared" si="9"/>
        <v/>
      </c>
      <c r="J195" s="17"/>
      <c r="K195" s="17"/>
      <c r="L195" s="16">
        <f t="shared" si="10"/>
        <v>0</v>
      </c>
      <c r="M195" s="16">
        <f t="shared" si="11"/>
        <v>0</v>
      </c>
      <c r="N195" s="16">
        <f t="shared" si="12"/>
        <v>0</v>
      </c>
      <c r="O195" s="16">
        <f t="shared" si="13"/>
        <v>0</v>
      </c>
      <c r="P195" s="16">
        <f t="shared" si="14"/>
        <v>0</v>
      </c>
      <c r="Q195" s="16">
        <f t="shared" si="15"/>
        <v>0</v>
      </c>
    </row>
    <row r="196" ht="18.75" customHeight="1" spans="1:17">
      <c r="A196" s="10"/>
      <c r="B196" s="10"/>
      <c r="C196" s="10"/>
      <c r="D196" s="10"/>
      <c r="E196" s="10"/>
      <c r="F196" s="10"/>
      <c r="G196" s="10"/>
      <c r="H196" s="15" t="str">
        <f t="shared" si="8"/>
        <v/>
      </c>
      <c r="I196" s="16" t="str">
        <f t="shared" si="9"/>
        <v/>
      </c>
      <c r="J196" s="17"/>
      <c r="K196" s="17"/>
      <c r="L196" s="16">
        <f t="shared" si="10"/>
        <v>0</v>
      </c>
      <c r="M196" s="16">
        <f t="shared" si="11"/>
        <v>0</v>
      </c>
      <c r="N196" s="16">
        <f t="shared" si="12"/>
        <v>0</v>
      </c>
      <c r="O196" s="16">
        <f t="shared" si="13"/>
        <v>0</v>
      </c>
      <c r="P196" s="16">
        <f t="shared" si="14"/>
        <v>0</v>
      </c>
      <c r="Q196" s="16">
        <f t="shared" si="15"/>
        <v>0</v>
      </c>
    </row>
    <row r="197" ht="18.75" customHeight="1" spans="1:17">
      <c r="A197" s="10"/>
      <c r="B197" s="10"/>
      <c r="C197" s="10"/>
      <c r="D197" s="10"/>
      <c r="E197" s="10"/>
      <c r="F197" s="10"/>
      <c r="G197" s="10"/>
      <c r="H197" s="15" t="str">
        <f t="shared" si="8"/>
        <v/>
      </c>
      <c r="I197" s="16" t="str">
        <f t="shared" si="9"/>
        <v/>
      </c>
      <c r="J197" s="17"/>
      <c r="K197" s="17"/>
      <c r="L197" s="16">
        <f t="shared" si="10"/>
        <v>0</v>
      </c>
      <c r="M197" s="16">
        <f t="shared" si="11"/>
        <v>0</v>
      </c>
      <c r="N197" s="16">
        <f t="shared" si="12"/>
        <v>0</v>
      </c>
      <c r="O197" s="16">
        <f t="shared" si="13"/>
        <v>0</v>
      </c>
      <c r="P197" s="16">
        <f t="shared" si="14"/>
        <v>0</v>
      </c>
      <c r="Q197" s="16">
        <f t="shared" si="15"/>
        <v>0</v>
      </c>
    </row>
    <row r="198" ht="18.75" customHeight="1" spans="1:17">
      <c r="A198" s="10"/>
      <c r="B198" s="10"/>
      <c r="C198" s="10"/>
      <c r="D198" s="10"/>
      <c r="E198" s="10"/>
      <c r="F198" s="10"/>
      <c r="G198" s="10"/>
      <c r="H198" s="15" t="str">
        <f t="shared" si="8"/>
        <v/>
      </c>
      <c r="I198" s="16" t="str">
        <f t="shared" si="9"/>
        <v/>
      </c>
      <c r="J198" s="17"/>
      <c r="K198" s="17"/>
      <c r="L198" s="16">
        <f t="shared" si="10"/>
        <v>0</v>
      </c>
      <c r="M198" s="16">
        <f t="shared" si="11"/>
        <v>0</v>
      </c>
      <c r="N198" s="16">
        <f t="shared" si="12"/>
        <v>0</v>
      </c>
      <c r="O198" s="16">
        <f t="shared" si="13"/>
        <v>0</v>
      </c>
      <c r="P198" s="16">
        <f t="shared" si="14"/>
        <v>0</v>
      </c>
      <c r="Q198" s="16">
        <f t="shared" si="15"/>
        <v>0</v>
      </c>
    </row>
    <row r="199" ht="18.75" customHeight="1" spans="1:17">
      <c r="A199" s="10"/>
      <c r="B199" s="10"/>
      <c r="C199" s="10"/>
      <c r="D199" s="10"/>
      <c r="E199" s="10"/>
      <c r="F199" s="10"/>
      <c r="G199" s="10"/>
      <c r="H199" s="15" t="str">
        <f t="shared" si="8"/>
        <v/>
      </c>
      <c r="I199" s="16" t="str">
        <f t="shared" si="9"/>
        <v/>
      </c>
      <c r="J199" s="17"/>
      <c r="K199" s="17"/>
      <c r="L199" s="16">
        <f t="shared" si="10"/>
        <v>0</v>
      </c>
      <c r="M199" s="16">
        <f t="shared" si="11"/>
        <v>0</v>
      </c>
      <c r="N199" s="16">
        <f t="shared" si="12"/>
        <v>0</v>
      </c>
      <c r="O199" s="16">
        <f t="shared" si="13"/>
        <v>0</v>
      </c>
      <c r="P199" s="16">
        <f t="shared" si="14"/>
        <v>0</v>
      </c>
      <c r="Q199" s="16">
        <f t="shared" si="15"/>
        <v>0</v>
      </c>
    </row>
    <row r="200" ht="18.75" customHeight="1" spans="1:17">
      <c r="A200" s="10"/>
      <c r="B200" s="10"/>
      <c r="C200" s="10"/>
      <c r="D200" s="10"/>
      <c r="E200" s="10"/>
      <c r="F200" s="10"/>
      <c r="G200" s="10"/>
      <c r="H200" s="15" t="str">
        <f t="shared" si="8"/>
        <v/>
      </c>
      <c r="I200" s="16" t="str">
        <f t="shared" si="9"/>
        <v/>
      </c>
      <c r="J200" s="17"/>
      <c r="K200" s="17"/>
      <c r="L200" s="16">
        <f t="shared" si="10"/>
        <v>0</v>
      </c>
      <c r="M200" s="16">
        <f t="shared" si="11"/>
        <v>0</v>
      </c>
      <c r="N200" s="16">
        <f t="shared" si="12"/>
        <v>0</v>
      </c>
      <c r="O200" s="16">
        <f t="shared" si="13"/>
        <v>0</v>
      </c>
      <c r="P200" s="16">
        <f t="shared" si="14"/>
        <v>0</v>
      </c>
      <c r="Q200" s="16">
        <f t="shared" si="15"/>
        <v>0</v>
      </c>
    </row>
    <row r="201" ht="18.75" customHeight="1" spans="1:17">
      <c r="A201" s="10"/>
      <c r="B201" s="10"/>
      <c r="C201" s="10"/>
      <c r="D201" s="10"/>
      <c r="E201" s="10"/>
      <c r="F201" s="10"/>
      <c r="G201" s="10"/>
      <c r="H201" s="15" t="str">
        <f t="shared" si="8"/>
        <v/>
      </c>
      <c r="I201" s="16" t="str">
        <f t="shared" si="9"/>
        <v/>
      </c>
      <c r="J201" s="17"/>
      <c r="K201" s="17"/>
      <c r="L201" s="16">
        <f t="shared" si="10"/>
        <v>0</v>
      </c>
      <c r="M201" s="16">
        <f t="shared" si="11"/>
        <v>0</v>
      </c>
      <c r="N201" s="16">
        <f t="shared" si="12"/>
        <v>0</v>
      </c>
      <c r="O201" s="16">
        <f t="shared" si="13"/>
        <v>0</v>
      </c>
      <c r="P201" s="16">
        <f t="shared" si="14"/>
        <v>0</v>
      </c>
      <c r="Q201" s="16">
        <f t="shared" si="15"/>
        <v>0</v>
      </c>
    </row>
    <row r="202" ht="18.75" customHeight="1" spans="1:17">
      <c r="A202" s="10"/>
      <c r="B202" s="10"/>
      <c r="C202" s="10"/>
      <c r="D202" s="10"/>
      <c r="E202" s="10"/>
      <c r="F202" s="10"/>
      <c r="G202" s="10"/>
      <c r="H202" s="15" t="str">
        <f t="shared" si="8"/>
        <v/>
      </c>
      <c r="I202" s="16" t="str">
        <f t="shared" si="9"/>
        <v/>
      </c>
      <c r="J202" s="17"/>
      <c r="K202" s="17"/>
      <c r="L202" s="16">
        <f t="shared" si="10"/>
        <v>0</v>
      </c>
      <c r="M202" s="16">
        <f t="shared" si="11"/>
        <v>0</v>
      </c>
      <c r="N202" s="16">
        <f t="shared" si="12"/>
        <v>0</v>
      </c>
      <c r="O202" s="16">
        <f t="shared" si="13"/>
        <v>0</v>
      </c>
      <c r="P202" s="16">
        <f t="shared" si="14"/>
        <v>0</v>
      </c>
      <c r="Q202" s="16">
        <f t="shared" si="15"/>
        <v>0</v>
      </c>
    </row>
    <row r="203" ht="18.75" customHeight="1" spans="1:17">
      <c r="A203" s="10"/>
      <c r="B203" s="10"/>
      <c r="C203" s="10"/>
      <c r="D203" s="10"/>
      <c r="E203" s="10"/>
      <c r="F203" s="10"/>
      <c r="G203" s="10"/>
      <c r="H203" s="15" t="str">
        <f t="shared" si="8"/>
        <v/>
      </c>
      <c r="I203" s="16" t="str">
        <f t="shared" si="9"/>
        <v/>
      </c>
      <c r="J203" s="17"/>
      <c r="K203" s="17"/>
      <c r="L203" s="16">
        <f t="shared" si="10"/>
        <v>0</v>
      </c>
      <c r="M203" s="16">
        <f t="shared" si="11"/>
        <v>0</v>
      </c>
      <c r="N203" s="16">
        <f t="shared" si="12"/>
        <v>0</v>
      </c>
      <c r="O203" s="16">
        <f t="shared" si="13"/>
        <v>0</v>
      </c>
      <c r="P203" s="16">
        <f t="shared" si="14"/>
        <v>0</v>
      </c>
      <c r="Q203" s="16">
        <f t="shared" si="15"/>
        <v>0</v>
      </c>
    </row>
    <row r="204" ht="18.75" customHeight="1" spans="1:17">
      <c r="A204" s="10"/>
      <c r="B204" s="10"/>
      <c r="C204" s="10"/>
      <c r="D204" s="10"/>
      <c r="E204" s="10"/>
      <c r="F204" s="10"/>
      <c r="G204" s="10"/>
      <c r="H204" s="15" t="str">
        <f t="shared" si="8"/>
        <v/>
      </c>
      <c r="I204" s="16" t="str">
        <f t="shared" si="9"/>
        <v/>
      </c>
      <c r="J204" s="17"/>
      <c r="K204" s="17"/>
      <c r="L204" s="16">
        <f t="shared" si="10"/>
        <v>0</v>
      </c>
      <c r="M204" s="16">
        <f t="shared" si="11"/>
        <v>0</v>
      </c>
      <c r="N204" s="16">
        <f t="shared" si="12"/>
        <v>0</v>
      </c>
      <c r="O204" s="16">
        <f t="shared" si="13"/>
        <v>0</v>
      </c>
      <c r="P204" s="16">
        <f t="shared" si="14"/>
        <v>0</v>
      </c>
      <c r="Q204" s="16">
        <f t="shared" si="15"/>
        <v>0</v>
      </c>
    </row>
    <row r="205" ht="18.75" customHeight="1" spans="1:17">
      <c r="A205" s="10"/>
      <c r="B205" s="10"/>
      <c r="C205" s="10"/>
      <c r="D205" s="10"/>
      <c r="E205" s="10"/>
      <c r="F205" s="10"/>
      <c r="G205" s="10"/>
      <c r="H205" s="15" t="str">
        <f t="shared" si="8"/>
        <v/>
      </c>
      <c r="I205" s="16" t="str">
        <f t="shared" si="9"/>
        <v/>
      </c>
      <c r="J205" s="17"/>
      <c r="K205" s="17"/>
      <c r="L205" s="16">
        <f t="shared" si="10"/>
        <v>0</v>
      </c>
      <c r="M205" s="16">
        <f t="shared" si="11"/>
        <v>0</v>
      </c>
      <c r="N205" s="16">
        <f t="shared" si="12"/>
        <v>0</v>
      </c>
      <c r="O205" s="16">
        <f t="shared" si="13"/>
        <v>0</v>
      </c>
      <c r="P205" s="16">
        <f t="shared" si="14"/>
        <v>0</v>
      </c>
      <c r="Q205" s="16">
        <f t="shared" si="15"/>
        <v>0</v>
      </c>
    </row>
    <row r="206" ht="18.75" customHeight="1" spans="1:17">
      <c r="A206" s="10"/>
      <c r="B206" s="10"/>
      <c r="C206" s="10"/>
      <c r="D206" s="10"/>
      <c r="E206" s="10"/>
      <c r="F206" s="10"/>
      <c r="G206" s="10"/>
      <c r="H206" s="15" t="str">
        <f t="shared" si="8"/>
        <v/>
      </c>
      <c r="I206" s="16" t="str">
        <f t="shared" si="9"/>
        <v/>
      </c>
      <c r="J206" s="17"/>
      <c r="K206" s="17"/>
      <c r="L206" s="16">
        <f t="shared" si="10"/>
        <v>0</v>
      </c>
      <c r="M206" s="16">
        <f t="shared" si="11"/>
        <v>0</v>
      </c>
      <c r="N206" s="16">
        <f t="shared" si="12"/>
        <v>0</v>
      </c>
      <c r="O206" s="16">
        <f t="shared" si="13"/>
        <v>0</v>
      </c>
      <c r="P206" s="16">
        <f t="shared" si="14"/>
        <v>0</v>
      </c>
      <c r="Q206" s="16">
        <f t="shared" si="15"/>
        <v>0</v>
      </c>
    </row>
    <row r="207" ht="18.75" customHeight="1" spans="1:17">
      <c r="A207" s="10"/>
      <c r="B207" s="10"/>
      <c r="C207" s="10"/>
      <c r="D207" s="10"/>
      <c r="E207" s="10"/>
      <c r="F207" s="10"/>
      <c r="G207" s="10"/>
      <c r="H207" s="15" t="str">
        <f t="shared" si="8"/>
        <v/>
      </c>
      <c r="I207" s="16" t="str">
        <f t="shared" si="9"/>
        <v/>
      </c>
      <c r="J207" s="17"/>
      <c r="K207" s="17"/>
      <c r="L207" s="16">
        <f t="shared" si="10"/>
        <v>0</v>
      </c>
      <c r="M207" s="16">
        <f t="shared" si="11"/>
        <v>0</v>
      </c>
      <c r="N207" s="16">
        <f t="shared" si="12"/>
        <v>0</v>
      </c>
      <c r="O207" s="16">
        <f t="shared" si="13"/>
        <v>0</v>
      </c>
      <c r="P207" s="16">
        <f t="shared" si="14"/>
        <v>0</v>
      </c>
      <c r="Q207" s="16">
        <f t="shared" si="15"/>
        <v>0</v>
      </c>
    </row>
    <row r="208" ht="18.75" customHeight="1" spans="1:17">
      <c r="A208" s="10"/>
      <c r="B208" s="10"/>
      <c r="C208" s="10"/>
      <c r="D208" s="10"/>
      <c r="E208" s="10"/>
      <c r="F208" s="10"/>
      <c r="G208" s="10"/>
      <c r="H208" s="15" t="str">
        <f t="shared" si="8"/>
        <v/>
      </c>
      <c r="I208" s="16" t="str">
        <f t="shared" si="9"/>
        <v/>
      </c>
      <c r="J208" s="17"/>
      <c r="K208" s="17"/>
      <c r="L208" s="16">
        <f t="shared" si="10"/>
        <v>0</v>
      </c>
      <c r="M208" s="16">
        <f t="shared" si="11"/>
        <v>0</v>
      </c>
      <c r="N208" s="16">
        <f t="shared" si="12"/>
        <v>0</v>
      </c>
      <c r="O208" s="16">
        <f t="shared" si="13"/>
        <v>0</v>
      </c>
      <c r="P208" s="16">
        <f t="shared" si="14"/>
        <v>0</v>
      </c>
      <c r="Q208" s="16">
        <f t="shared" si="15"/>
        <v>0</v>
      </c>
    </row>
    <row r="209" ht="18.75" customHeight="1" spans="1:17">
      <c r="A209" s="10"/>
      <c r="B209" s="10"/>
      <c r="C209" s="10"/>
      <c r="D209" s="10"/>
      <c r="E209" s="10"/>
      <c r="F209" s="10"/>
      <c r="G209" s="10"/>
      <c r="H209" s="15" t="str">
        <f t="shared" si="8"/>
        <v/>
      </c>
      <c r="I209" s="16" t="str">
        <f t="shared" si="9"/>
        <v/>
      </c>
      <c r="J209" s="17"/>
      <c r="K209" s="17"/>
      <c r="L209" s="16">
        <f t="shared" si="10"/>
        <v>0</v>
      </c>
      <c r="M209" s="16">
        <f t="shared" si="11"/>
        <v>0</v>
      </c>
      <c r="N209" s="16">
        <f t="shared" si="12"/>
        <v>0</v>
      </c>
      <c r="O209" s="16">
        <f t="shared" si="13"/>
        <v>0</v>
      </c>
      <c r="P209" s="16">
        <f t="shared" si="14"/>
        <v>0</v>
      </c>
      <c r="Q209" s="16">
        <f t="shared" si="15"/>
        <v>0</v>
      </c>
    </row>
    <row r="210" ht="18.75" customHeight="1" spans="1:17">
      <c r="A210" s="10"/>
      <c r="B210" s="10"/>
      <c r="C210" s="10"/>
      <c r="D210" s="10"/>
      <c r="E210" s="10"/>
      <c r="F210" s="10"/>
      <c r="G210" s="10"/>
      <c r="H210" s="15" t="str">
        <f t="shared" si="8"/>
        <v/>
      </c>
      <c r="I210" s="16" t="str">
        <f t="shared" si="9"/>
        <v/>
      </c>
      <c r="J210" s="17"/>
      <c r="K210" s="17"/>
      <c r="L210" s="16">
        <f t="shared" si="10"/>
        <v>0</v>
      </c>
      <c r="M210" s="16">
        <f t="shared" si="11"/>
        <v>0</v>
      </c>
      <c r="N210" s="16">
        <f t="shared" si="12"/>
        <v>0</v>
      </c>
      <c r="O210" s="16">
        <f t="shared" si="13"/>
        <v>0</v>
      </c>
      <c r="P210" s="16">
        <f t="shared" si="14"/>
        <v>0</v>
      </c>
      <c r="Q210" s="16">
        <f t="shared" si="15"/>
        <v>0</v>
      </c>
    </row>
    <row r="211" ht="18.75" customHeight="1"/>
    <row r="212" ht="18.75" customHeight="1"/>
    <row r="213" ht="18.75" customHeight="1" spans="1:16">
      <c r="A213" s="3" t="s">
        <v>452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6"/>
    </row>
    <row r="214" s="1" customFormat="1" ht="18.75" customHeight="1" spans="1:19">
      <c r="A214" s="9" t="s">
        <v>147</v>
      </c>
      <c r="B214" s="9" t="s">
        <v>173</v>
      </c>
      <c r="C214" s="9" t="s">
        <v>453</v>
      </c>
      <c r="D214" s="9" t="s">
        <v>454</v>
      </c>
      <c r="E214" s="9" t="s">
        <v>455</v>
      </c>
      <c r="F214" s="9" t="s">
        <v>135</v>
      </c>
      <c r="G214" s="9" t="s">
        <v>456</v>
      </c>
      <c r="H214" s="9" t="s">
        <v>457</v>
      </c>
      <c r="I214" s="9" t="s">
        <v>458</v>
      </c>
      <c r="J214" s="9" t="s">
        <v>154</v>
      </c>
      <c r="K214" s="9" t="s">
        <v>459</v>
      </c>
      <c r="L214" s="9" t="s">
        <v>460</v>
      </c>
      <c r="M214" s="9" t="s">
        <v>461</v>
      </c>
      <c r="N214" s="9" t="s">
        <v>462</v>
      </c>
      <c r="O214" s="9" t="s">
        <v>463</v>
      </c>
      <c r="P214" s="9" t="s">
        <v>464</v>
      </c>
      <c r="Q214" s="9" t="s">
        <v>465</v>
      </c>
      <c r="R214" s="9" t="s">
        <v>139</v>
      </c>
      <c r="S214" s="9" t="s">
        <v>198</v>
      </c>
    </row>
    <row r="215" ht="18.75" customHeight="1" spans="1:19">
      <c r="A215" s="7" t="s">
        <v>0</v>
      </c>
      <c r="B215" s="10"/>
      <c r="C215" s="10"/>
      <c r="D215" s="10"/>
      <c r="E215" s="18" t="str">
        <f>IFERROR(D215/C215,"")</f>
        <v/>
      </c>
      <c r="F215" s="19"/>
      <c r="G215" s="10"/>
      <c r="H215" s="10"/>
      <c r="I215" s="10"/>
      <c r="J215" s="18" t="str">
        <f>IFERROR((H215-I215)/H215,"")</f>
        <v/>
      </c>
      <c r="K215" s="10"/>
      <c r="L215" s="10"/>
      <c r="M215" s="18" t="str">
        <f>IFERROR((K215-L215)/K215,"")</f>
        <v/>
      </c>
      <c r="N215" s="10"/>
      <c r="O215" s="10"/>
      <c r="P215" s="20">
        <f>IFERROR(O215-N215,"")</f>
        <v>0</v>
      </c>
      <c r="Q215" s="19"/>
      <c r="R215" s="10"/>
      <c r="S215" s="10"/>
    </row>
    <row r="216" ht="18.75" customHeight="1" spans="1:19">
      <c r="A216" s="7" t="s">
        <v>15</v>
      </c>
      <c r="B216" s="10"/>
      <c r="C216" s="10"/>
      <c r="D216" s="10"/>
      <c r="E216" s="18" t="str">
        <f>IFERROR(D216/C216,"")</f>
        <v/>
      </c>
      <c r="F216" s="19"/>
      <c r="G216" s="10"/>
      <c r="H216" s="10"/>
      <c r="I216" s="10"/>
      <c r="J216" s="18" t="str">
        <f>IFERROR((H216-I216)/H216,"")</f>
        <v/>
      </c>
      <c r="K216" s="10"/>
      <c r="L216" s="10"/>
      <c r="M216" s="18" t="str">
        <f>IFERROR((K216-L216)/K216,"")</f>
        <v/>
      </c>
      <c r="N216" s="10"/>
      <c r="O216" s="10"/>
      <c r="P216" s="20">
        <f>IFERROR(O216-N216,"")</f>
        <v>0</v>
      </c>
      <c r="Q216" s="19"/>
      <c r="R216" s="10"/>
      <c r="S216" s="10"/>
    </row>
    <row r="217" ht="18.75" customHeight="1" spans="1:19">
      <c r="A217" s="7" t="s">
        <v>30</v>
      </c>
      <c r="B217" s="10"/>
      <c r="C217" s="10"/>
      <c r="D217" s="10"/>
      <c r="E217" s="18" t="str">
        <f>IFERROR(D217/C217,"")</f>
        <v/>
      </c>
      <c r="F217" s="19"/>
      <c r="G217" s="10"/>
      <c r="H217" s="10"/>
      <c r="I217" s="10"/>
      <c r="J217" s="18" t="str">
        <f>IFERROR((H217-I217)/H217,"")</f>
        <v/>
      </c>
      <c r="K217" s="10"/>
      <c r="L217" s="10"/>
      <c r="M217" s="18" t="str">
        <f>IFERROR((K217-L217)/K217,"")</f>
        <v/>
      </c>
      <c r="N217" s="10"/>
      <c r="O217" s="10"/>
      <c r="P217" s="20">
        <f>IFERROR(O217-N217,"")</f>
        <v>0</v>
      </c>
      <c r="Q217" s="19"/>
      <c r="R217" s="10"/>
      <c r="S217" s="10"/>
    </row>
    <row r="218" ht="18.75" customHeight="1" spans="1:19">
      <c r="A218" s="7" t="s">
        <v>43</v>
      </c>
      <c r="B218" s="10"/>
      <c r="C218" s="10"/>
      <c r="D218" s="10"/>
      <c r="E218" s="18" t="str">
        <f>IFERROR(D218/C218,"")</f>
        <v/>
      </c>
      <c r="F218" s="19"/>
      <c r="G218" s="10"/>
      <c r="H218" s="10"/>
      <c r="I218" s="10"/>
      <c r="J218" s="18" t="str">
        <f>IFERROR((H218-I218)/H218,"")</f>
        <v/>
      </c>
      <c r="K218" s="10"/>
      <c r="L218" s="10"/>
      <c r="M218" s="18" t="str">
        <f>IFERROR((K218-L218)/K218,"")</f>
        <v/>
      </c>
      <c r="N218" s="10"/>
      <c r="O218" s="10"/>
      <c r="P218" s="20">
        <f>IFERROR(O218-N218,"")</f>
        <v>0</v>
      </c>
      <c r="Q218" s="19"/>
      <c r="R218" s="10"/>
      <c r="S218" s="10"/>
    </row>
    <row r="219" ht="18.75" customHeight="1"/>
    <row r="220" ht="18.75" customHeight="1"/>
    <row r="221" ht="18.75" customHeight="1"/>
    <row r="222" ht="18.75" customHeight="1" spans="1:8">
      <c r="A222" s="3" t="s">
        <v>474</v>
      </c>
      <c r="B222" s="4"/>
      <c r="C222" s="4"/>
      <c r="D222" s="4"/>
      <c r="E222" s="4"/>
      <c r="F222" s="4"/>
      <c r="G222" s="4"/>
      <c r="H222" s="6"/>
    </row>
    <row r="223" s="1" customFormat="1" ht="18.75" customHeight="1" spans="1:8">
      <c r="A223" s="9" t="s">
        <v>147</v>
      </c>
      <c r="B223" s="9" t="s">
        <v>113</v>
      </c>
      <c r="C223" s="9" t="s">
        <v>124</v>
      </c>
      <c r="D223" s="9" t="s">
        <v>475</v>
      </c>
      <c r="E223" s="9" t="s">
        <v>476</v>
      </c>
      <c r="F223" s="9" t="s">
        <v>477</v>
      </c>
      <c r="G223" s="9" t="s">
        <v>478</v>
      </c>
      <c r="H223" s="9" t="s">
        <v>198</v>
      </c>
    </row>
    <row r="224" s="1" customFormat="1" ht="18.75" customHeight="1" spans="1:8">
      <c r="A224" s="10"/>
      <c r="B224" s="11"/>
      <c r="C224" s="10"/>
      <c r="D224" s="11"/>
      <c r="E224" s="10"/>
      <c r="F224" s="11"/>
      <c r="G224" s="10"/>
      <c r="H224" s="11"/>
    </row>
    <row r="225" s="1" customFormat="1" ht="18.75" customHeight="1" spans="1:8">
      <c r="A225" s="10"/>
      <c r="B225" s="11"/>
      <c r="C225" s="10"/>
      <c r="D225" s="11"/>
      <c r="E225" s="10"/>
      <c r="F225" s="11"/>
      <c r="G225" s="10"/>
      <c r="H225" s="11"/>
    </row>
    <row r="226" s="1" customFormat="1" ht="18.75" customHeight="1" spans="1:8">
      <c r="A226" s="10"/>
      <c r="B226" s="11"/>
      <c r="C226" s="10"/>
      <c r="D226" s="11"/>
      <c r="E226" s="10"/>
      <c r="F226" s="11"/>
      <c r="G226" s="10"/>
      <c r="H226" s="11"/>
    </row>
    <row r="227" s="1" customFormat="1" ht="18.75" customHeight="1" spans="1:8">
      <c r="A227" s="10"/>
      <c r="B227" s="11"/>
      <c r="C227" s="10"/>
      <c r="D227" s="11"/>
      <c r="E227" s="10"/>
      <c r="F227" s="11"/>
      <c r="G227" s="10"/>
      <c r="H227" s="11"/>
    </row>
    <row r="228" s="1" customFormat="1" ht="18.75" customHeight="1" spans="1:8">
      <c r="A228" s="10"/>
      <c r="B228" s="11"/>
      <c r="C228" s="10"/>
      <c r="D228" s="11"/>
      <c r="E228" s="10"/>
      <c r="F228" s="11"/>
      <c r="G228" s="10"/>
      <c r="H228" s="11"/>
    </row>
    <row r="229" s="1" customFormat="1" ht="18.75" customHeight="1" spans="1:8">
      <c r="A229" s="10"/>
      <c r="B229" s="11"/>
      <c r="C229" s="10"/>
      <c r="D229" s="11"/>
      <c r="E229" s="10"/>
      <c r="F229" s="11"/>
      <c r="G229" s="10"/>
      <c r="H229" s="11"/>
    </row>
    <row r="230" s="1" customFormat="1" ht="18.75" customHeight="1" spans="1:8">
      <c r="A230" s="10"/>
      <c r="B230" s="11"/>
      <c r="C230" s="10"/>
      <c r="D230" s="11"/>
      <c r="E230" s="10"/>
      <c r="F230" s="11"/>
      <c r="G230" s="10"/>
      <c r="H230" s="11"/>
    </row>
  </sheetData>
  <mergeCells count="9">
    <mergeCell ref="A1:T1"/>
    <mergeCell ref="A4:F4"/>
    <mergeCell ref="H4:T4"/>
    <mergeCell ref="A14:J14"/>
    <mergeCell ref="A23:N23"/>
    <mergeCell ref="A57:K57"/>
    <mergeCell ref="A89:Q89"/>
    <mergeCell ref="A213:P213"/>
    <mergeCell ref="A222:H222"/>
  </mergeCells>
  <pageMargins left="0.7" right="0.7" top="0.75" bottom="0.75" header="0.3" footer="0.3"/>
  <headerFooter/>
  <tableParts count="6">
    <tablePart r:id="rId1"/>
    <tablePart r:id="rId2"/>
    <tablePart r:id="rId3"/>
    <tablePart r:id="rId4"/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T230"/>
  <sheetViews>
    <sheetView workbookViewId="0">
      <selection activeCell="A1" sqref="A1:T1"/>
    </sheetView>
  </sheetViews>
  <sheetFormatPr defaultColWidth="9" defaultRowHeight="15"/>
  <cols>
    <col min="1" max="2" width="18.0095238095238" style="2" customWidth="1"/>
    <col min="3" max="4" width="24.0095238095238" style="1" customWidth="1"/>
    <col min="5" max="5" width="18.0095238095238" style="2" customWidth="1"/>
    <col min="6" max="6" width="18.0095238095238" style="1" customWidth="1"/>
    <col min="7" max="7" width="14.0095238095238" style="1" customWidth="1"/>
    <col min="8" max="9" width="14.0095238095238" style="2" customWidth="1"/>
    <col min="10" max="11" width="18.0095238095238" style="2" customWidth="1"/>
    <col min="12" max="13" width="14.0095238095238" style="2" customWidth="1"/>
    <col min="14" max="14" width="18.0095238095238" style="2" customWidth="1"/>
    <col min="15" max="20" width="14.0095238095238" style="2" customWidth="1"/>
  </cols>
  <sheetData>
    <row r="1" ht="18.75" customHeight="1" spans="1:20">
      <c r="A1" s="3" t="s">
        <v>510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6"/>
    </row>
    <row r="2" s="1" customFormat="1" ht="18.75" customHeight="1" spans="1:1">
      <c r="A2" s="5" t="s">
        <v>142</v>
      </c>
    </row>
    <row r="3" ht="18.75" customHeight="1"/>
    <row r="4" ht="18.75" customHeight="1" spans="1:20">
      <c r="A4" s="3" t="s">
        <v>143</v>
      </c>
      <c r="B4" s="4"/>
      <c r="C4" s="4"/>
      <c r="D4" s="4"/>
      <c r="E4" s="4"/>
      <c r="F4" s="6"/>
      <c r="H4" s="3" t="s">
        <v>144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6"/>
    </row>
    <row r="5" ht="18.75" customHeight="1" spans="1:19">
      <c r="A5" s="7" t="s">
        <v>145</v>
      </c>
      <c r="B5" s="8" t="s">
        <v>511</v>
      </c>
      <c r="H5" s="9" t="s">
        <v>147</v>
      </c>
      <c r="I5" s="9" t="s">
        <v>148</v>
      </c>
      <c r="J5" s="9" t="s">
        <v>37</v>
      </c>
      <c r="K5" s="9" t="s">
        <v>149</v>
      </c>
      <c r="L5" s="9" t="s">
        <v>49</v>
      </c>
      <c r="M5" s="9" t="s">
        <v>150</v>
      </c>
      <c r="N5" s="9" t="s">
        <v>151</v>
      </c>
      <c r="O5" s="9" t="s">
        <v>152</v>
      </c>
      <c r="P5" s="9" t="s">
        <v>153</v>
      </c>
      <c r="Q5" s="9" t="s">
        <v>135</v>
      </c>
      <c r="R5" s="9" t="s">
        <v>154</v>
      </c>
      <c r="S5" s="9" t="s">
        <v>155</v>
      </c>
    </row>
    <row r="6" ht="18.75" customHeight="1" spans="1:19">
      <c r="A6" s="7" t="s">
        <v>156</v>
      </c>
      <c r="B6" s="8"/>
      <c r="H6" s="7" t="s">
        <v>0</v>
      </c>
      <c r="I6" s="12">
        <f>SUMIFS($L$89:$L$210,$A$89:$A$210,$H6)</f>
        <v>0</v>
      </c>
      <c r="J6" s="12">
        <f>COUNTIFS($A$89:$A$210,$H6,$G$89:$G$210,"Partial")</f>
        <v>0</v>
      </c>
      <c r="K6" s="12">
        <f>SUMIFS($M$89:$M$210,$A$89:$A$210,$H6)</f>
        <v>0</v>
      </c>
      <c r="L6" s="12">
        <f>SUMIFS($N$89:$N$210,$A$89:$A$210,$H6)</f>
        <v>0</v>
      </c>
      <c r="M6" s="13" t="str">
        <f>IFERROR(I6/(I6+K6),"")</f>
        <v/>
      </c>
      <c r="N6" s="13" t="str">
        <f>IFERROR(I6/(I6+L6),"")</f>
        <v/>
      </c>
      <c r="O6" s="13" t="str">
        <f>IFERROR(2*M6*N6/(M6+N6),"")</f>
        <v/>
      </c>
      <c r="P6" s="13" t="str">
        <f>IFERROR(2*(SUMIFS($O$89:$O$210,$A$89:$A$210,$H6)/(SUMIFS($O$89:$O$210,$A$89:$A$210,$H6)+SUMIFS($P$89:$P$210,$A$89:$A$210,$H6)))*(SUMIFS($O$89:$O$210,$A$89:$A$210,$H6)/(SUMIFS($O$89:$O$210,$A$89:$A$210,$H6)+SUMIFS($Q$89:$Q$210,$A$89:$A$210,$H6)))/((SUMIFS($O$89:$O$210,$A$89:$A$210,$H6)/(SUMIFS($O$89:$O$210,$A$89:$A$210,$H6)+SUMIFS($P$89:$P$210,$A$89:$A$210,$H6)))+(SUMIFS($O$89:$O$210,$A$89:$A$210,$H6)/(SUMIFS($O$89:$O$210,$A$89:$A$210,$H6)+SUMIFS($Q$89:$Q$210,$A$89:$A$210,$H6)))),"")</f>
        <v/>
      </c>
      <c r="Q6" s="12">
        <f>IFERROR(INDEX($F$215:$F$218,MATCH($H6,$A$215:$A$218,0)),"")</f>
        <v>0</v>
      </c>
      <c r="R6" s="13" t="str">
        <f>IFERROR(INDEX($J$215:$J$218,MATCH($H6,$A$215:$A$218,0)),"")</f>
        <v/>
      </c>
      <c r="S6" s="14">
        <f>IFERROR(INDEX($R$215:$R$218,MATCH($H6,$A$215:$A$218,0)),"")</f>
        <v>0</v>
      </c>
    </row>
    <row r="7" ht="18.75" customHeight="1" spans="1:19">
      <c r="A7" s="7" t="s">
        <v>158</v>
      </c>
      <c r="B7" s="8"/>
      <c r="H7" s="7" t="s">
        <v>15</v>
      </c>
      <c r="I7" s="12">
        <f>SUMIFS($L$89:$L$210,$A$89:$A$210,$H7)</f>
        <v>0</v>
      </c>
      <c r="J7" s="12">
        <f>COUNTIFS($A$89:$A$210,$H7,$G$89:$G$210,"Partial")</f>
        <v>0</v>
      </c>
      <c r="K7" s="12">
        <f>SUMIFS($M$89:$M$210,$A$89:$A$210,$H7)</f>
        <v>0</v>
      </c>
      <c r="L7" s="12">
        <f>SUMIFS($N$89:$N$210,$A$89:$A$210,$H7)</f>
        <v>0</v>
      </c>
      <c r="M7" s="13" t="str">
        <f>IFERROR(I7/(I7+K7),"")</f>
        <v/>
      </c>
      <c r="N7" s="13" t="str">
        <f>IFERROR(I7/(I7+L7),"")</f>
        <v/>
      </c>
      <c r="O7" s="13" t="str">
        <f>IFERROR(2*M7*N7/(M7+N7),"")</f>
        <v/>
      </c>
      <c r="P7" s="13" t="str">
        <f>IFERROR(2*(SUMIFS($O$89:$O$210,$A$89:$A$210,$H7)/(SUMIFS($O$89:$O$210,$A$89:$A$210,$H7)+SUMIFS($P$89:$P$210,$A$89:$A$210,$H7)))*(SUMIFS($O$89:$O$210,$A$89:$A$210,$H7)/(SUMIFS($O$89:$O$210,$A$89:$A$210,$H7)+SUMIFS($Q$89:$Q$210,$A$89:$A$210,$H7)))/((SUMIFS($O$89:$O$210,$A$89:$A$210,$H7)/(SUMIFS($O$89:$O$210,$A$89:$A$210,$H7)+SUMIFS($P$89:$P$210,$A$89:$A$210,$H7)))+(SUMIFS($O$89:$O$210,$A$89:$A$210,$H7)/(SUMIFS($O$89:$O$210,$A$89:$A$210,$H7)+SUMIFS($Q$89:$Q$210,$A$89:$A$210,$H7)))),"")</f>
        <v/>
      </c>
      <c r="Q7" s="12">
        <f>IFERROR(INDEX($F$215:$F$218,MATCH($H7,$A$215:$A$218,0)),"")</f>
        <v>0</v>
      </c>
      <c r="R7" s="13" t="str">
        <f>IFERROR(INDEX($J$215:$J$218,MATCH($H7,$A$215:$A$218,0)),"")</f>
        <v/>
      </c>
      <c r="S7" s="14">
        <f>IFERROR(INDEX($R$215:$R$218,MATCH($H7,$A$215:$A$218,0)),"")</f>
        <v>0</v>
      </c>
    </row>
    <row r="8" ht="18.75" customHeight="1" spans="1:19">
      <c r="A8" s="7" t="s">
        <v>107</v>
      </c>
      <c r="B8" s="8"/>
      <c r="H8" s="7" t="s">
        <v>30</v>
      </c>
      <c r="I8" s="12">
        <f>SUMIFS($L$89:$L$210,$A$89:$A$210,$H8)</f>
        <v>0</v>
      </c>
      <c r="J8" s="12">
        <f>COUNTIFS($A$89:$A$210,$H8,$G$89:$G$210,"Partial")</f>
        <v>0</v>
      </c>
      <c r="K8" s="12">
        <f>SUMIFS($M$89:$M$210,$A$89:$A$210,$H8)</f>
        <v>0</v>
      </c>
      <c r="L8" s="12">
        <f>SUMIFS($N$89:$N$210,$A$89:$A$210,$H8)</f>
        <v>0</v>
      </c>
      <c r="M8" s="13" t="str">
        <f>IFERROR(I8/(I8+K8),"")</f>
        <v/>
      </c>
      <c r="N8" s="13" t="str">
        <f>IFERROR(I8/(I8+L8),"")</f>
        <v/>
      </c>
      <c r="O8" s="13" t="str">
        <f>IFERROR(2*M8*N8/(M8+N8),"")</f>
        <v/>
      </c>
      <c r="P8" s="13" t="str">
        <f>IFERROR(2*(SUMIFS($O$89:$O$210,$A$89:$A$210,$H8)/(SUMIFS($O$89:$O$210,$A$89:$A$210,$H8)+SUMIFS($P$89:$P$210,$A$89:$A$210,$H8)))*(SUMIFS($O$89:$O$210,$A$89:$A$210,$H8)/(SUMIFS($O$89:$O$210,$A$89:$A$210,$H8)+SUMIFS($Q$89:$Q$210,$A$89:$A$210,$H8)))/((SUMIFS($O$89:$O$210,$A$89:$A$210,$H8)/(SUMIFS($O$89:$O$210,$A$89:$A$210,$H8)+SUMIFS($P$89:$P$210,$A$89:$A$210,$H8)))+(SUMIFS($O$89:$O$210,$A$89:$A$210,$H8)/(SUMIFS($O$89:$O$210,$A$89:$A$210,$H8)+SUMIFS($Q$89:$Q$210,$A$89:$A$210,$H8)))),"")</f>
        <v/>
      </c>
      <c r="Q8" s="12">
        <f>IFERROR(INDEX($F$215:$F$218,MATCH($H8,$A$215:$A$218,0)),"")</f>
        <v>0</v>
      </c>
      <c r="R8" s="13" t="str">
        <f>IFERROR(INDEX($J$215:$J$218,MATCH($H8,$A$215:$A$218,0)),"")</f>
        <v/>
      </c>
      <c r="S8" s="14">
        <f>IFERROR(INDEX($R$215:$R$218,MATCH($H8,$A$215:$A$218,0)),"")</f>
        <v>0</v>
      </c>
    </row>
    <row r="9" ht="18.75" customHeight="1" spans="1:19">
      <c r="A9" s="7" t="s">
        <v>160</v>
      </c>
      <c r="B9" s="8"/>
      <c r="H9" s="7" t="s">
        <v>43</v>
      </c>
      <c r="I9" s="12">
        <f>SUMIFS($L$89:$L$210,$A$89:$A$210,$H9)</f>
        <v>0</v>
      </c>
      <c r="J9" s="12">
        <f>COUNTIFS($A$89:$A$210,$H9,$G$89:$G$210,"Partial")</f>
        <v>0</v>
      </c>
      <c r="K9" s="12">
        <f>SUMIFS($M$89:$M$210,$A$89:$A$210,$H9)</f>
        <v>0</v>
      </c>
      <c r="L9" s="12">
        <f>SUMIFS($N$89:$N$210,$A$89:$A$210,$H9)</f>
        <v>0</v>
      </c>
      <c r="M9" s="13" t="str">
        <f>IFERROR(I9/(I9+K9),"")</f>
        <v/>
      </c>
      <c r="N9" s="13" t="str">
        <f>IFERROR(I9/(I9+L9),"")</f>
        <v/>
      </c>
      <c r="O9" s="13" t="str">
        <f>IFERROR(2*M9*N9/(M9+N9),"")</f>
        <v/>
      </c>
      <c r="P9" s="13" t="str">
        <f>IFERROR(2*(SUMIFS($O$89:$O$210,$A$89:$A$210,$H9)/(SUMIFS($O$89:$O$210,$A$89:$A$210,$H9)+SUMIFS($P$89:$P$210,$A$89:$A$210,$H9)))*(SUMIFS($O$89:$O$210,$A$89:$A$210,$H9)/(SUMIFS($O$89:$O$210,$A$89:$A$210,$H9)+SUMIFS($Q$89:$Q$210,$A$89:$A$210,$H9)))/((SUMIFS($O$89:$O$210,$A$89:$A$210,$H9)/(SUMIFS($O$89:$O$210,$A$89:$A$210,$H9)+SUMIFS($P$89:$P$210,$A$89:$A$210,$H9)))+(SUMIFS($O$89:$O$210,$A$89:$A$210,$H9)/(SUMIFS($O$89:$O$210,$A$89:$A$210,$H9)+SUMIFS($Q$89:$Q$210,$A$89:$A$210,$H9)))),"")</f>
        <v/>
      </c>
      <c r="Q9" s="12">
        <f>IFERROR(INDEX($F$215:$F$218,MATCH($H9,$A$215:$A$218,0)),"")</f>
        <v>0</v>
      </c>
      <c r="R9" s="13" t="str">
        <f>IFERROR(INDEX($J$215:$J$218,MATCH($H9,$A$215:$A$218,0)),"")</f>
        <v/>
      </c>
      <c r="S9" s="14">
        <f>IFERROR(INDEX($R$215:$R$218,MATCH($H9,$A$215:$A$218,0)),"")</f>
        <v>0</v>
      </c>
    </row>
    <row r="10" ht="18.75" customHeight="1" spans="1:2">
      <c r="A10" s="7" t="s">
        <v>161</v>
      </c>
      <c r="B10" s="8"/>
    </row>
    <row r="11" ht="18.75" customHeight="1" spans="1:2">
      <c r="A11" s="7" t="s">
        <v>162</v>
      </c>
      <c r="B11" s="8"/>
    </row>
    <row r="12" ht="18.75" customHeight="1" spans="1:2">
      <c r="A12" s="7" t="s">
        <v>163</v>
      </c>
      <c r="B12" s="8"/>
    </row>
    <row r="13" ht="18.75" customHeight="1"/>
    <row r="14" ht="18.75" customHeight="1" spans="1:10">
      <c r="A14" s="3" t="s">
        <v>165</v>
      </c>
      <c r="B14" s="4"/>
      <c r="C14" s="4"/>
      <c r="D14" s="4"/>
      <c r="E14" s="4"/>
      <c r="F14" s="4"/>
      <c r="G14" s="4"/>
      <c r="H14" s="4"/>
      <c r="I14" s="4"/>
      <c r="J14" s="6"/>
    </row>
    <row r="15" s="1" customFormat="1" ht="18.75" customHeight="1" spans="1:10">
      <c r="A15" s="9" t="s">
        <v>147</v>
      </c>
      <c r="B15" s="9" t="s">
        <v>166</v>
      </c>
      <c r="C15" s="9" t="s">
        <v>167</v>
      </c>
      <c r="D15" s="9" t="s">
        <v>168</v>
      </c>
      <c r="E15" s="9" t="s">
        <v>169</v>
      </c>
      <c r="F15" s="9" t="s">
        <v>110</v>
      </c>
      <c r="G15" s="9" t="s">
        <v>170</v>
      </c>
      <c r="H15" s="9" t="s">
        <v>171</v>
      </c>
      <c r="I15" s="9" t="s">
        <v>172</v>
      </c>
      <c r="J15" s="9" t="s">
        <v>173</v>
      </c>
    </row>
    <row r="16" ht="18.75" customHeight="1" spans="1:10">
      <c r="A16" s="7" t="s">
        <v>0</v>
      </c>
      <c r="B16" s="10"/>
      <c r="C16" s="10"/>
      <c r="D16" s="10"/>
      <c r="E16" s="10"/>
      <c r="F16" s="10"/>
      <c r="G16" s="10"/>
      <c r="H16" s="10"/>
      <c r="I16" s="10"/>
      <c r="J16" s="10"/>
    </row>
    <row r="17" ht="18.75" customHeight="1" spans="1:10">
      <c r="A17" s="7" t="s">
        <v>15</v>
      </c>
      <c r="B17" s="10"/>
      <c r="C17" s="10"/>
      <c r="D17" s="10"/>
      <c r="E17" s="10"/>
      <c r="F17" s="10"/>
      <c r="G17" s="10"/>
      <c r="H17" s="10"/>
      <c r="I17" s="10"/>
      <c r="J17" s="10"/>
    </row>
    <row r="18" ht="18.75" customHeight="1" spans="1:10">
      <c r="A18" s="7" t="s">
        <v>30</v>
      </c>
      <c r="B18" s="10"/>
      <c r="C18" s="10"/>
      <c r="D18" s="10"/>
      <c r="E18" s="10"/>
      <c r="F18" s="10"/>
      <c r="G18" s="10"/>
      <c r="H18" s="10"/>
      <c r="I18" s="10"/>
      <c r="J18" s="10"/>
    </row>
    <row r="19" ht="18.75" customHeight="1" spans="1:10">
      <c r="A19" s="7" t="s">
        <v>43</v>
      </c>
      <c r="B19" s="10"/>
      <c r="C19" s="10"/>
      <c r="D19" s="10"/>
      <c r="E19" s="10"/>
      <c r="F19" s="10"/>
      <c r="G19" s="10"/>
      <c r="H19" s="10"/>
      <c r="I19" s="10"/>
      <c r="J19" s="10"/>
    </row>
    <row r="20" ht="18.75" customHeight="1"/>
    <row r="21" ht="18.75" customHeight="1"/>
    <row r="22" ht="18.75" customHeight="1"/>
    <row r="23" ht="18.75" customHeight="1" spans="1:14">
      <c r="A23" s="3" t="s">
        <v>189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6"/>
    </row>
    <row r="24" s="1" customFormat="1" ht="18.75" customHeight="1" spans="1:14">
      <c r="A24" s="9" t="s">
        <v>113</v>
      </c>
      <c r="B24" s="9" t="s">
        <v>190</v>
      </c>
      <c r="C24" s="9" t="s">
        <v>191</v>
      </c>
      <c r="D24" s="9" t="s">
        <v>115</v>
      </c>
      <c r="E24" s="9" t="s">
        <v>117</v>
      </c>
      <c r="F24" s="9" t="s">
        <v>192</v>
      </c>
      <c r="G24" s="9" t="s">
        <v>119</v>
      </c>
      <c r="H24" s="9" t="s">
        <v>193</v>
      </c>
      <c r="I24" s="9" t="s">
        <v>194</v>
      </c>
      <c r="J24" s="9" t="s">
        <v>195</v>
      </c>
      <c r="K24" s="9" t="s">
        <v>121</v>
      </c>
      <c r="L24" s="9" t="s">
        <v>196</v>
      </c>
      <c r="M24" s="9" t="s">
        <v>197</v>
      </c>
      <c r="N24" s="9" t="s">
        <v>198</v>
      </c>
    </row>
    <row r="25" s="1" customFormat="1" ht="18.75" customHeight="1" spans="1:14">
      <c r="A25" s="10"/>
      <c r="B25" s="11"/>
      <c r="C25" s="10"/>
      <c r="D25" s="11"/>
      <c r="E25" s="10"/>
      <c r="F25" s="11"/>
      <c r="G25" s="10"/>
      <c r="H25" s="11"/>
      <c r="I25" s="10"/>
      <c r="J25" s="11"/>
      <c r="K25" s="10"/>
      <c r="L25" s="11"/>
      <c r="M25" s="10"/>
      <c r="N25" s="11"/>
    </row>
    <row r="26" s="1" customFormat="1" ht="18.75" customHeight="1" spans="1:14">
      <c r="A26" s="10"/>
      <c r="B26" s="11"/>
      <c r="C26" s="10"/>
      <c r="D26" s="11"/>
      <c r="E26" s="10"/>
      <c r="F26" s="11"/>
      <c r="G26" s="10"/>
      <c r="H26" s="11"/>
      <c r="I26" s="10"/>
      <c r="J26" s="11"/>
      <c r="K26" s="10"/>
      <c r="L26" s="11"/>
      <c r="M26" s="10"/>
      <c r="N26" s="11"/>
    </row>
    <row r="27" s="1" customFormat="1" ht="18.75" customHeight="1" spans="1:14">
      <c r="A27" s="10"/>
      <c r="B27" s="11"/>
      <c r="C27" s="10"/>
      <c r="D27" s="11"/>
      <c r="E27" s="10"/>
      <c r="F27" s="11"/>
      <c r="G27" s="10"/>
      <c r="H27" s="11"/>
      <c r="I27" s="10"/>
      <c r="J27" s="11"/>
      <c r="K27" s="10"/>
      <c r="L27" s="11"/>
      <c r="M27" s="10"/>
      <c r="N27" s="11"/>
    </row>
    <row r="28" s="1" customFormat="1" ht="18.75" customHeight="1" spans="1:14">
      <c r="A28" s="10"/>
      <c r="B28" s="11"/>
      <c r="C28" s="10"/>
      <c r="D28" s="11"/>
      <c r="E28" s="10"/>
      <c r="F28" s="11"/>
      <c r="G28" s="10"/>
      <c r="H28" s="11"/>
      <c r="I28" s="10"/>
      <c r="J28" s="11"/>
      <c r="K28" s="10"/>
      <c r="L28" s="11"/>
      <c r="M28" s="10"/>
      <c r="N28" s="11"/>
    </row>
    <row r="29" s="1" customFormat="1" ht="18.75" customHeight="1" spans="1:14">
      <c r="A29" s="10"/>
      <c r="B29" s="11"/>
      <c r="C29" s="10"/>
      <c r="D29" s="11"/>
      <c r="E29" s="10"/>
      <c r="F29" s="11"/>
      <c r="G29" s="10"/>
      <c r="H29" s="11"/>
      <c r="I29" s="10"/>
      <c r="J29" s="11"/>
      <c r="K29" s="10"/>
      <c r="L29" s="11"/>
      <c r="M29" s="10"/>
      <c r="N29" s="11"/>
    </row>
    <row r="30" s="1" customFormat="1" ht="18.75" customHeight="1" spans="1:14">
      <c r="A30" s="10"/>
      <c r="B30" s="11"/>
      <c r="C30" s="10"/>
      <c r="D30" s="11"/>
      <c r="E30" s="10"/>
      <c r="F30" s="11"/>
      <c r="G30" s="10"/>
      <c r="H30" s="11"/>
      <c r="I30" s="10"/>
      <c r="J30" s="11"/>
      <c r="K30" s="10"/>
      <c r="L30" s="11"/>
      <c r="M30" s="10"/>
      <c r="N30" s="11"/>
    </row>
    <row r="31" s="1" customFormat="1" ht="18.75" customHeight="1" spans="1:14">
      <c r="A31" s="10"/>
      <c r="B31" s="11"/>
      <c r="C31" s="10"/>
      <c r="D31" s="11"/>
      <c r="E31" s="10"/>
      <c r="F31" s="11"/>
      <c r="G31" s="10"/>
      <c r="H31" s="11"/>
      <c r="I31" s="10"/>
      <c r="J31" s="11"/>
      <c r="K31" s="10"/>
      <c r="L31" s="11"/>
      <c r="M31" s="10"/>
      <c r="N31" s="11"/>
    </row>
    <row r="32" s="1" customFormat="1" ht="18.75" customHeight="1" spans="1:14">
      <c r="A32" s="10"/>
      <c r="B32" s="11"/>
      <c r="C32" s="10"/>
      <c r="D32" s="11"/>
      <c r="E32" s="10"/>
      <c r="F32" s="11"/>
      <c r="G32" s="10"/>
      <c r="H32" s="11"/>
      <c r="I32" s="10"/>
      <c r="J32" s="11"/>
      <c r="K32" s="10"/>
      <c r="L32" s="11"/>
      <c r="M32" s="10"/>
      <c r="N32" s="11"/>
    </row>
    <row r="33" s="1" customFormat="1" ht="18.75" customHeight="1" spans="1:14">
      <c r="A33" s="10"/>
      <c r="B33" s="11"/>
      <c r="C33" s="10"/>
      <c r="D33" s="11"/>
      <c r="E33" s="10"/>
      <c r="F33" s="11"/>
      <c r="G33" s="10"/>
      <c r="H33" s="11"/>
      <c r="I33" s="10"/>
      <c r="J33" s="11"/>
      <c r="K33" s="10"/>
      <c r="L33" s="11"/>
      <c r="M33" s="10"/>
      <c r="N33" s="11"/>
    </row>
    <row r="34" s="1" customFormat="1" ht="18.75" customHeight="1" spans="1:14">
      <c r="A34" s="10"/>
      <c r="B34" s="11"/>
      <c r="C34" s="10"/>
      <c r="D34" s="11"/>
      <c r="E34" s="10"/>
      <c r="F34" s="11"/>
      <c r="G34" s="10"/>
      <c r="H34" s="11"/>
      <c r="I34" s="10"/>
      <c r="J34" s="11"/>
      <c r="K34" s="10"/>
      <c r="L34" s="11"/>
      <c r="M34" s="10"/>
      <c r="N34" s="11"/>
    </row>
    <row r="35" s="1" customFormat="1" ht="18.75" customHeight="1" spans="1:14">
      <c r="A35" s="10"/>
      <c r="B35" s="11"/>
      <c r="C35" s="10"/>
      <c r="D35" s="11"/>
      <c r="E35" s="10"/>
      <c r="F35" s="11"/>
      <c r="G35" s="10"/>
      <c r="H35" s="11"/>
      <c r="I35" s="10"/>
      <c r="J35" s="11"/>
      <c r="K35" s="10"/>
      <c r="L35" s="11"/>
      <c r="M35" s="10"/>
      <c r="N35" s="11"/>
    </row>
    <row r="36" s="1" customFormat="1" ht="18.75" customHeight="1" spans="1:14">
      <c r="A36" s="10"/>
      <c r="B36" s="11"/>
      <c r="C36" s="10"/>
      <c r="D36" s="11"/>
      <c r="E36" s="10"/>
      <c r="F36" s="11"/>
      <c r="G36" s="10"/>
      <c r="H36" s="11"/>
      <c r="I36" s="10"/>
      <c r="J36" s="11"/>
      <c r="K36" s="10"/>
      <c r="L36" s="11"/>
      <c r="M36" s="10"/>
      <c r="N36" s="11"/>
    </row>
    <row r="37" s="1" customFormat="1" ht="18.75" customHeight="1" spans="1:14">
      <c r="A37" s="10"/>
      <c r="B37" s="11"/>
      <c r="C37" s="10"/>
      <c r="D37" s="11"/>
      <c r="E37" s="10"/>
      <c r="F37" s="11"/>
      <c r="G37" s="10"/>
      <c r="H37" s="11"/>
      <c r="I37" s="10"/>
      <c r="J37" s="11"/>
      <c r="K37" s="10"/>
      <c r="L37" s="11"/>
      <c r="M37" s="10"/>
      <c r="N37" s="11"/>
    </row>
    <row r="38" s="1" customFormat="1" ht="18.75" customHeight="1" spans="1:14">
      <c r="A38" s="10"/>
      <c r="B38" s="11"/>
      <c r="C38" s="10"/>
      <c r="D38" s="11"/>
      <c r="E38" s="10"/>
      <c r="F38" s="11"/>
      <c r="G38" s="10"/>
      <c r="H38" s="11"/>
      <c r="I38" s="10"/>
      <c r="J38" s="11"/>
      <c r="K38" s="10"/>
      <c r="L38" s="11"/>
      <c r="M38" s="10"/>
      <c r="N38" s="11"/>
    </row>
    <row r="39" s="1" customFormat="1" ht="18.75" customHeight="1" spans="1:14">
      <c r="A39" s="10"/>
      <c r="B39" s="11"/>
      <c r="C39" s="10"/>
      <c r="D39" s="11"/>
      <c r="E39" s="10"/>
      <c r="F39" s="11"/>
      <c r="G39" s="10"/>
      <c r="H39" s="11"/>
      <c r="I39" s="10"/>
      <c r="J39" s="11"/>
      <c r="K39" s="10"/>
      <c r="L39" s="11"/>
      <c r="M39" s="10"/>
      <c r="N39" s="11"/>
    </row>
    <row r="40" s="1" customFormat="1" ht="18.75" customHeight="1" spans="1:14">
      <c r="A40" s="10"/>
      <c r="B40" s="11"/>
      <c r="C40" s="10"/>
      <c r="D40" s="11"/>
      <c r="E40" s="10"/>
      <c r="F40" s="11"/>
      <c r="G40" s="10"/>
      <c r="H40" s="11"/>
      <c r="I40" s="10"/>
      <c r="J40" s="11"/>
      <c r="K40" s="10"/>
      <c r="L40" s="11"/>
      <c r="M40" s="10"/>
      <c r="N40" s="11"/>
    </row>
    <row r="41" s="1" customFormat="1" ht="18.75" customHeight="1" spans="1:14">
      <c r="A41" s="10"/>
      <c r="B41" s="11"/>
      <c r="C41" s="10"/>
      <c r="D41" s="11"/>
      <c r="E41" s="10"/>
      <c r="F41" s="11"/>
      <c r="G41" s="10"/>
      <c r="H41" s="11"/>
      <c r="I41" s="10"/>
      <c r="J41" s="11"/>
      <c r="K41" s="10"/>
      <c r="L41" s="11"/>
      <c r="M41" s="10"/>
      <c r="N41" s="11"/>
    </row>
    <row r="42" s="1" customFormat="1" ht="18.75" customHeight="1" spans="1:14">
      <c r="A42" s="10"/>
      <c r="B42" s="11"/>
      <c r="C42" s="10"/>
      <c r="D42" s="11"/>
      <c r="E42" s="10"/>
      <c r="F42" s="11"/>
      <c r="G42" s="10"/>
      <c r="H42" s="11"/>
      <c r="I42" s="10"/>
      <c r="J42" s="11"/>
      <c r="K42" s="10"/>
      <c r="L42" s="11"/>
      <c r="M42" s="10"/>
      <c r="N42" s="11"/>
    </row>
    <row r="43" s="1" customFormat="1" ht="18.75" customHeight="1" spans="1:14">
      <c r="A43" s="10"/>
      <c r="B43" s="11"/>
      <c r="C43" s="10"/>
      <c r="D43" s="11"/>
      <c r="E43" s="10"/>
      <c r="F43" s="11"/>
      <c r="G43" s="10"/>
      <c r="H43" s="11"/>
      <c r="I43" s="10"/>
      <c r="J43" s="11"/>
      <c r="K43" s="10"/>
      <c r="L43" s="11"/>
      <c r="M43" s="10"/>
      <c r="N43" s="11"/>
    </row>
    <row r="44" s="1" customFormat="1" ht="18.75" customHeight="1" spans="1:14">
      <c r="A44" s="10"/>
      <c r="B44" s="11"/>
      <c r="C44" s="10"/>
      <c r="D44" s="11"/>
      <c r="E44" s="10"/>
      <c r="F44" s="11"/>
      <c r="G44" s="10"/>
      <c r="H44" s="11"/>
      <c r="I44" s="10"/>
      <c r="J44" s="11"/>
      <c r="K44" s="10"/>
      <c r="L44" s="11"/>
      <c r="M44" s="10"/>
      <c r="N44" s="11"/>
    </row>
    <row r="45" s="1" customFormat="1" ht="18.75" customHeight="1" spans="1:14">
      <c r="A45" s="10"/>
      <c r="B45" s="11"/>
      <c r="C45" s="10"/>
      <c r="D45" s="11"/>
      <c r="E45" s="10"/>
      <c r="F45" s="11"/>
      <c r="G45" s="10"/>
      <c r="H45" s="11"/>
      <c r="I45" s="10"/>
      <c r="J45" s="11"/>
      <c r="K45" s="10"/>
      <c r="L45" s="11"/>
      <c r="M45" s="10"/>
      <c r="N45" s="11"/>
    </row>
    <row r="46" s="1" customFormat="1" ht="18.75" customHeight="1" spans="1:14">
      <c r="A46" s="10"/>
      <c r="B46" s="11"/>
      <c r="C46" s="10"/>
      <c r="D46" s="11"/>
      <c r="E46" s="10"/>
      <c r="F46" s="11"/>
      <c r="G46" s="10"/>
      <c r="H46" s="11"/>
      <c r="I46" s="10"/>
      <c r="J46" s="11"/>
      <c r="K46" s="10"/>
      <c r="L46" s="11"/>
      <c r="M46" s="10"/>
      <c r="N46" s="11"/>
    </row>
    <row r="47" s="1" customFormat="1" ht="18.75" customHeight="1" spans="1:14">
      <c r="A47" s="10"/>
      <c r="B47" s="11"/>
      <c r="C47" s="10"/>
      <c r="D47" s="11"/>
      <c r="E47" s="10"/>
      <c r="F47" s="11"/>
      <c r="G47" s="10"/>
      <c r="H47" s="11"/>
      <c r="I47" s="10"/>
      <c r="J47" s="11"/>
      <c r="K47" s="10"/>
      <c r="L47" s="11"/>
      <c r="M47" s="10"/>
      <c r="N47" s="11"/>
    </row>
    <row r="48" s="1" customFormat="1" ht="18.75" customHeight="1" spans="1:14">
      <c r="A48" s="10"/>
      <c r="B48" s="11"/>
      <c r="C48" s="10"/>
      <c r="D48" s="11"/>
      <c r="E48" s="10"/>
      <c r="F48" s="11"/>
      <c r="G48" s="10"/>
      <c r="H48" s="11"/>
      <c r="I48" s="10"/>
      <c r="J48" s="11"/>
      <c r="K48" s="10"/>
      <c r="L48" s="11"/>
      <c r="M48" s="10"/>
      <c r="N48" s="11"/>
    </row>
    <row r="49" s="1" customFormat="1" ht="18.75" customHeight="1" spans="1:14">
      <c r="A49" s="10"/>
      <c r="B49" s="11"/>
      <c r="C49" s="10"/>
      <c r="D49" s="11"/>
      <c r="E49" s="10"/>
      <c r="F49" s="11"/>
      <c r="G49" s="10"/>
      <c r="H49" s="11"/>
      <c r="I49" s="10"/>
      <c r="J49" s="11"/>
      <c r="K49" s="10"/>
      <c r="L49" s="11"/>
      <c r="M49" s="10"/>
      <c r="N49" s="11"/>
    </row>
    <row r="50" s="1" customFormat="1" ht="18.75" customHeight="1" spans="1:14">
      <c r="A50" s="10"/>
      <c r="B50" s="11"/>
      <c r="C50" s="10"/>
      <c r="D50" s="11"/>
      <c r="E50" s="10"/>
      <c r="F50" s="11"/>
      <c r="G50" s="10"/>
      <c r="H50" s="11"/>
      <c r="I50" s="10"/>
      <c r="J50" s="11"/>
      <c r="K50" s="10"/>
      <c r="L50" s="11"/>
      <c r="M50" s="10"/>
      <c r="N50" s="11"/>
    </row>
    <row r="51" s="1" customFormat="1" ht="18.75" customHeight="1" spans="1:14">
      <c r="A51" s="10"/>
      <c r="B51" s="11"/>
      <c r="C51" s="10"/>
      <c r="D51" s="11"/>
      <c r="E51" s="10"/>
      <c r="F51" s="11"/>
      <c r="G51" s="10"/>
      <c r="H51" s="11"/>
      <c r="I51" s="10"/>
      <c r="J51" s="11"/>
      <c r="K51" s="10"/>
      <c r="L51" s="11"/>
      <c r="M51" s="10"/>
      <c r="N51" s="11"/>
    </row>
    <row r="52" s="1" customFormat="1" ht="18.75" customHeight="1" spans="1:14">
      <c r="A52" s="10"/>
      <c r="B52" s="11"/>
      <c r="C52" s="10"/>
      <c r="D52" s="11"/>
      <c r="E52" s="10"/>
      <c r="F52" s="11"/>
      <c r="G52" s="10"/>
      <c r="H52" s="11"/>
      <c r="I52" s="10"/>
      <c r="J52" s="11"/>
      <c r="K52" s="10"/>
      <c r="L52" s="11"/>
      <c r="M52" s="10"/>
      <c r="N52" s="11"/>
    </row>
    <row r="53" s="1" customFormat="1" ht="18.75" customHeight="1" spans="1:14">
      <c r="A53" s="10"/>
      <c r="B53" s="11"/>
      <c r="C53" s="10"/>
      <c r="D53" s="11"/>
      <c r="E53" s="10"/>
      <c r="F53" s="11"/>
      <c r="G53" s="10"/>
      <c r="H53" s="11"/>
      <c r="I53" s="10"/>
      <c r="J53" s="11"/>
      <c r="K53" s="10"/>
      <c r="L53" s="11"/>
      <c r="M53" s="10"/>
      <c r="N53" s="11"/>
    </row>
    <row r="54" s="1" customFormat="1" ht="18.75" customHeight="1" spans="1:14">
      <c r="A54" s="10"/>
      <c r="B54" s="11"/>
      <c r="C54" s="10"/>
      <c r="D54" s="11"/>
      <c r="E54" s="10"/>
      <c r="F54" s="11"/>
      <c r="G54" s="10"/>
      <c r="H54" s="11"/>
      <c r="I54" s="10"/>
      <c r="J54" s="11"/>
      <c r="K54" s="10"/>
      <c r="L54" s="11"/>
      <c r="M54" s="10"/>
      <c r="N54" s="11"/>
    </row>
    <row r="55" ht="18.75" customHeight="1"/>
    <row r="56" ht="18.75" customHeight="1"/>
    <row r="57" ht="18.75" customHeight="1" spans="1:11">
      <c r="A57" s="3" t="s">
        <v>340</v>
      </c>
      <c r="B57" s="4"/>
      <c r="C57" s="4"/>
      <c r="D57" s="4"/>
      <c r="E57" s="4"/>
      <c r="F57" s="4"/>
      <c r="G57" s="4"/>
      <c r="H57" s="4"/>
      <c r="I57" s="4"/>
      <c r="J57" s="4"/>
      <c r="K57" s="6"/>
    </row>
    <row r="58" s="1" customFormat="1" ht="18.75" customHeight="1" spans="1:11">
      <c r="A58" s="9" t="s">
        <v>124</v>
      </c>
      <c r="B58" s="9" t="s">
        <v>147</v>
      </c>
      <c r="C58" s="9" t="s">
        <v>341</v>
      </c>
      <c r="D58" s="9" t="s">
        <v>342</v>
      </c>
      <c r="E58" s="9" t="s">
        <v>343</v>
      </c>
      <c r="F58" s="9" t="s">
        <v>344</v>
      </c>
      <c r="G58" s="9" t="s">
        <v>171</v>
      </c>
      <c r="H58" s="9" t="s">
        <v>172</v>
      </c>
      <c r="I58" s="9" t="s">
        <v>345</v>
      </c>
      <c r="J58" s="9" t="s">
        <v>126</v>
      </c>
      <c r="K58" s="9" t="s">
        <v>198</v>
      </c>
    </row>
    <row r="59" s="1" customFormat="1" ht="18.75" customHeight="1" spans="1:11">
      <c r="A59" s="10"/>
      <c r="B59" s="11"/>
      <c r="C59" s="10"/>
      <c r="D59" s="11"/>
      <c r="E59" s="10"/>
      <c r="F59" s="11"/>
      <c r="G59" s="10"/>
      <c r="H59" s="11"/>
      <c r="I59" s="10"/>
      <c r="J59" s="11"/>
      <c r="K59" s="10"/>
    </row>
    <row r="60" s="1" customFormat="1" ht="18.75" customHeight="1" spans="1:11">
      <c r="A60" s="10"/>
      <c r="B60" s="11"/>
      <c r="C60" s="10"/>
      <c r="D60" s="11"/>
      <c r="E60" s="10"/>
      <c r="F60" s="11"/>
      <c r="G60" s="10"/>
      <c r="H60" s="11"/>
      <c r="I60" s="10"/>
      <c r="J60" s="11"/>
      <c r="K60" s="10"/>
    </row>
    <row r="61" s="1" customFormat="1" ht="18.75" customHeight="1" spans="1:11">
      <c r="A61" s="10"/>
      <c r="B61" s="11"/>
      <c r="C61" s="10"/>
      <c r="D61" s="11"/>
      <c r="E61" s="10"/>
      <c r="F61" s="11"/>
      <c r="G61" s="10"/>
      <c r="H61" s="11"/>
      <c r="I61" s="10"/>
      <c r="J61" s="11"/>
      <c r="K61" s="10"/>
    </row>
    <row r="62" s="1" customFormat="1" ht="18.75" customHeight="1" spans="1:11">
      <c r="A62" s="10"/>
      <c r="B62" s="11"/>
      <c r="C62" s="10"/>
      <c r="D62" s="11"/>
      <c r="E62" s="10"/>
      <c r="F62" s="11"/>
      <c r="G62" s="10"/>
      <c r="H62" s="11"/>
      <c r="I62" s="10"/>
      <c r="J62" s="11"/>
      <c r="K62" s="10"/>
    </row>
    <row r="63" s="1" customFormat="1" ht="18.75" customHeight="1" spans="1:11">
      <c r="A63" s="10"/>
      <c r="B63" s="11"/>
      <c r="C63" s="10"/>
      <c r="D63" s="11"/>
      <c r="E63" s="10"/>
      <c r="F63" s="11"/>
      <c r="G63" s="10"/>
      <c r="H63" s="11"/>
      <c r="I63" s="10"/>
      <c r="J63" s="11"/>
      <c r="K63" s="10"/>
    </row>
    <row r="64" s="1" customFormat="1" ht="18.75" customHeight="1" spans="1:11">
      <c r="A64" s="10"/>
      <c r="B64" s="11"/>
      <c r="C64" s="10"/>
      <c r="D64" s="11"/>
      <c r="E64" s="10"/>
      <c r="F64" s="11"/>
      <c r="G64" s="10"/>
      <c r="H64" s="11"/>
      <c r="I64" s="10"/>
      <c r="J64" s="11"/>
      <c r="K64" s="10"/>
    </row>
    <row r="65" s="1" customFormat="1" ht="18.75" customHeight="1" spans="1:11">
      <c r="A65" s="10"/>
      <c r="B65" s="11"/>
      <c r="C65" s="10"/>
      <c r="D65" s="11"/>
      <c r="E65" s="10"/>
      <c r="F65" s="11"/>
      <c r="G65" s="10"/>
      <c r="H65" s="11"/>
      <c r="I65" s="10"/>
      <c r="J65" s="11"/>
      <c r="K65" s="10"/>
    </row>
    <row r="66" s="1" customFormat="1" ht="18.75" customHeight="1" spans="1:11">
      <c r="A66" s="10"/>
      <c r="B66" s="11"/>
      <c r="C66" s="10"/>
      <c r="D66" s="11"/>
      <c r="E66" s="10"/>
      <c r="F66" s="11"/>
      <c r="G66" s="10"/>
      <c r="H66" s="11"/>
      <c r="I66" s="10"/>
      <c r="J66" s="11"/>
      <c r="K66" s="10"/>
    </row>
    <row r="67" s="1" customFormat="1" ht="18.75" customHeight="1" spans="1:11">
      <c r="A67" s="10"/>
      <c r="B67" s="11"/>
      <c r="C67" s="10"/>
      <c r="D67" s="11"/>
      <c r="E67" s="10"/>
      <c r="F67" s="11"/>
      <c r="G67" s="10"/>
      <c r="H67" s="11"/>
      <c r="I67" s="10"/>
      <c r="J67" s="11"/>
      <c r="K67" s="10"/>
    </row>
    <row r="68" s="1" customFormat="1" ht="18.75" customHeight="1" spans="1:11">
      <c r="A68" s="10"/>
      <c r="B68" s="11"/>
      <c r="C68" s="10"/>
      <c r="D68" s="11"/>
      <c r="E68" s="10"/>
      <c r="F68" s="11"/>
      <c r="G68" s="10"/>
      <c r="H68" s="11"/>
      <c r="I68" s="10"/>
      <c r="J68" s="11"/>
      <c r="K68" s="10"/>
    </row>
    <row r="69" s="1" customFormat="1" ht="18.75" customHeight="1" spans="1:11">
      <c r="A69" s="10"/>
      <c r="B69" s="11"/>
      <c r="C69" s="10"/>
      <c r="D69" s="11"/>
      <c r="E69" s="10"/>
      <c r="F69" s="11"/>
      <c r="G69" s="10"/>
      <c r="H69" s="11"/>
      <c r="I69" s="10"/>
      <c r="J69" s="11"/>
      <c r="K69" s="10"/>
    </row>
    <row r="70" s="1" customFormat="1" ht="18.75" customHeight="1" spans="1:11">
      <c r="A70" s="10"/>
      <c r="B70" s="11"/>
      <c r="C70" s="10"/>
      <c r="D70" s="11"/>
      <c r="E70" s="10"/>
      <c r="F70" s="11"/>
      <c r="G70" s="10"/>
      <c r="H70" s="11"/>
      <c r="I70" s="10"/>
      <c r="J70" s="11"/>
      <c r="K70" s="10"/>
    </row>
    <row r="71" s="1" customFormat="1" ht="18.75" customHeight="1" spans="1:11">
      <c r="A71" s="10"/>
      <c r="B71" s="11"/>
      <c r="C71" s="10"/>
      <c r="D71" s="11"/>
      <c r="E71" s="10"/>
      <c r="F71" s="11"/>
      <c r="G71" s="10"/>
      <c r="H71" s="11"/>
      <c r="I71" s="10"/>
      <c r="J71" s="11"/>
      <c r="K71" s="10"/>
    </row>
    <row r="72" s="1" customFormat="1" ht="18.75" customHeight="1" spans="1:11">
      <c r="A72" s="10"/>
      <c r="B72" s="11"/>
      <c r="C72" s="10"/>
      <c r="D72" s="11"/>
      <c r="E72" s="10"/>
      <c r="F72" s="11"/>
      <c r="G72" s="10"/>
      <c r="H72" s="11"/>
      <c r="I72" s="10"/>
      <c r="J72" s="11"/>
      <c r="K72" s="10"/>
    </row>
    <row r="73" s="1" customFormat="1" ht="18.75" customHeight="1" spans="1:11">
      <c r="A73" s="10"/>
      <c r="B73" s="11"/>
      <c r="C73" s="10"/>
      <c r="D73" s="11"/>
      <c r="E73" s="10"/>
      <c r="F73" s="11"/>
      <c r="G73" s="10"/>
      <c r="H73" s="11"/>
      <c r="I73" s="10"/>
      <c r="J73" s="11"/>
      <c r="K73" s="10"/>
    </row>
    <row r="74" s="1" customFormat="1" ht="18.75" customHeight="1" spans="1:11">
      <c r="A74" s="10"/>
      <c r="B74" s="11"/>
      <c r="C74" s="10"/>
      <c r="D74" s="11"/>
      <c r="E74" s="10"/>
      <c r="F74" s="11"/>
      <c r="G74" s="10"/>
      <c r="H74" s="11"/>
      <c r="I74" s="10"/>
      <c r="J74" s="11"/>
      <c r="K74" s="10"/>
    </row>
    <row r="75" s="1" customFormat="1" ht="18.75" customHeight="1" spans="1:11">
      <c r="A75" s="10"/>
      <c r="B75" s="11"/>
      <c r="C75" s="10"/>
      <c r="D75" s="11"/>
      <c r="E75" s="10"/>
      <c r="F75" s="11"/>
      <c r="G75" s="10"/>
      <c r="H75" s="11"/>
      <c r="I75" s="10"/>
      <c r="J75" s="11"/>
      <c r="K75" s="10"/>
    </row>
    <row r="76" s="1" customFormat="1" ht="18.75" customHeight="1" spans="1:11">
      <c r="A76" s="10"/>
      <c r="B76" s="11"/>
      <c r="C76" s="10"/>
      <c r="D76" s="11"/>
      <c r="E76" s="10"/>
      <c r="F76" s="11"/>
      <c r="G76" s="10"/>
      <c r="H76" s="11"/>
      <c r="I76" s="10"/>
      <c r="J76" s="11"/>
      <c r="K76" s="10"/>
    </row>
    <row r="77" s="1" customFormat="1" ht="18.75" customHeight="1" spans="1:11">
      <c r="A77" s="10"/>
      <c r="B77" s="11"/>
      <c r="C77" s="10"/>
      <c r="D77" s="11"/>
      <c r="E77" s="10"/>
      <c r="F77" s="11"/>
      <c r="G77" s="10"/>
      <c r="H77" s="11"/>
      <c r="I77" s="10"/>
      <c r="J77" s="11"/>
      <c r="K77" s="10"/>
    </row>
    <row r="78" s="1" customFormat="1" ht="18.75" customHeight="1" spans="1:11">
      <c r="A78" s="10"/>
      <c r="B78" s="11"/>
      <c r="C78" s="10"/>
      <c r="D78" s="11"/>
      <c r="E78" s="10"/>
      <c r="F78" s="11"/>
      <c r="G78" s="10"/>
      <c r="H78" s="11"/>
      <c r="I78" s="10"/>
      <c r="J78" s="11"/>
      <c r="K78" s="10"/>
    </row>
    <row r="79" s="1" customFormat="1" ht="18.75" customHeight="1" spans="1:11">
      <c r="A79" s="10"/>
      <c r="B79" s="11"/>
      <c r="C79" s="10"/>
      <c r="D79" s="11"/>
      <c r="E79" s="10"/>
      <c r="F79" s="11"/>
      <c r="G79" s="10"/>
      <c r="H79" s="11"/>
      <c r="I79" s="10"/>
      <c r="J79" s="11"/>
      <c r="K79" s="10"/>
    </row>
    <row r="80" s="1" customFormat="1" ht="18.75" customHeight="1" spans="1:11">
      <c r="A80" s="10"/>
      <c r="B80" s="11"/>
      <c r="C80" s="10"/>
      <c r="D80" s="11"/>
      <c r="E80" s="10"/>
      <c r="F80" s="11"/>
      <c r="G80" s="10"/>
      <c r="H80" s="11"/>
      <c r="I80" s="10"/>
      <c r="J80" s="11"/>
      <c r="K80" s="10"/>
    </row>
    <row r="81" s="1" customFormat="1" ht="18.75" customHeight="1" spans="1:11">
      <c r="A81" s="10"/>
      <c r="B81" s="11"/>
      <c r="C81" s="10"/>
      <c r="D81" s="11"/>
      <c r="E81" s="10"/>
      <c r="F81" s="11"/>
      <c r="G81" s="10"/>
      <c r="H81" s="11"/>
      <c r="I81" s="10"/>
      <c r="J81" s="11"/>
      <c r="K81" s="10"/>
    </row>
    <row r="82" s="1" customFormat="1" ht="18.75" customHeight="1" spans="1:11">
      <c r="A82" s="10"/>
      <c r="B82" s="11"/>
      <c r="C82" s="10"/>
      <c r="D82" s="11"/>
      <c r="E82" s="10"/>
      <c r="F82" s="11"/>
      <c r="G82" s="10"/>
      <c r="H82" s="11"/>
      <c r="I82" s="10"/>
      <c r="J82" s="11"/>
      <c r="K82" s="10"/>
    </row>
    <row r="83" s="1" customFormat="1" ht="18.75" customHeight="1" spans="1:11">
      <c r="A83" s="10"/>
      <c r="B83" s="11"/>
      <c r="C83" s="10"/>
      <c r="D83" s="11"/>
      <c r="E83" s="10"/>
      <c r="F83" s="11"/>
      <c r="G83" s="10"/>
      <c r="H83" s="11"/>
      <c r="I83" s="10"/>
      <c r="J83" s="11"/>
      <c r="K83" s="10"/>
    </row>
    <row r="84" s="1" customFormat="1" ht="18.75" customHeight="1" spans="1:11">
      <c r="A84" s="10"/>
      <c r="B84" s="11"/>
      <c r="C84" s="10"/>
      <c r="D84" s="11"/>
      <c r="E84" s="10"/>
      <c r="F84" s="11"/>
      <c r="G84" s="10"/>
      <c r="H84" s="11"/>
      <c r="I84" s="10"/>
      <c r="J84" s="11"/>
      <c r="K84" s="10"/>
    </row>
    <row r="85" s="1" customFormat="1" ht="18.75" customHeight="1" spans="1:11">
      <c r="A85" s="10"/>
      <c r="B85" s="11"/>
      <c r="C85" s="10"/>
      <c r="D85" s="11"/>
      <c r="E85" s="10"/>
      <c r="F85" s="11"/>
      <c r="G85" s="10"/>
      <c r="H85" s="11"/>
      <c r="I85" s="10"/>
      <c r="J85" s="11"/>
      <c r="K85" s="10"/>
    </row>
    <row r="86" s="1" customFormat="1" ht="18.75" customHeight="1" spans="1:11">
      <c r="A86" s="10"/>
      <c r="B86" s="11"/>
      <c r="C86" s="10"/>
      <c r="D86" s="11"/>
      <c r="E86" s="10"/>
      <c r="F86" s="11"/>
      <c r="G86" s="10"/>
      <c r="H86" s="11"/>
      <c r="I86" s="10"/>
      <c r="J86" s="11"/>
      <c r="K86" s="10"/>
    </row>
    <row r="87" s="1" customFormat="1" ht="18.75" customHeight="1" spans="1:11">
      <c r="A87" s="10"/>
      <c r="B87" s="11"/>
      <c r="C87" s="10"/>
      <c r="D87" s="11"/>
      <c r="E87" s="10"/>
      <c r="F87" s="11"/>
      <c r="G87" s="10"/>
      <c r="H87" s="11"/>
      <c r="I87" s="10"/>
      <c r="J87" s="11"/>
      <c r="K87" s="10"/>
    </row>
    <row r="88" s="1" customFormat="1" ht="18.75" customHeight="1" spans="1:11">
      <c r="A88" s="10"/>
      <c r="B88" s="11"/>
      <c r="C88" s="10"/>
      <c r="D88" s="11"/>
      <c r="E88" s="10"/>
      <c r="F88" s="11"/>
      <c r="G88" s="10"/>
      <c r="H88" s="11"/>
      <c r="I88" s="10"/>
      <c r="J88" s="11"/>
      <c r="K88" s="10"/>
    </row>
    <row r="89" ht="18.75" customHeight="1" spans="1:17">
      <c r="A89" s="3" t="s">
        <v>437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6"/>
    </row>
    <row r="90" s="1" customFormat="1" ht="18.75" customHeight="1" spans="1:17">
      <c r="A90" s="9" t="s">
        <v>147</v>
      </c>
      <c r="B90" s="9" t="s">
        <v>113</v>
      </c>
      <c r="C90" s="9" t="s">
        <v>124</v>
      </c>
      <c r="D90" s="9" t="s">
        <v>438</v>
      </c>
      <c r="E90" s="9" t="s">
        <v>439</v>
      </c>
      <c r="F90" s="9" t="s">
        <v>440</v>
      </c>
      <c r="G90" s="9" t="s">
        <v>129</v>
      </c>
      <c r="H90" s="9" t="s">
        <v>119</v>
      </c>
      <c r="I90" s="9" t="s">
        <v>441</v>
      </c>
      <c r="J90" s="9" t="s">
        <v>442</v>
      </c>
      <c r="K90" s="9" t="s">
        <v>443</v>
      </c>
      <c r="L90" s="9" t="s">
        <v>444</v>
      </c>
      <c r="M90" s="9" t="s">
        <v>445</v>
      </c>
      <c r="N90" s="9" t="s">
        <v>446</v>
      </c>
      <c r="O90" s="9" t="s">
        <v>447</v>
      </c>
      <c r="P90" s="9" t="s">
        <v>448</v>
      </c>
      <c r="Q90" s="9" t="s">
        <v>449</v>
      </c>
    </row>
    <row r="91" ht="18.75" customHeight="1" spans="1:17">
      <c r="A91" s="10"/>
      <c r="B91" s="10"/>
      <c r="C91" s="10"/>
      <c r="D91" s="10"/>
      <c r="E91" s="10"/>
      <c r="F91" s="10"/>
      <c r="G91" s="10"/>
      <c r="H91" s="15" t="str">
        <f t="shared" ref="H91:H154" si="0">IFERROR(VLOOKUP($B91,$A$25:$N$54,7,FALSE),"")</f>
        <v/>
      </c>
      <c r="I91" s="16" t="str">
        <f t="shared" ref="I91:I154" si="1">IF($H91="Minor",1,IF($H91="Moderate",2,IF($H91="Major",3,IF($H91="Critical",4,""))))</f>
        <v/>
      </c>
      <c r="J91" s="17"/>
      <c r="K91" s="17"/>
      <c r="L91" s="16">
        <f t="shared" ref="L91:L154" si="2">IF(OR($G91="Exact TP",$G91="Equivalent TP"),1,0)</f>
        <v>0</v>
      </c>
      <c r="M91" s="16">
        <f t="shared" ref="M91:M154" si="3">IF(OR($G91="FP Extra",$G91="Harmful FP"),1,0)</f>
        <v>0</v>
      </c>
      <c r="N91" s="16">
        <f t="shared" ref="N91:N154" si="4">IF(OR($G91="FN",$G91="Partial"),1,0)</f>
        <v>0</v>
      </c>
      <c r="O91" s="16">
        <f t="shared" ref="O91:O154" si="5">IF($L91=1,$I91,0)</f>
        <v>0</v>
      </c>
      <c r="P91" s="16">
        <f t="shared" ref="P91:P154" si="6">IF($M91=1,$I91,0)</f>
        <v>0</v>
      </c>
      <c r="Q91" s="16">
        <f t="shared" ref="Q91:Q154" si="7">IF($N91=1,$I91,0)</f>
        <v>0</v>
      </c>
    </row>
    <row r="92" ht="18.75" customHeight="1" spans="1:17">
      <c r="A92" s="10"/>
      <c r="B92" s="10"/>
      <c r="C92" s="10"/>
      <c r="D92" s="10"/>
      <c r="E92" s="10"/>
      <c r="F92" s="10"/>
      <c r="G92" s="10"/>
      <c r="H92" s="15" t="str">
        <f t="shared" si="0"/>
        <v/>
      </c>
      <c r="I92" s="16" t="str">
        <f t="shared" si="1"/>
        <v/>
      </c>
      <c r="J92" s="17"/>
      <c r="K92" s="17"/>
      <c r="L92" s="16">
        <f t="shared" si="2"/>
        <v>0</v>
      </c>
      <c r="M92" s="16">
        <f t="shared" si="3"/>
        <v>0</v>
      </c>
      <c r="N92" s="16">
        <f t="shared" si="4"/>
        <v>0</v>
      </c>
      <c r="O92" s="16">
        <f t="shared" si="5"/>
        <v>0</v>
      </c>
      <c r="P92" s="16">
        <f t="shared" si="6"/>
        <v>0</v>
      </c>
      <c r="Q92" s="16">
        <f t="shared" si="7"/>
        <v>0</v>
      </c>
    </row>
    <row r="93" ht="18.75" customHeight="1" spans="1:17">
      <c r="A93" s="10"/>
      <c r="B93" s="10"/>
      <c r="C93" s="10"/>
      <c r="D93" s="10"/>
      <c r="E93" s="10"/>
      <c r="F93" s="10"/>
      <c r="G93" s="10"/>
      <c r="H93" s="15" t="str">
        <f t="shared" si="0"/>
        <v/>
      </c>
      <c r="I93" s="16" t="str">
        <f t="shared" si="1"/>
        <v/>
      </c>
      <c r="J93" s="17"/>
      <c r="K93" s="17"/>
      <c r="L93" s="16">
        <f t="shared" si="2"/>
        <v>0</v>
      </c>
      <c r="M93" s="16">
        <f t="shared" si="3"/>
        <v>0</v>
      </c>
      <c r="N93" s="16">
        <f t="shared" si="4"/>
        <v>0</v>
      </c>
      <c r="O93" s="16">
        <f t="shared" si="5"/>
        <v>0</v>
      </c>
      <c r="P93" s="16">
        <f t="shared" si="6"/>
        <v>0</v>
      </c>
      <c r="Q93" s="16">
        <f t="shared" si="7"/>
        <v>0</v>
      </c>
    </row>
    <row r="94" ht="18.75" customHeight="1" spans="1:17">
      <c r="A94" s="10"/>
      <c r="B94" s="10"/>
      <c r="C94" s="10"/>
      <c r="D94" s="10"/>
      <c r="E94" s="10"/>
      <c r="F94" s="10"/>
      <c r="G94" s="10"/>
      <c r="H94" s="15" t="str">
        <f t="shared" si="0"/>
        <v/>
      </c>
      <c r="I94" s="16" t="str">
        <f t="shared" si="1"/>
        <v/>
      </c>
      <c r="J94" s="17"/>
      <c r="K94" s="17"/>
      <c r="L94" s="16">
        <f t="shared" si="2"/>
        <v>0</v>
      </c>
      <c r="M94" s="16">
        <f t="shared" si="3"/>
        <v>0</v>
      </c>
      <c r="N94" s="16">
        <f t="shared" si="4"/>
        <v>0</v>
      </c>
      <c r="O94" s="16">
        <f t="shared" si="5"/>
        <v>0</v>
      </c>
      <c r="P94" s="16">
        <f t="shared" si="6"/>
        <v>0</v>
      </c>
      <c r="Q94" s="16">
        <f t="shared" si="7"/>
        <v>0</v>
      </c>
    </row>
    <row r="95" ht="18.75" customHeight="1" spans="1:17">
      <c r="A95" s="10"/>
      <c r="B95" s="10"/>
      <c r="C95" s="10"/>
      <c r="D95" s="10"/>
      <c r="E95" s="10"/>
      <c r="F95" s="10"/>
      <c r="G95" s="10"/>
      <c r="H95" s="15" t="str">
        <f t="shared" si="0"/>
        <v/>
      </c>
      <c r="I95" s="16" t="str">
        <f t="shared" si="1"/>
        <v/>
      </c>
      <c r="J95" s="17"/>
      <c r="K95" s="17"/>
      <c r="L95" s="16">
        <f t="shared" si="2"/>
        <v>0</v>
      </c>
      <c r="M95" s="16">
        <f t="shared" si="3"/>
        <v>0</v>
      </c>
      <c r="N95" s="16">
        <f t="shared" si="4"/>
        <v>0</v>
      </c>
      <c r="O95" s="16">
        <f t="shared" si="5"/>
        <v>0</v>
      </c>
      <c r="P95" s="16">
        <f t="shared" si="6"/>
        <v>0</v>
      </c>
      <c r="Q95" s="16">
        <f t="shared" si="7"/>
        <v>0</v>
      </c>
    </row>
    <row r="96" ht="18.75" customHeight="1" spans="1:17">
      <c r="A96" s="10"/>
      <c r="B96" s="10"/>
      <c r="C96" s="10"/>
      <c r="D96" s="10"/>
      <c r="E96" s="10"/>
      <c r="F96" s="10"/>
      <c r="G96" s="10"/>
      <c r="H96" s="15" t="str">
        <f t="shared" si="0"/>
        <v/>
      </c>
      <c r="I96" s="16" t="str">
        <f t="shared" si="1"/>
        <v/>
      </c>
      <c r="J96" s="17"/>
      <c r="K96" s="17"/>
      <c r="L96" s="16">
        <f t="shared" si="2"/>
        <v>0</v>
      </c>
      <c r="M96" s="16">
        <f t="shared" si="3"/>
        <v>0</v>
      </c>
      <c r="N96" s="16">
        <f t="shared" si="4"/>
        <v>0</v>
      </c>
      <c r="O96" s="16">
        <f t="shared" si="5"/>
        <v>0</v>
      </c>
      <c r="P96" s="16">
        <f t="shared" si="6"/>
        <v>0</v>
      </c>
      <c r="Q96" s="16">
        <f t="shared" si="7"/>
        <v>0</v>
      </c>
    </row>
    <row r="97" ht="18.75" customHeight="1" spans="1:17">
      <c r="A97" s="10"/>
      <c r="B97" s="10"/>
      <c r="C97" s="10"/>
      <c r="D97" s="10"/>
      <c r="E97" s="10"/>
      <c r="F97" s="10"/>
      <c r="G97" s="10"/>
      <c r="H97" s="15" t="str">
        <f t="shared" si="0"/>
        <v/>
      </c>
      <c r="I97" s="16" t="str">
        <f t="shared" si="1"/>
        <v/>
      </c>
      <c r="J97" s="17"/>
      <c r="K97" s="17"/>
      <c r="L97" s="16">
        <f t="shared" si="2"/>
        <v>0</v>
      </c>
      <c r="M97" s="16">
        <f t="shared" si="3"/>
        <v>0</v>
      </c>
      <c r="N97" s="16">
        <f t="shared" si="4"/>
        <v>0</v>
      </c>
      <c r="O97" s="16">
        <f t="shared" si="5"/>
        <v>0</v>
      </c>
      <c r="P97" s="16">
        <f t="shared" si="6"/>
        <v>0</v>
      </c>
      <c r="Q97" s="16">
        <f t="shared" si="7"/>
        <v>0</v>
      </c>
    </row>
    <row r="98" ht="18.75" customHeight="1" spans="1:17">
      <c r="A98" s="10"/>
      <c r="B98" s="10"/>
      <c r="C98" s="10"/>
      <c r="D98" s="10"/>
      <c r="E98" s="10"/>
      <c r="F98" s="10"/>
      <c r="G98" s="10"/>
      <c r="H98" s="15" t="str">
        <f t="shared" si="0"/>
        <v/>
      </c>
      <c r="I98" s="16" t="str">
        <f t="shared" si="1"/>
        <v/>
      </c>
      <c r="J98" s="17"/>
      <c r="K98" s="17"/>
      <c r="L98" s="16">
        <f t="shared" si="2"/>
        <v>0</v>
      </c>
      <c r="M98" s="16">
        <f t="shared" si="3"/>
        <v>0</v>
      </c>
      <c r="N98" s="16">
        <f t="shared" si="4"/>
        <v>0</v>
      </c>
      <c r="O98" s="16">
        <f t="shared" si="5"/>
        <v>0</v>
      </c>
      <c r="P98" s="16">
        <f t="shared" si="6"/>
        <v>0</v>
      </c>
      <c r="Q98" s="16">
        <f t="shared" si="7"/>
        <v>0</v>
      </c>
    </row>
    <row r="99" ht="18.75" customHeight="1" spans="1:17">
      <c r="A99" s="10"/>
      <c r="B99" s="10"/>
      <c r="C99" s="10"/>
      <c r="D99" s="10"/>
      <c r="E99" s="10"/>
      <c r="F99" s="10"/>
      <c r="G99" s="10"/>
      <c r="H99" s="15" t="str">
        <f t="shared" si="0"/>
        <v/>
      </c>
      <c r="I99" s="16" t="str">
        <f t="shared" si="1"/>
        <v/>
      </c>
      <c r="J99" s="17"/>
      <c r="K99" s="17"/>
      <c r="L99" s="16">
        <f t="shared" si="2"/>
        <v>0</v>
      </c>
      <c r="M99" s="16">
        <f t="shared" si="3"/>
        <v>0</v>
      </c>
      <c r="N99" s="16">
        <f t="shared" si="4"/>
        <v>0</v>
      </c>
      <c r="O99" s="16">
        <f t="shared" si="5"/>
        <v>0</v>
      </c>
      <c r="P99" s="16">
        <f t="shared" si="6"/>
        <v>0</v>
      </c>
      <c r="Q99" s="16">
        <f t="shared" si="7"/>
        <v>0</v>
      </c>
    </row>
    <row r="100" ht="18.75" customHeight="1" spans="1:17">
      <c r="A100" s="10"/>
      <c r="B100" s="10"/>
      <c r="C100" s="10"/>
      <c r="D100" s="10"/>
      <c r="E100" s="10"/>
      <c r="F100" s="10"/>
      <c r="G100" s="10"/>
      <c r="H100" s="15" t="str">
        <f t="shared" si="0"/>
        <v/>
      </c>
      <c r="I100" s="16" t="str">
        <f t="shared" si="1"/>
        <v/>
      </c>
      <c r="J100" s="17"/>
      <c r="K100" s="17"/>
      <c r="L100" s="16">
        <f t="shared" si="2"/>
        <v>0</v>
      </c>
      <c r="M100" s="16">
        <f t="shared" si="3"/>
        <v>0</v>
      </c>
      <c r="N100" s="16">
        <f t="shared" si="4"/>
        <v>0</v>
      </c>
      <c r="O100" s="16">
        <f t="shared" si="5"/>
        <v>0</v>
      </c>
      <c r="P100" s="16">
        <f t="shared" si="6"/>
        <v>0</v>
      </c>
      <c r="Q100" s="16">
        <f t="shared" si="7"/>
        <v>0</v>
      </c>
    </row>
    <row r="101" ht="18.75" customHeight="1" spans="1:17">
      <c r="A101" s="10"/>
      <c r="B101" s="10"/>
      <c r="C101" s="10"/>
      <c r="D101" s="10"/>
      <c r="E101" s="10"/>
      <c r="F101" s="10"/>
      <c r="G101" s="10"/>
      <c r="H101" s="15" t="str">
        <f t="shared" si="0"/>
        <v/>
      </c>
      <c r="I101" s="16" t="str">
        <f t="shared" si="1"/>
        <v/>
      </c>
      <c r="J101" s="17"/>
      <c r="K101" s="17"/>
      <c r="L101" s="16">
        <f t="shared" si="2"/>
        <v>0</v>
      </c>
      <c r="M101" s="16">
        <f t="shared" si="3"/>
        <v>0</v>
      </c>
      <c r="N101" s="16">
        <f t="shared" si="4"/>
        <v>0</v>
      </c>
      <c r="O101" s="16">
        <f t="shared" si="5"/>
        <v>0</v>
      </c>
      <c r="P101" s="16">
        <f t="shared" si="6"/>
        <v>0</v>
      </c>
      <c r="Q101" s="16">
        <f t="shared" si="7"/>
        <v>0</v>
      </c>
    </row>
    <row r="102" ht="18.75" customHeight="1" spans="1:17">
      <c r="A102" s="10"/>
      <c r="B102" s="10"/>
      <c r="C102" s="10"/>
      <c r="D102" s="10"/>
      <c r="E102" s="10"/>
      <c r="F102" s="10"/>
      <c r="G102" s="10"/>
      <c r="H102" s="15" t="str">
        <f t="shared" si="0"/>
        <v/>
      </c>
      <c r="I102" s="16" t="str">
        <f t="shared" si="1"/>
        <v/>
      </c>
      <c r="J102" s="17"/>
      <c r="K102" s="17"/>
      <c r="L102" s="16">
        <f t="shared" si="2"/>
        <v>0</v>
      </c>
      <c r="M102" s="16">
        <f t="shared" si="3"/>
        <v>0</v>
      </c>
      <c r="N102" s="16">
        <f t="shared" si="4"/>
        <v>0</v>
      </c>
      <c r="O102" s="16">
        <f t="shared" si="5"/>
        <v>0</v>
      </c>
      <c r="P102" s="16">
        <f t="shared" si="6"/>
        <v>0</v>
      </c>
      <c r="Q102" s="16">
        <f t="shared" si="7"/>
        <v>0</v>
      </c>
    </row>
    <row r="103" ht="18.75" customHeight="1" spans="1:17">
      <c r="A103" s="10"/>
      <c r="B103" s="10"/>
      <c r="C103" s="10"/>
      <c r="D103" s="10"/>
      <c r="E103" s="10"/>
      <c r="F103" s="10"/>
      <c r="G103" s="10"/>
      <c r="H103" s="15" t="str">
        <f t="shared" si="0"/>
        <v/>
      </c>
      <c r="I103" s="16" t="str">
        <f t="shared" si="1"/>
        <v/>
      </c>
      <c r="J103" s="17"/>
      <c r="K103" s="17"/>
      <c r="L103" s="16">
        <f t="shared" si="2"/>
        <v>0</v>
      </c>
      <c r="M103" s="16">
        <f t="shared" si="3"/>
        <v>0</v>
      </c>
      <c r="N103" s="16">
        <f t="shared" si="4"/>
        <v>0</v>
      </c>
      <c r="O103" s="16">
        <f t="shared" si="5"/>
        <v>0</v>
      </c>
      <c r="P103" s="16">
        <f t="shared" si="6"/>
        <v>0</v>
      </c>
      <c r="Q103" s="16">
        <f t="shared" si="7"/>
        <v>0</v>
      </c>
    </row>
    <row r="104" ht="18.75" customHeight="1" spans="1:17">
      <c r="A104" s="10"/>
      <c r="B104" s="10"/>
      <c r="C104" s="10"/>
      <c r="D104" s="10"/>
      <c r="E104" s="10"/>
      <c r="F104" s="10"/>
      <c r="G104" s="10"/>
      <c r="H104" s="15" t="str">
        <f t="shared" si="0"/>
        <v/>
      </c>
      <c r="I104" s="16" t="str">
        <f t="shared" si="1"/>
        <v/>
      </c>
      <c r="J104" s="17"/>
      <c r="K104" s="17"/>
      <c r="L104" s="16">
        <f t="shared" si="2"/>
        <v>0</v>
      </c>
      <c r="M104" s="16">
        <f t="shared" si="3"/>
        <v>0</v>
      </c>
      <c r="N104" s="16">
        <f t="shared" si="4"/>
        <v>0</v>
      </c>
      <c r="O104" s="16">
        <f t="shared" si="5"/>
        <v>0</v>
      </c>
      <c r="P104" s="16">
        <f t="shared" si="6"/>
        <v>0</v>
      </c>
      <c r="Q104" s="16">
        <f t="shared" si="7"/>
        <v>0</v>
      </c>
    </row>
    <row r="105" ht="18.75" customHeight="1" spans="1:17">
      <c r="A105" s="10"/>
      <c r="B105" s="10"/>
      <c r="C105" s="10"/>
      <c r="D105" s="10"/>
      <c r="E105" s="10"/>
      <c r="F105" s="10"/>
      <c r="G105" s="10"/>
      <c r="H105" s="15" t="str">
        <f t="shared" si="0"/>
        <v/>
      </c>
      <c r="I105" s="16" t="str">
        <f t="shared" si="1"/>
        <v/>
      </c>
      <c r="J105" s="17"/>
      <c r="K105" s="17"/>
      <c r="L105" s="16">
        <f t="shared" si="2"/>
        <v>0</v>
      </c>
      <c r="M105" s="16">
        <f t="shared" si="3"/>
        <v>0</v>
      </c>
      <c r="N105" s="16">
        <f t="shared" si="4"/>
        <v>0</v>
      </c>
      <c r="O105" s="16">
        <f t="shared" si="5"/>
        <v>0</v>
      </c>
      <c r="P105" s="16">
        <f t="shared" si="6"/>
        <v>0</v>
      </c>
      <c r="Q105" s="16">
        <f t="shared" si="7"/>
        <v>0</v>
      </c>
    </row>
    <row r="106" ht="18.75" customHeight="1" spans="1:17">
      <c r="A106" s="10"/>
      <c r="B106" s="10"/>
      <c r="C106" s="10"/>
      <c r="D106" s="10"/>
      <c r="E106" s="10"/>
      <c r="F106" s="10"/>
      <c r="G106" s="10"/>
      <c r="H106" s="15" t="str">
        <f t="shared" si="0"/>
        <v/>
      </c>
      <c r="I106" s="16" t="str">
        <f t="shared" si="1"/>
        <v/>
      </c>
      <c r="J106" s="17"/>
      <c r="K106" s="17"/>
      <c r="L106" s="16">
        <f t="shared" si="2"/>
        <v>0</v>
      </c>
      <c r="M106" s="16">
        <f t="shared" si="3"/>
        <v>0</v>
      </c>
      <c r="N106" s="16">
        <f t="shared" si="4"/>
        <v>0</v>
      </c>
      <c r="O106" s="16">
        <f t="shared" si="5"/>
        <v>0</v>
      </c>
      <c r="P106" s="16">
        <f t="shared" si="6"/>
        <v>0</v>
      </c>
      <c r="Q106" s="16">
        <f t="shared" si="7"/>
        <v>0</v>
      </c>
    </row>
    <row r="107" ht="18.75" customHeight="1" spans="1:17">
      <c r="A107" s="10"/>
      <c r="B107" s="10"/>
      <c r="C107" s="10"/>
      <c r="D107" s="10"/>
      <c r="E107" s="10"/>
      <c r="F107" s="10"/>
      <c r="G107" s="10"/>
      <c r="H107" s="15" t="str">
        <f t="shared" si="0"/>
        <v/>
      </c>
      <c r="I107" s="16" t="str">
        <f t="shared" si="1"/>
        <v/>
      </c>
      <c r="J107" s="17"/>
      <c r="K107" s="17"/>
      <c r="L107" s="16">
        <f t="shared" si="2"/>
        <v>0</v>
      </c>
      <c r="M107" s="16">
        <f t="shared" si="3"/>
        <v>0</v>
      </c>
      <c r="N107" s="16">
        <f t="shared" si="4"/>
        <v>0</v>
      </c>
      <c r="O107" s="16">
        <f t="shared" si="5"/>
        <v>0</v>
      </c>
      <c r="P107" s="16">
        <f t="shared" si="6"/>
        <v>0</v>
      </c>
      <c r="Q107" s="16">
        <f t="shared" si="7"/>
        <v>0</v>
      </c>
    </row>
    <row r="108" ht="18.75" customHeight="1" spans="1:17">
      <c r="A108" s="10"/>
      <c r="B108" s="10"/>
      <c r="C108" s="10"/>
      <c r="D108" s="10"/>
      <c r="E108" s="10"/>
      <c r="F108" s="10"/>
      <c r="G108" s="10"/>
      <c r="H108" s="15" t="str">
        <f t="shared" si="0"/>
        <v/>
      </c>
      <c r="I108" s="16" t="str">
        <f t="shared" si="1"/>
        <v/>
      </c>
      <c r="J108" s="17"/>
      <c r="K108" s="17"/>
      <c r="L108" s="16">
        <f t="shared" si="2"/>
        <v>0</v>
      </c>
      <c r="M108" s="16">
        <f t="shared" si="3"/>
        <v>0</v>
      </c>
      <c r="N108" s="16">
        <f t="shared" si="4"/>
        <v>0</v>
      </c>
      <c r="O108" s="16">
        <f t="shared" si="5"/>
        <v>0</v>
      </c>
      <c r="P108" s="16">
        <f t="shared" si="6"/>
        <v>0</v>
      </c>
      <c r="Q108" s="16">
        <f t="shared" si="7"/>
        <v>0</v>
      </c>
    </row>
    <row r="109" ht="18.75" customHeight="1" spans="1:17">
      <c r="A109" s="10"/>
      <c r="B109" s="10"/>
      <c r="C109" s="10"/>
      <c r="D109" s="10"/>
      <c r="E109" s="10"/>
      <c r="F109" s="10"/>
      <c r="G109" s="10"/>
      <c r="H109" s="15" t="str">
        <f t="shared" si="0"/>
        <v/>
      </c>
      <c r="I109" s="16" t="str">
        <f t="shared" si="1"/>
        <v/>
      </c>
      <c r="J109" s="17"/>
      <c r="K109" s="17"/>
      <c r="L109" s="16">
        <f t="shared" si="2"/>
        <v>0</v>
      </c>
      <c r="M109" s="16">
        <f t="shared" si="3"/>
        <v>0</v>
      </c>
      <c r="N109" s="16">
        <f t="shared" si="4"/>
        <v>0</v>
      </c>
      <c r="O109" s="16">
        <f t="shared" si="5"/>
        <v>0</v>
      </c>
      <c r="P109" s="16">
        <f t="shared" si="6"/>
        <v>0</v>
      </c>
      <c r="Q109" s="16">
        <f t="shared" si="7"/>
        <v>0</v>
      </c>
    </row>
    <row r="110" ht="18.75" customHeight="1" spans="1:17">
      <c r="A110" s="10"/>
      <c r="B110" s="10"/>
      <c r="C110" s="10"/>
      <c r="D110" s="10"/>
      <c r="E110" s="10"/>
      <c r="F110" s="10"/>
      <c r="G110" s="10"/>
      <c r="H110" s="15" t="str">
        <f t="shared" si="0"/>
        <v/>
      </c>
      <c r="I110" s="16" t="str">
        <f t="shared" si="1"/>
        <v/>
      </c>
      <c r="J110" s="17"/>
      <c r="K110" s="17"/>
      <c r="L110" s="16">
        <f t="shared" si="2"/>
        <v>0</v>
      </c>
      <c r="M110" s="16">
        <f t="shared" si="3"/>
        <v>0</v>
      </c>
      <c r="N110" s="16">
        <f t="shared" si="4"/>
        <v>0</v>
      </c>
      <c r="O110" s="16">
        <f t="shared" si="5"/>
        <v>0</v>
      </c>
      <c r="P110" s="16">
        <f t="shared" si="6"/>
        <v>0</v>
      </c>
      <c r="Q110" s="16">
        <f t="shared" si="7"/>
        <v>0</v>
      </c>
    </row>
    <row r="111" ht="18.75" customHeight="1" spans="1:17">
      <c r="A111" s="10"/>
      <c r="B111" s="10"/>
      <c r="C111" s="10"/>
      <c r="D111" s="10"/>
      <c r="E111" s="10"/>
      <c r="F111" s="10"/>
      <c r="G111" s="10"/>
      <c r="H111" s="15" t="str">
        <f t="shared" si="0"/>
        <v/>
      </c>
      <c r="I111" s="16" t="str">
        <f t="shared" si="1"/>
        <v/>
      </c>
      <c r="J111" s="17"/>
      <c r="K111" s="17"/>
      <c r="L111" s="16">
        <f t="shared" si="2"/>
        <v>0</v>
      </c>
      <c r="M111" s="16">
        <f t="shared" si="3"/>
        <v>0</v>
      </c>
      <c r="N111" s="16">
        <f t="shared" si="4"/>
        <v>0</v>
      </c>
      <c r="O111" s="16">
        <f t="shared" si="5"/>
        <v>0</v>
      </c>
      <c r="P111" s="16">
        <f t="shared" si="6"/>
        <v>0</v>
      </c>
      <c r="Q111" s="16">
        <f t="shared" si="7"/>
        <v>0</v>
      </c>
    </row>
    <row r="112" ht="18.75" customHeight="1" spans="1:17">
      <c r="A112" s="10"/>
      <c r="B112" s="10"/>
      <c r="C112" s="10"/>
      <c r="D112" s="10"/>
      <c r="E112" s="10"/>
      <c r="F112" s="10"/>
      <c r="G112" s="10"/>
      <c r="H112" s="15" t="str">
        <f t="shared" si="0"/>
        <v/>
      </c>
      <c r="I112" s="16" t="str">
        <f t="shared" si="1"/>
        <v/>
      </c>
      <c r="J112" s="17"/>
      <c r="K112" s="17"/>
      <c r="L112" s="16">
        <f t="shared" si="2"/>
        <v>0</v>
      </c>
      <c r="M112" s="16">
        <f t="shared" si="3"/>
        <v>0</v>
      </c>
      <c r="N112" s="16">
        <f t="shared" si="4"/>
        <v>0</v>
      </c>
      <c r="O112" s="16">
        <f t="shared" si="5"/>
        <v>0</v>
      </c>
      <c r="P112" s="16">
        <f t="shared" si="6"/>
        <v>0</v>
      </c>
      <c r="Q112" s="16">
        <f t="shared" si="7"/>
        <v>0</v>
      </c>
    </row>
    <row r="113" ht="18.75" customHeight="1" spans="1:17">
      <c r="A113" s="10"/>
      <c r="B113" s="10"/>
      <c r="C113" s="10"/>
      <c r="D113" s="10"/>
      <c r="E113" s="10"/>
      <c r="F113" s="10"/>
      <c r="G113" s="10"/>
      <c r="H113" s="15" t="str">
        <f t="shared" si="0"/>
        <v/>
      </c>
      <c r="I113" s="16" t="str">
        <f t="shared" si="1"/>
        <v/>
      </c>
      <c r="J113" s="17"/>
      <c r="K113" s="17"/>
      <c r="L113" s="16">
        <f t="shared" si="2"/>
        <v>0</v>
      </c>
      <c r="M113" s="16">
        <f t="shared" si="3"/>
        <v>0</v>
      </c>
      <c r="N113" s="16">
        <f t="shared" si="4"/>
        <v>0</v>
      </c>
      <c r="O113" s="16">
        <f t="shared" si="5"/>
        <v>0</v>
      </c>
      <c r="P113" s="16">
        <f t="shared" si="6"/>
        <v>0</v>
      </c>
      <c r="Q113" s="16">
        <f t="shared" si="7"/>
        <v>0</v>
      </c>
    </row>
    <row r="114" ht="18.75" customHeight="1" spans="1:17">
      <c r="A114" s="10"/>
      <c r="B114" s="10"/>
      <c r="C114" s="10"/>
      <c r="D114" s="10"/>
      <c r="E114" s="10"/>
      <c r="F114" s="10"/>
      <c r="G114" s="10"/>
      <c r="H114" s="15" t="str">
        <f t="shared" si="0"/>
        <v/>
      </c>
      <c r="I114" s="16" t="str">
        <f t="shared" si="1"/>
        <v/>
      </c>
      <c r="J114" s="17"/>
      <c r="K114" s="17"/>
      <c r="L114" s="16">
        <f t="shared" si="2"/>
        <v>0</v>
      </c>
      <c r="M114" s="16">
        <f t="shared" si="3"/>
        <v>0</v>
      </c>
      <c r="N114" s="16">
        <f t="shared" si="4"/>
        <v>0</v>
      </c>
      <c r="O114" s="16">
        <f t="shared" si="5"/>
        <v>0</v>
      </c>
      <c r="P114" s="16">
        <f t="shared" si="6"/>
        <v>0</v>
      </c>
      <c r="Q114" s="16">
        <f t="shared" si="7"/>
        <v>0</v>
      </c>
    </row>
    <row r="115" ht="18.75" customHeight="1" spans="1:17">
      <c r="A115" s="10"/>
      <c r="B115" s="10"/>
      <c r="C115" s="10"/>
      <c r="D115" s="10"/>
      <c r="E115" s="10"/>
      <c r="F115" s="10"/>
      <c r="G115" s="10"/>
      <c r="H115" s="15" t="str">
        <f t="shared" si="0"/>
        <v/>
      </c>
      <c r="I115" s="16" t="str">
        <f t="shared" si="1"/>
        <v/>
      </c>
      <c r="J115" s="17"/>
      <c r="K115" s="17"/>
      <c r="L115" s="16">
        <f t="shared" si="2"/>
        <v>0</v>
      </c>
      <c r="M115" s="16">
        <f t="shared" si="3"/>
        <v>0</v>
      </c>
      <c r="N115" s="16">
        <f t="shared" si="4"/>
        <v>0</v>
      </c>
      <c r="O115" s="16">
        <f t="shared" si="5"/>
        <v>0</v>
      </c>
      <c r="P115" s="16">
        <f t="shared" si="6"/>
        <v>0</v>
      </c>
      <c r="Q115" s="16">
        <f t="shared" si="7"/>
        <v>0</v>
      </c>
    </row>
    <row r="116" ht="18.75" customHeight="1" spans="1:17">
      <c r="A116" s="10"/>
      <c r="B116" s="10"/>
      <c r="C116" s="10"/>
      <c r="D116" s="10"/>
      <c r="E116" s="10"/>
      <c r="F116" s="10"/>
      <c r="G116" s="10"/>
      <c r="H116" s="15" t="str">
        <f t="shared" si="0"/>
        <v/>
      </c>
      <c r="I116" s="16" t="str">
        <f t="shared" si="1"/>
        <v/>
      </c>
      <c r="J116" s="17"/>
      <c r="K116" s="17"/>
      <c r="L116" s="16">
        <f t="shared" si="2"/>
        <v>0</v>
      </c>
      <c r="M116" s="16">
        <f t="shared" si="3"/>
        <v>0</v>
      </c>
      <c r="N116" s="16">
        <f t="shared" si="4"/>
        <v>0</v>
      </c>
      <c r="O116" s="16">
        <f t="shared" si="5"/>
        <v>0</v>
      </c>
      <c r="P116" s="16">
        <f t="shared" si="6"/>
        <v>0</v>
      </c>
      <c r="Q116" s="16">
        <f t="shared" si="7"/>
        <v>0</v>
      </c>
    </row>
    <row r="117" ht="18.75" customHeight="1" spans="1:17">
      <c r="A117" s="10"/>
      <c r="B117" s="10"/>
      <c r="C117" s="10"/>
      <c r="D117" s="10"/>
      <c r="E117" s="10"/>
      <c r="F117" s="10"/>
      <c r="G117" s="10"/>
      <c r="H117" s="15" t="str">
        <f t="shared" si="0"/>
        <v/>
      </c>
      <c r="I117" s="16" t="str">
        <f t="shared" si="1"/>
        <v/>
      </c>
      <c r="J117" s="17"/>
      <c r="K117" s="17"/>
      <c r="L117" s="16">
        <f t="shared" si="2"/>
        <v>0</v>
      </c>
      <c r="M117" s="16">
        <f t="shared" si="3"/>
        <v>0</v>
      </c>
      <c r="N117" s="16">
        <f t="shared" si="4"/>
        <v>0</v>
      </c>
      <c r="O117" s="16">
        <f t="shared" si="5"/>
        <v>0</v>
      </c>
      <c r="P117" s="16">
        <f t="shared" si="6"/>
        <v>0</v>
      </c>
      <c r="Q117" s="16">
        <f t="shared" si="7"/>
        <v>0</v>
      </c>
    </row>
    <row r="118" ht="18.75" customHeight="1" spans="1:17">
      <c r="A118" s="10"/>
      <c r="B118" s="10"/>
      <c r="C118" s="10"/>
      <c r="D118" s="10"/>
      <c r="E118" s="10"/>
      <c r="F118" s="10"/>
      <c r="G118" s="10"/>
      <c r="H118" s="15" t="str">
        <f t="shared" si="0"/>
        <v/>
      </c>
      <c r="I118" s="16" t="str">
        <f t="shared" si="1"/>
        <v/>
      </c>
      <c r="J118" s="17"/>
      <c r="K118" s="17"/>
      <c r="L118" s="16">
        <f t="shared" si="2"/>
        <v>0</v>
      </c>
      <c r="M118" s="16">
        <f t="shared" si="3"/>
        <v>0</v>
      </c>
      <c r="N118" s="16">
        <f t="shared" si="4"/>
        <v>0</v>
      </c>
      <c r="O118" s="16">
        <f t="shared" si="5"/>
        <v>0</v>
      </c>
      <c r="P118" s="16">
        <f t="shared" si="6"/>
        <v>0</v>
      </c>
      <c r="Q118" s="16">
        <f t="shared" si="7"/>
        <v>0</v>
      </c>
    </row>
    <row r="119" ht="18.75" customHeight="1" spans="1:17">
      <c r="A119" s="10"/>
      <c r="B119" s="10"/>
      <c r="C119" s="10"/>
      <c r="D119" s="10"/>
      <c r="E119" s="10"/>
      <c r="F119" s="10"/>
      <c r="G119" s="10"/>
      <c r="H119" s="15" t="str">
        <f t="shared" si="0"/>
        <v/>
      </c>
      <c r="I119" s="16" t="str">
        <f t="shared" si="1"/>
        <v/>
      </c>
      <c r="J119" s="17"/>
      <c r="K119" s="17"/>
      <c r="L119" s="16">
        <f t="shared" si="2"/>
        <v>0</v>
      </c>
      <c r="M119" s="16">
        <f t="shared" si="3"/>
        <v>0</v>
      </c>
      <c r="N119" s="16">
        <f t="shared" si="4"/>
        <v>0</v>
      </c>
      <c r="O119" s="16">
        <f t="shared" si="5"/>
        <v>0</v>
      </c>
      <c r="P119" s="16">
        <f t="shared" si="6"/>
        <v>0</v>
      </c>
      <c r="Q119" s="16">
        <f t="shared" si="7"/>
        <v>0</v>
      </c>
    </row>
    <row r="120" ht="18.75" customHeight="1" spans="1:17">
      <c r="A120" s="10"/>
      <c r="B120" s="10"/>
      <c r="C120" s="10"/>
      <c r="D120" s="10"/>
      <c r="E120" s="10"/>
      <c r="F120" s="10"/>
      <c r="G120" s="10"/>
      <c r="H120" s="15" t="str">
        <f t="shared" si="0"/>
        <v/>
      </c>
      <c r="I120" s="16" t="str">
        <f t="shared" si="1"/>
        <v/>
      </c>
      <c r="J120" s="17"/>
      <c r="K120" s="17"/>
      <c r="L120" s="16">
        <f t="shared" si="2"/>
        <v>0</v>
      </c>
      <c r="M120" s="16">
        <f t="shared" si="3"/>
        <v>0</v>
      </c>
      <c r="N120" s="16">
        <f t="shared" si="4"/>
        <v>0</v>
      </c>
      <c r="O120" s="16">
        <f t="shared" si="5"/>
        <v>0</v>
      </c>
      <c r="P120" s="16">
        <f t="shared" si="6"/>
        <v>0</v>
      </c>
      <c r="Q120" s="16">
        <f t="shared" si="7"/>
        <v>0</v>
      </c>
    </row>
    <row r="121" ht="18.75" customHeight="1" spans="1:17">
      <c r="A121" s="10"/>
      <c r="B121" s="10"/>
      <c r="C121" s="10"/>
      <c r="D121" s="10"/>
      <c r="E121" s="10"/>
      <c r="F121" s="10"/>
      <c r="G121" s="10"/>
      <c r="H121" s="15" t="str">
        <f t="shared" si="0"/>
        <v/>
      </c>
      <c r="I121" s="16" t="str">
        <f t="shared" si="1"/>
        <v/>
      </c>
      <c r="J121" s="17"/>
      <c r="K121" s="17"/>
      <c r="L121" s="16">
        <f t="shared" si="2"/>
        <v>0</v>
      </c>
      <c r="M121" s="16">
        <f t="shared" si="3"/>
        <v>0</v>
      </c>
      <c r="N121" s="16">
        <f t="shared" si="4"/>
        <v>0</v>
      </c>
      <c r="O121" s="16">
        <f t="shared" si="5"/>
        <v>0</v>
      </c>
      <c r="P121" s="16">
        <f t="shared" si="6"/>
        <v>0</v>
      </c>
      <c r="Q121" s="16">
        <f t="shared" si="7"/>
        <v>0</v>
      </c>
    </row>
    <row r="122" ht="18.75" customHeight="1" spans="1:17">
      <c r="A122" s="10"/>
      <c r="B122" s="10"/>
      <c r="C122" s="10"/>
      <c r="D122" s="10"/>
      <c r="E122" s="10"/>
      <c r="F122" s="10"/>
      <c r="G122" s="10"/>
      <c r="H122" s="15" t="str">
        <f t="shared" si="0"/>
        <v/>
      </c>
      <c r="I122" s="16" t="str">
        <f t="shared" si="1"/>
        <v/>
      </c>
      <c r="J122" s="17"/>
      <c r="K122" s="17"/>
      <c r="L122" s="16">
        <f t="shared" si="2"/>
        <v>0</v>
      </c>
      <c r="M122" s="16">
        <f t="shared" si="3"/>
        <v>0</v>
      </c>
      <c r="N122" s="16">
        <f t="shared" si="4"/>
        <v>0</v>
      </c>
      <c r="O122" s="16">
        <f t="shared" si="5"/>
        <v>0</v>
      </c>
      <c r="P122" s="16">
        <f t="shared" si="6"/>
        <v>0</v>
      </c>
      <c r="Q122" s="16">
        <f t="shared" si="7"/>
        <v>0</v>
      </c>
    </row>
    <row r="123" ht="18.75" customHeight="1" spans="1:17">
      <c r="A123" s="10"/>
      <c r="B123" s="10"/>
      <c r="C123" s="10"/>
      <c r="D123" s="10"/>
      <c r="E123" s="10"/>
      <c r="F123" s="10"/>
      <c r="G123" s="10"/>
      <c r="H123" s="15" t="str">
        <f t="shared" si="0"/>
        <v/>
      </c>
      <c r="I123" s="16" t="str">
        <f t="shared" si="1"/>
        <v/>
      </c>
      <c r="J123" s="17"/>
      <c r="K123" s="17"/>
      <c r="L123" s="16">
        <f t="shared" si="2"/>
        <v>0</v>
      </c>
      <c r="M123" s="16">
        <f t="shared" si="3"/>
        <v>0</v>
      </c>
      <c r="N123" s="16">
        <f t="shared" si="4"/>
        <v>0</v>
      </c>
      <c r="O123" s="16">
        <f t="shared" si="5"/>
        <v>0</v>
      </c>
      <c r="P123" s="16">
        <f t="shared" si="6"/>
        <v>0</v>
      </c>
      <c r="Q123" s="16">
        <f t="shared" si="7"/>
        <v>0</v>
      </c>
    </row>
    <row r="124" ht="18.75" customHeight="1" spans="1:17">
      <c r="A124" s="10"/>
      <c r="B124" s="10"/>
      <c r="C124" s="10"/>
      <c r="D124" s="10"/>
      <c r="E124" s="10"/>
      <c r="F124" s="10"/>
      <c r="G124" s="10"/>
      <c r="H124" s="15" t="str">
        <f t="shared" si="0"/>
        <v/>
      </c>
      <c r="I124" s="16" t="str">
        <f t="shared" si="1"/>
        <v/>
      </c>
      <c r="J124" s="17"/>
      <c r="K124" s="17"/>
      <c r="L124" s="16">
        <f t="shared" si="2"/>
        <v>0</v>
      </c>
      <c r="M124" s="16">
        <f t="shared" si="3"/>
        <v>0</v>
      </c>
      <c r="N124" s="16">
        <f t="shared" si="4"/>
        <v>0</v>
      </c>
      <c r="O124" s="16">
        <f t="shared" si="5"/>
        <v>0</v>
      </c>
      <c r="P124" s="16">
        <f t="shared" si="6"/>
        <v>0</v>
      </c>
      <c r="Q124" s="16">
        <f t="shared" si="7"/>
        <v>0</v>
      </c>
    </row>
    <row r="125" ht="18.75" customHeight="1" spans="1:17">
      <c r="A125" s="10"/>
      <c r="B125" s="10"/>
      <c r="C125" s="10"/>
      <c r="D125" s="10"/>
      <c r="E125" s="10"/>
      <c r="F125" s="10"/>
      <c r="G125" s="10"/>
      <c r="H125" s="15" t="str">
        <f t="shared" si="0"/>
        <v/>
      </c>
      <c r="I125" s="16" t="str">
        <f t="shared" si="1"/>
        <v/>
      </c>
      <c r="J125" s="17"/>
      <c r="K125" s="17"/>
      <c r="L125" s="16">
        <f t="shared" si="2"/>
        <v>0</v>
      </c>
      <c r="M125" s="16">
        <f t="shared" si="3"/>
        <v>0</v>
      </c>
      <c r="N125" s="16">
        <f t="shared" si="4"/>
        <v>0</v>
      </c>
      <c r="O125" s="16">
        <f t="shared" si="5"/>
        <v>0</v>
      </c>
      <c r="P125" s="16">
        <f t="shared" si="6"/>
        <v>0</v>
      </c>
      <c r="Q125" s="16">
        <f t="shared" si="7"/>
        <v>0</v>
      </c>
    </row>
    <row r="126" ht="18.75" customHeight="1" spans="1:17">
      <c r="A126" s="10"/>
      <c r="B126" s="10"/>
      <c r="C126" s="10"/>
      <c r="D126" s="10"/>
      <c r="E126" s="10"/>
      <c r="F126" s="10"/>
      <c r="G126" s="10"/>
      <c r="H126" s="15" t="str">
        <f t="shared" si="0"/>
        <v/>
      </c>
      <c r="I126" s="16" t="str">
        <f t="shared" si="1"/>
        <v/>
      </c>
      <c r="J126" s="17"/>
      <c r="K126" s="17"/>
      <c r="L126" s="16">
        <f t="shared" si="2"/>
        <v>0</v>
      </c>
      <c r="M126" s="16">
        <f t="shared" si="3"/>
        <v>0</v>
      </c>
      <c r="N126" s="16">
        <f t="shared" si="4"/>
        <v>0</v>
      </c>
      <c r="O126" s="16">
        <f t="shared" si="5"/>
        <v>0</v>
      </c>
      <c r="P126" s="16">
        <f t="shared" si="6"/>
        <v>0</v>
      </c>
      <c r="Q126" s="16">
        <f t="shared" si="7"/>
        <v>0</v>
      </c>
    </row>
    <row r="127" ht="18.75" customHeight="1" spans="1:17">
      <c r="A127" s="10"/>
      <c r="B127" s="10"/>
      <c r="C127" s="10"/>
      <c r="D127" s="10"/>
      <c r="E127" s="10"/>
      <c r="F127" s="10"/>
      <c r="G127" s="10"/>
      <c r="H127" s="15" t="str">
        <f t="shared" si="0"/>
        <v/>
      </c>
      <c r="I127" s="16" t="str">
        <f t="shared" si="1"/>
        <v/>
      </c>
      <c r="J127" s="17"/>
      <c r="K127" s="17"/>
      <c r="L127" s="16">
        <f t="shared" si="2"/>
        <v>0</v>
      </c>
      <c r="M127" s="16">
        <f t="shared" si="3"/>
        <v>0</v>
      </c>
      <c r="N127" s="16">
        <f t="shared" si="4"/>
        <v>0</v>
      </c>
      <c r="O127" s="16">
        <f t="shared" si="5"/>
        <v>0</v>
      </c>
      <c r="P127" s="16">
        <f t="shared" si="6"/>
        <v>0</v>
      </c>
      <c r="Q127" s="16">
        <f t="shared" si="7"/>
        <v>0</v>
      </c>
    </row>
    <row r="128" ht="18.75" customHeight="1" spans="1:17">
      <c r="A128" s="10"/>
      <c r="B128" s="10"/>
      <c r="C128" s="10"/>
      <c r="D128" s="10"/>
      <c r="E128" s="10"/>
      <c r="F128" s="10"/>
      <c r="G128" s="10"/>
      <c r="H128" s="15" t="str">
        <f t="shared" si="0"/>
        <v/>
      </c>
      <c r="I128" s="16" t="str">
        <f t="shared" si="1"/>
        <v/>
      </c>
      <c r="J128" s="17"/>
      <c r="K128" s="17"/>
      <c r="L128" s="16">
        <f t="shared" si="2"/>
        <v>0</v>
      </c>
      <c r="M128" s="16">
        <f t="shared" si="3"/>
        <v>0</v>
      </c>
      <c r="N128" s="16">
        <f t="shared" si="4"/>
        <v>0</v>
      </c>
      <c r="O128" s="16">
        <f t="shared" si="5"/>
        <v>0</v>
      </c>
      <c r="P128" s="16">
        <f t="shared" si="6"/>
        <v>0</v>
      </c>
      <c r="Q128" s="16">
        <f t="shared" si="7"/>
        <v>0</v>
      </c>
    </row>
    <row r="129" ht="18.75" customHeight="1" spans="1:17">
      <c r="A129" s="10"/>
      <c r="B129" s="10"/>
      <c r="C129" s="10"/>
      <c r="D129" s="10"/>
      <c r="E129" s="10"/>
      <c r="F129" s="10"/>
      <c r="G129" s="10"/>
      <c r="H129" s="15" t="str">
        <f t="shared" si="0"/>
        <v/>
      </c>
      <c r="I129" s="16" t="str">
        <f t="shared" si="1"/>
        <v/>
      </c>
      <c r="J129" s="17"/>
      <c r="K129" s="17"/>
      <c r="L129" s="16">
        <f t="shared" si="2"/>
        <v>0</v>
      </c>
      <c r="M129" s="16">
        <f t="shared" si="3"/>
        <v>0</v>
      </c>
      <c r="N129" s="16">
        <f t="shared" si="4"/>
        <v>0</v>
      </c>
      <c r="O129" s="16">
        <f t="shared" si="5"/>
        <v>0</v>
      </c>
      <c r="P129" s="16">
        <f t="shared" si="6"/>
        <v>0</v>
      </c>
      <c r="Q129" s="16">
        <f t="shared" si="7"/>
        <v>0</v>
      </c>
    </row>
    <row r="130" ht="18.75" customHeight="1" spans="1:17">
      <c r="A130" s="10"/>
      <c r="B130" s="10"/>
      <c r="C130" s="10"/>
      <c r="D130" s="10"/>
      <c r="E130" s="10"/>
      <c r="F130" s="10"/>
      <c r="G130" s="10"/>
      <c r="H130" s="15" t="str">
        <f t="shared" si="0"/>
        <v/>
      </c>
      <c r="I130" s="16" t="str">
        <f t="shared" si="1"/>
        <v/>
      </c>
      <c r="J130" s="17"/>
      <c r="K130" s="17"/>
      <c r="L130" s="16">
        <f t="shared" si="2"/>
        <v>0</v>
      </c>
      <c r="M130" s="16">
        <f t="shared" si="3"/>
        <v>0</v>
      </c>
      <c r="N130" s="16">
        <f t="shared" si="4"/>
        <v>0</v>
      </c>
      <c r="O130" s="16">
        <f t="shared" si="5"/>
        <v>0</v>
      </c>
      <c r="P130" s="16">
        <f t="shared" si="6"/>
        <v>0</v>
      </c>
      <c r="Q130" s="16">
        <f t="shared" si="7"/>
        <v>0</v>
      </c>
    </row>
    <row r="131" ht="18.75" customHeight="1" spans="1:17">
      <c r="A131" s="10"/>
      <c r="B131" s="10"/>
      <c r="C131" s="10"/>
      <c r="D131" s="10"/>
      <c r="E131" s="10"/>
      <c r="F131" s="10"/>
      <c r="G131" s="10"/>
      <c r="H131" s="15" t="str">
        <f t="shared" si="0"/>
        <v/>
      </c>
      <c r="I131" s="16" t="str">
        <f t="shared" si="1"/>
        <v/>
      </c>
      <c r="J131" s="17"/>
      <c r="K131" s="17"/>
      <c r="L131" s="16">
        <f t="shared" si="2"/>
        <v>0</v>
      </c>
      <c r="M131" s="16">
        <f t="shared" si="3"/>
        <v>0</v>
      </c>
      <c r="N131" s="16">
        <f t="shared" si="4"/>
        <v>0</v>
      </c>
      <c r="O131" s="16">
        <f t="shared" si="5"/>
        <v>0</v>
      </c>
      <c r="P131" s="16">
        <f t="shared" si="6"/>
        <v>0</v>
      </c>
      <c r="Q131" s="16">
        <f t="shared" si="7"/>
        <v>0</v>
      </c>
    </row>
    <row r="132" ht="18.75" customHeight="1" spans="1:17">
      <c r="A132" s="10"/>
      <c r="B132" s="10"/>
      <c r="C132" s="10"/>
      <c r="D132" s="10"/>
      <c r="E132" s="10"/>
      <c r="F132" s="10"/>
      <c r="G132" s="10"/>
      <c r="H132" s="15" t="str">
        <f t="shared" si="0"/>
        <v/>
      </c>
      <c r="I132" s="16" t="str">
        <f t="shared" si="1"/>
        <v/>
      </c>
      <c r="J132" s="17"/>
      <c r="K132" s="17"/>
      <c r="L132" s="16">
        <f t="shared" si="2"/>
        <v>0</v>
      </c>
      <c r="M132" s="16">
        <f t="shared" si="3"/>
        <v>0</v>
      </c>
      <c r="N132" s="16">
        <f t="shared" si="4"/>
        <v>0</v>
      </c>
      <c r="O132" s="16">
        <f t="shared" si="5"/>
        <v>0</v>
      </c>
      <c r="P132" s="16">
        <f t="shared" si="6"/>
        <v>0</v>
      </c>
      <c r="Q132" s="16">
        <f t="shared" si="7"/>
        <v>0</v>
      </c>
    </row>
    <row r="133" ht="18.75" customHeight="1" spans="1:17">
      <c r="A133" s="10"/>
      <c r="B133" s="10"/>
      <c r="C133" s="10"/>
      <c r="D133" s="10"/>
      <c r="E133" s="10"/>
      <c r="F133" s="10"/>
      <c r="G133" s="10"/>
      <c r="H133" s="15" t="str">
        <f t="shared" si="0"/>
        <v/>
      </c>
      <c r="I133" s="16" t="str">
        <f t="shared" si="1"/>
        <v/>
      </c>
      <c r="J133" s="17"/>
      <c r="K133" s="17"/>
      <c r="L133" s="16">
        <f t="shared" si="2"/>
        <v>0</v>
      </c>
      <c r="M133" s="16">
        <f t="shared" si="3"/>
        <v>0</v>
      </c>
      <c r="N133" s="16">
        <f t="shared" si="4"/>
        <v>0</v>
      </c>
      <c r="O133" s="16">
        <f t="shared" si="5"/>
        <v>0</v>
      </c>
      <c r="P133" s="16">
        <f t="shared" si="6"/>
        <v>0</v>
      </c>
      <c r="Q133" s="16">
        <f t="shared" si="7"/>
        <v>0</v>
      </c>
    </row>
    <row r="134" ht="18.75" customHeight="1" spans="1:17">
      <c r="A134" s="10"/>
      <c r="B134" s="10"/>
      <c r="C134" s="10"/>
      <c r="D134" s="10"/>
      <c r="E134" s="10"/>
      <c r="F134" s="10"/>
      <c r="G134" s="10"/>
      <c r="H134" s="15" t="str">
        <f t="shared" si="0"/>
        <v/>
      </c>
      <c r="I134" s="16" t="str">
        <f t="shared" si="1"/>
        <v/>
      </c>
      <c r="J134" s="17"/>
      <c r="K134" s="17"/>
      <c r="L134" s="16">
        <f t="shared" si="2"/>
        <v>0</v>
      </c>
      <c r="M134" s="16">
        <f t="shared" si="3"/>
        <v>0</v>
      </c>
      <c r="N134" s="16">
        <f t="shared" si="4"/>
        <v>0</v>
      </c>
      <c r="O134" s="16">
        <f t="shared" si="5"/>
        <v>0</v>
      </c>
      <c r="P134" s="16">
        <f t="shared" si="6"/>
        <v>0</v>
      </c>
      <c r="Q134" s="16">
        <f t="shared" si="7"/>
        <v>0</v>
      </c>
    </row>
    <row r="135" ht="18.75" customHeight="1" spans="1:17">
      <c r="A135" s="10"/>
      <c r="B135" s="10"/>
      <c r="C135" s="10"/>
      <c r="D135" s="10"/>
      <c r="E135" s="10"/>
      <c r="F135" s="10"/>
      <c r="G135" s="10"/>
      <c r="H135" s="15" t="str">
        <f t="shared" si="0"/>
        <v/>
      </c>
      <c r="I135" s="16" t="str">
        <f t="shared" si="1"/>
        <v/>
      </c>
      <c r="J135" s="17"/>
      <c r="K135" s="17"/>
      <c r="L135" s="16">
        <f t="shared" si="2"/>
        <v>0</v>
      </c>
      <c r="M135" s="16">
        <f t="shared" si="3"/>
        <v>0</v>
      </c>
      <c r="N135" s="16">
        <f t="shared" si="4"/>
        <v>0</v>
      </c>
      <c r="O135" s="16">
        <f t="shared" si="5"/>
        <v>0</v>
      </c>
      <c r="P135" s="16">
        <f t="shared" si="6"/>
        <v>0</v>
      </c>
      <c r="Q135" s="16">
        <f t="shared" si="7"/>
        <v>0</v>
      </c>
    </row>
    <row r="136" ht="18.75" customHeight="1" spans="1:17">
      <c r="A136" s="10"/>
      <c r="B136" s="10"/>
      <c r="C136" s="10"/>
      <c r="D136" s="10"/>
      <c r="E136" s="10"/>
      <c r="F136" s="10"/>
      <c r="G136" s="10"/>
      <c r="H136" s="15" t="str">
        <f t="shared" si="0"/>
        <v/>
      </c>
      <c r="I136" s="16" t="str">
        <f t="shared" si="1"/>
        <v/>
      </c>
      <c r="J136" s="17"/>
      <c r="K136" s="17"/>
      <c r="L136" s="16">
        <f t="shared" si="2"/>
        <v>0</v>
      </c>
      <c r="M136" s="16">
        <f t="shared" si="3"/>
        <v>0</v>
      </c>
      <c r="N136" s="16">
        <f t="shared" si="4"/>
        <v>0</v>
      </c>
      <c r="O136" s="16">
        <f t="shared" si="5"/>
        <v>0</v>
      </c>
      <c r="P136" s="16">
        <f t="shared" si="6"/>
        <v>0</v>
      </c>
      <c r="Q136" s="16">
        <f t="shared" si="7"/>
        <v>0</v>
      </c>
    </row>
    <row r="137" ht="18.75" customHeight="1" spans="1:17">
      <c r="A137" s="10"/>
      <c r="B137" s="10"/>
      <c r="C137" s="10"/>
      <c r="D137" s="10"/>
      <c r="E137" s="10"/>
      <c r="F137" s="10"/>
      <c r="G137" s="10"/>
      <c r="H137" s="15" t="str">
        <f t="shared" si="0"/>
        <v/>
      </c>
      <c r="I137" s="16" t="str">
        <f t="shared" si="1"/>
        <v/>
      </c>
      <c r="J137" s="17"/>
      <c r="K137" s="17"/>
      <c r="L137" s="16">
        <f t="shared" si="2"/>
        <v>0</v>
      </c>
      <c r="M137" s="16">
        <f t="shared" si="3"/>
        <v>0</v>
      </c>
      <c r="N137" s="16">
        <f t="shared" si="4"/>
        <v>0</v>
      </c>
      <c r="O137" s="16">
        <f t="shared" si="5"/>
        <v>0</v>
      </c>
      <c r="P137" s="16">
        <f t="shared" si="6"/>
        <v>0</v>
      </c>
      <c r="Q137" s="16">
        <f t="shared" si="7"/>
        <v>0</v>
      </c>
    </row>
    <row r="138" ht="18.75" customHeight="1" spans="1:17">
      <c r="A138" s="10"/>
      <c r="B138" s="10"/>
      <c r="C138" s="10"/>
      <c r="D138" s="10"/>
      <c r="E138" s="10"/>
      <c r="F138" s="10"/>
      <c r="G138" s="10"/>
      <c r="H138" s="15" t="str">
        <f t="shared" si="0"/>
        <v/>
      </c>
      <c r="I138" s="16" t="str">
        <f t="shared" si="1"/>
        <v/>
      </c>
      <c r="J138" s="17"/>
      <c r="K138" s="17"/>
      <c r="L138" s="16">
        <f t="shared" si="2"/>
        <v>0</v>
      </c>
      <c r="M138" s="16">
        <f t="shared" si="3"/>
        <v>0</v>
      </c>
      <c r="N138" s="16">
        <f t="shared" si="4"/>
        <v>0</v>
      </c>
      <c r="O138" s="16">
        <f t="shared" si="5"/>
        <v>0</v>
      </c>
      <c r="P138" s="16">
        <f t="shared" si="6"/>
        <v>0</v>
      </c>
      <c r="Q138" s="16">
        <f t="shared" si="7"/>
        <v>0</v>
      </c>
    </row>
    <row r="139" ht="18.75" customHeight="1" spans="1:17">
      <c r="A139" s="10"/>
      <c r="B139" s="10"/>
      <c r="C139" s="10"/>
      <c r="D139" s="10"/>
      <c r="E139" s="10"/>
      <c r="F139" s="10"/>
      <c r="G139" s="10"/>
      <c r="H139" s="15" t="str">
        <f t="shared" si="0"/>
        <v/>
      </c>
      <c r="I139" s="16" t="str">
        <f t="shared" si="1"/>
        <v/>
      </c>
      <c r="J139" s="17"/>
      <c r="K139" s="17"/>
      <c r="L139" s="16">
        <f t="shared" si="2"/>
        <v>0</v>
      </c>
      <c r="M139" s="16">
        <f t="shared" si="3"/>
        <v>0</v>
      </c>
      <c r="N139" s="16">
        <f t="shared" si="4"/>
        <v>0</v>
      </c>
      <c r="O139" s="16">
        <f t="shared" si="5"/>
        <v>0</v>
      </c>
      <c r="P139" s="16">
        <f t="shared" si="6"/>
        <v>0</v>
      </c>
      <c r="Q139" s="16">
        <f t="shared" si="7"/>
        <v>0</v>
      </c>
    </row>
    <row r="140" ht="18.75" customHeight="1" spans="1:17">
      <c r="A140" s="10"/>
      <c r="B140" s="10"/>
      <c r="C140" s="10"/>
      <c r="D140" s="10"/>
      <c r="E140" s="10"/>
      <c r="F140" s="10"/>
      <c r="G140" s="10"/>
      <c r="H140" s="15" t="str">
        <f t="shared" si="0"/>
        <v/>
      </c>
      <c r="I140" s="16" t="str">
        <f t="shared" si="1"/>
        <v/>
      </c>
      <c r="J140" s="17"/>
      <c r="K140" s="17"/>
      <c r="L140" s="16">
        <f t="shared" si="2"/>
        <v>0</v>
      </c>
      <c r="M140" s="16">
        <f t="shared" si="3"/>
        <v>0</v>
      </c>
      <c r="N140" s="16">
        <f t="shared" si="4"/>
        <v>0</v>
      </c>
      <c r="O140" s="16">
        <f t="shared" si="5"/>
        <v>0</v>
      </c>
      <c r="P140" s="16">
        <f t="shared" si="6"/>
        <v>0</v>
      </c>
      <c r="Q140" s="16">
        <f t="shared" si="7"/>
        <v>0</v>
      </c>
    </row>
    <row r="141" ht="18.75" customHeight="1" spans="1:17">
      <c r="A141" s="10"/>
      <c r="B141" s="10"/>
      <c r="C141" s="10"/>
      <c r="D141" s="10"/>
      <c r="E141" s="10"/>
      <c r="F141" s="10"/>
      <c r="G141" s="10"/>
      <c r="H141" s="15" t="str">
        <f t="shared" si="0"/>
        <v/>
      </c>
      <c r="I141" s="16" t="str">
        <f t="shared" si="1"/>
        <v/>
      </c>
      <c r="J141" s="17"/>
      <c r="K141" s="17"/>
      <c r="L141" s="16">
        <f t="shared" si="2"/>
        <v>0</v>
      </c>
      <c r="M141" s="16">
        <f t="shared" si="3"/>
        <v>0</v>
      </c>
      <c r="N141" s="16">
        <f t="shared" si="4"/>
        <v>0</v>
      </c>
      <c r="O141" s="16">
        <f t="shared" si="5"/>
        <v>0</v>
      </c>
      <c r="P141" s="16">
        <f t="shared" si="6"/>
        <v>0</v>
      </c>
      <c r="Q141" s="16">
        <f t="shared" si="7"/>
        <v>0</v>
      </c>
    </row>
    <row r="142" ht="18.75" customHeight="1" spans="1:17">
      <c r="A142" s="10"/>
      <c r="B142" s="10"/>
      <c r="C142" s="10"/>
      <c r="D142" s="10"/>
      <c r="E142" s="10"/>
      <c r="F142" s="10"/>
      <c r="G142" s="10"/>
      <c r="H142" s="15" t="str">
        <f t="shared" si="0"/>
        <v/>
      </c>
      <c r="I142" s="16" t="str">
        <f t="shared" si="1"/>
        <v/>
      </c>
      <c r="J142" s="17"/>
      <c r="K142" s="17"/>
      <c r="L142" s="16">
        <f t="shared" si="2"/>
        <v>0</v>
      </c>
      <c r="M142" s="16">
        <f t="shared" si="3"/>
        <v>0</v>
      </c>
      <c r="N142" s="16">
        <f t="shared" si="4"/>
        <v>0</v>
      </c>
      <c r="O142" s="16">
        <f t="shared" si="5"/>
        <v>0</v>
      </c>
      <c r="P142" s="16">
        <f t="shared" si="6"/>
        <v>0</v>
      </c>
      <c r="Q142" s="16">
        <f t="shared" si="7"/>
        <v>0</v>
      </c>
    </row>
    <row r="143" ht="18.75" customHeight="1" spans="1:17">
      <c r="A143" s="10"/>
      <c r="B143" s="10"/>
      <c r="C143" s="10"/>
      <c r="D143" s="10"/>
      <c r="E143" s="10"/>
      <c r="F143" s="10"/>
      <c r="G143" s="10"/>
      <c r="H143" s="15" t="str">
        <f t="shared" si="0"/>
        <v/>
      </c>
      <c r="I143" s="16" t="str">
        <f t="shared" si="1"/>
        <v/>
      </c>
      <c r="J143" s="17"/>
      <c r="K143" s="17"/>
      <c r="L143" s="16">
        <f t="shared" si="2"/>
        <v>0</v>
      </c>
      <c r="M143" s="16">
        <f t="shared" si="3"/>
        <v>0</v>
      </c>
      <c r="N143" s="16">
        <f t="shared" si="4"/>
        <v>0</v>
      </c>
      <c r="O143" s="16">
        <f t="shared" si="5"/>
        <v>0</v>
      </c>
      <c r="P143" s="16">
        <f t="shared" si="6"/>
        <v>0</v>
      </c>
      <c r="Q143" s="16">
        <f t="shared" si="7"/>
        <v>0</v>
      </c>
    </row>
    <row r="144" ht="18.75" customHeight="1" spans="1:17">
      <c r="A144" s="10"/>
      <c r="B144" s="10"/>
      <c r="C144" s="10"/>
      <c r="D144" s="10"/>
      <c r="E144" s="10"/>
      <c r="F144" s="10"/>
      <c r="G144" s="10"/>
      <c r="H144" s="15" t="str">
        <f t="shared" si="0"/>
        <v/>
      </c>
      <c r="I144" s="16" t="str">
        <f t="shared" si="1"/>
        <v/>
      </c>
      <c r="J144" s="17"/>
      <c r="K144" s="17"/>
      <c r="L144" s="16">
        <f t="shared" si="2"/>
        <v>0</v>
      </c>
      <c r="M144" s="16">
        <f t="shared" si="3"/>
        <v>0</v>
      </c>
      <c r="N144" s="16">
        <f t="shared" si="4"/>
        <v>0</v>
      </c>
      <c r="O144" s="16">
        <f t="shared" si="5"/>
        <v>0</v>
      </c>
      <c r="P144" s="16">
        <f t="shared" si="6"/>
        <v>0</v>
      </c>
      <c r="Q144" s="16">
        <f t="shared" si="7"/>
        <v>0</v>
      </c>
    </row>
    <row r="145" ht="18.75" customHeight="1" spans="1:17">
      <c r="A145" s="10"/>
      <c r="B145" s="10"/>
      <c r="C145" s="10"/>
      <c r="D145" s="10"/>
      <c r="E145" s="10"/>
      <c r="F145" s="10"/>
      <c r="G145" s="10"/>
      <c r="H145" s="15" t="str">
        <f t="shared" si="0"/>
        <v/>
      </c>
      <c r="I145" s="16" t="str">
        <f t="shared" si="1"/>
        <v/>
      </c>
      <c r="J145" s="17"/>
      <c r="K145" s="17"/>
      <c r="L145" s="16">
        <f t="shared" si="2"/>
        <v>0</v>
      </c>
      <c r="M145" s="16">
        <f t="shared" si="3"/>
        <v>0</v>
      </c>
      <c r="N145" s="16">
        <f t="shared" si="4"/>
        <v>0</v>
      </c>
      <c r="O145" s="16">
        <f t="shared" si="5"/>
        <v>0</v>
      </c>
      <c r="P145" s="16">
        <f t="shared" si="6"/>
        <v>0</v>
      </c>
      <c r="Q145" s="16">
        <f t="shared" si="7"/>
        <v>0</v>
      </c>
    </row>
    <row r="146" ht="18.75" customHeight="1" spans="1:17">
      <c r="A146" s="10"/>
      <c r="B146" s="10"/>
      <c r="C146" s="10"/>
      <c r="D146" s="10"/>
      <c r="E146" s="10"/>
      <c r="F146" s="10"/>
      <c r="G146" s="10"/>
      <c r="H146" s="15" t="str">
        <f t="shared" si="0"/>
        <v/>
      </c>
      <c r="I146" s="16" t="str">
        <f t="shared" si="1"/>
        <v/>
      </c>
      <c r="J146" s="17"/>
      <c r="K146" s="17"/>
      <c r="L146" s="16">
        <f t="shared" si="2"/>
        <v>0</v>
      </c>
      <c r="M146" s="16">
        <f t="shared" si="3"/>
        <v>0</v>
      </c>
      <c r="N146" s="16">
        <f t="shared" si="4"/>
        <v>0</v>
      </c>
      <c r="O146" s="16">
        <f t="shared" si="5"/>
        <v>0</v>
      </c>
      <c r="P146" s="16">
        <f t="shared" si="6"/>
        <v>0</v>
      </c>
      <c r="Q146" s="16">
        <f t="shared" si="7"/>
        <v>0</v>
      </c>
    </row>
    <row r="147" ht="18.75" customHeight="1" spans="1:17">
      <c r="A147" s="10"/>
      <c r="B147" s="10"/>
      <c r="C147" s="10"/>
      <c r="D147" s="10"/>
      <c r="E147" s="10"/>
      <c r="F147" s="10"/>
      <c r="G147" s="10"/>
      <c r="H147" s="15" t="str">
        <f t="shared" si="0"/>
        <v/>
      </c>
      <c r="I147" s="16" t="str">
        <f t="shared" si="1"/>
        <v/>
      </c>
      <c r="J147" s="17"/>
      <c r="K147" s="17"/>
      <c r="L147" s="16">
        <f t="shared" si="2"/>
        <v>0</v>
      </c>
      <c r="M147" s="16">
        <f t="shared" si="3"/>
        <v>0</v>
      </c>
      <c r="N147" s="16">
        <f t="shared" si="4"/>
        <v>0</v>
      </c>
      <c r="O147" s="16">
        <f t="shared" si="5"/>
        <v>0</v>
      </c>
      <c r="P147" s="16">
        <f t="shared" si="6"/>
        <v>0</v>
      </c>
      <c r="Q147" s="16">
        <f t="shared" si="7"/>
        <v>0</v>
      </c>
    </row>
    <row r="148" ht="18.75" customHeight="1" spans="1:17">
      <c r="A148" s="10"/>
      <c r="B148" s="10"/>
      <c r="C148" s="10"/>
      <c r="D148" s="10"/>
      <c r="E148" s="10"/>
      <c r="F148" s="10"/>
      <c r="G148" s="10"/>
      <c r="H148" s="15" t="str">
        <f t="shared" si="0"/>
        <v/>
      </c>
      <c r="I148" s="16" t="str">
        <f t="shared" si="1"/>
        <v/>
      </c>
      <c r="J148" s="17"/>
      <c r="K148" s="17"/>
      <c r="L148" s="16">
        <f t="shared" si="2"/>
        <v>0</v>
      </c>
      <c r="M148" s="16">
        <f t="shared" si="3"/>
        <v>0</v>
      </c>
      <c r="N148" s="16">
        <f t="shared" si="4"/>
        <v>0</v>
      </c>
      <c r="O148" s="16">
        <f t="shared" si="5"/>
        <v>0</v>
      </c>
      <c r="P148" s="16">
        <f t="shared" si="6"/>
        <v>0</v>
      </c>
      <c r="Q148" s="16">
        <f t="shared" si="7"/>
        <v>0</v>
      </c>
    </row>
    <row r="149" ht="18.75" customHeight="1" spans="1:17">
      <c r="A149" s="10"/>
      <c r="B149" s="10"/>
      <c r="C149" s="10"/>
      <c r="D149" s="10"/>
      <c r="E149" s="10"/>
      <c r="F149" s="10"/>
      <c r="G149" s="10"/>
      <c r="H149" s="15" t="str">
        <f t="shared" si="0"/>
        <v/>
      </c>
      <c r="I149" s="16" t="str">
        <f t="shared" si="1"/>
        <v/>
      </c>
      <c r="J149" s="17"/>
      <c r="K149" s="17"/>
      <c r="L149" s="16">
        <f t="shared" si="2"/>
        <v>0</v>
      </c>
      <c r="M149" s="16">
        <f t="shared" si="3"/>
        <v>0</v>
      </c>
      <c r="N149" s="16">
        <f t="shared" si="4"/>
        <v>0</v>
      </c>
      <c r="O149" s="16">
        <f t="shared" si="5"/>
        <v>0</v>
      </c>
      <c r="P149" s="16">
        <f t="shared" si="6"/>
        <v>0</v>
      </c>
      <c r="Q149" s="16">
        <f t="shared" si="7"/>
        <v>0</v>
      </c>
    </row>
    <row r="150" ht="18.75" customHeight="1" spans="1:17">
      <c r="A150" s="10"/>
      <c r="B150" s="10"/>
      <c r="C150" s="10"/>
      <c r="D150" s="10"/>
      <c r="E150" s="10"/>
      <c r="F150" s="10"/>
      <c r="G150" s="10"/>
      <c r="H150" s="15" t="str">
        <f t="shared" si="0"/>
        <v/>
      </c>
      <c r="I150" s="16" t="str">
        <f t="shared" si="1"/>
        <v/>
      </c>
      <c r="J150" s="17"/>
      <c r="K150" s="17"/>
      <c r="L150" s="16">
        <f t="shared" si="2"/>
        <v>0</v>
      </c>
      <c r="M150" s="16">
        <f t="shared" si="3"/>
        <v>0</v>
      </c>
      <c r="N150" s="16">
        <f t="shared" si="4"/>
        <v>0</v>
      </c>
      <c r="O150" s="16">
        <f t="shared" si="5"/>
        <v>0</v>
      </c>
      <c r="P150" s="16">
        <f t="shared" si="6"/>
        <v>0</v>
      </c>
      <c r="Q150" s="16">
        <f t="shared" si="7"/>
        <v>0</v>
      </c>
    </row>
    <row r="151" ht="18.75" customHeight="1" spans="1:17">
      <c r="A151" s="10"/>
      <c r="B151" s="10"/>
      <c r="C151" s="10"/>
      <c r="D151" s="10"/>
      <c r="E151" s="10"/>
      <c r="F151" s="10"/>
      <c r="G151" s="10"/>
      <c r="H151" s="15" t="str">
        <f t="shared" si="0"/>
        <v/>
      </c>
      <c r="I151" s="16" t="str">
        <f t="shared" si="1"/>
        <v/>
      </c>
      <c r="J151" s="17"/>
      <c r="K151" s="17"/>
      <c r="L151" s="16">
        <f t="shared" si="2"/>
        <v>0</v>
      </c>
      <c r="M151" s="16">
        <f t="shared" si="3"/>
        <v>0</v>
      </c>
      <c r="N151" s="16">
        <f t="shared" si="4"/>
        <v>0</v>
      </c>
      <c r="O151" s="16">
        <f t="shared" si="5"/>
        <v>0</v>
      </c>
      <c r="P151" s="16">
        <f t="shared" si="6"/>
        <v>0</v>
      </c>
      <c r="Q151" s="16">
        <f t="shared" si="7"/>
        <v>0</v>
      </c>
    </row>
    <row r="152" ht="18.75" customHeight="1" spans="1:17">
      <c r="A152" s="10"/>
      <c r="B152" s="10"/>
      <c r="C152" s="10"/>
      <c r="D152" s="10"/>
      <c r="E152" s="10"/>
      <c r="F152" s="10"/>
      <c r="G152" s="10"/>
      <c r="H152" s="15" t="str">
        <f t="shared" si="0"/>
        <v/>
      </c>
      <c r="I152" s="16" t="str">
        <f t="shared" si="1"/>
        <v/>
      </c>
      <c r="J152" s="17"/>
      <c r="K152" s="17"/>
      <c r="L152" s="16">
        <f t="shared" si="2"/>
        <v>0</v>
      </c>
      <c r="M152" s="16">
        <f t="shared" si="3"/>
        <v>0</v>
      </c>
      <c r="N152" s="16">
        <f t="shared" si="4"/>
        <v>0</v>
      </c>
      <c r="O152" s="16">
        <f t="shared" si="5"/>
        <v>0</v>
      </c>
      <c r="P152" s="16">
        <f t="shared" si="6"/>
        <v>0</v>
      </c>
      <c r="Q152" s="16">
        <f t="shared" si="7"/>
        <v>0</v>
      </c>
    </row>
    <row r="153" ht="18.75" customHeight="1" spans="1:17">
      <c r="A153" s="10"/>
      <c r="B153" s="10"/>
      <c r="C153" s="10"/>
      <c r="D153" s="10"/>
      <c r="E153" s="10"/>
      <c r="F153" s="10"/>
      <c r="G153" s="10"/>
      <c r="H153" s="15" t="str">
        <f t="shared" si="0"/>
        <v/>
      </c>
      <c r="I153" s="16" t="str">
        <f t="shared" si="1"/>
        <v/>
      </c>
      <c r="J153" s="17"/>
      <c r="K153" s="17"/>
      <c r="L153" s="16">
        <f t="shared" si="2"/>
        <v>0</v>
      </c>
      <c r="M153" s="16">
        <f t="shared" si="3"/>
        <v>0</v>
      </c>
      <c r="N153" s="16">
        <f t="shared" si="4"/>
        <v>0</v>
      </c>
      <c r="O153" s="16">
        <f t="shared" si="5"/>
        <v>0</v>
      </c>
      <c r="P153" s="16">
        <f t="shared" si="6"/>
        <v>0</v>
      </c>
      <c r="Q153" s="16">
        <f t="shared" si="7"/>
        <v>0</v>
      </c>
    </row>
    <row r="154" ht="18.75" customHeight="1" spans="1:17">
      <c r="A154" s="10"/>
      <c r="B154" s="10"/>
      <c r="C154" s="10"/>
      <c r="D154" s="10"/>
      <c r="E154" s="10"/>
      <c r="F154" s="10"/>
      <c r="G154" s="10"/>
      <c r="H154" s="15" t="str">
        <f t="shared" si="0"/>
        <v/>
      </c>
      <c r="I154" s="16" t="str">
        <f t="shared" si="1"/>
        <v/>
      </c>
      <c r="J154" s="17"/>
      <c r="K154" s="17"/>
      <c r="L154" s="16">
        <f t="shared" si="2"/>
        <v>0</v>
      </c>
      <c r="M154" s="16">
        <f t="shared" si="3"/>
        <v>0</v>
      </c>
      <c r="N154" s="16">
        <f t="shared" si="4"/>
        <v>0</v>
      </c>
      <c r="O154" s="16">
        <f t="shared" si="5"/>
        <v>0</v>
      </c>
      <c r="P154" s="16">
        <f t="shared" si="6"/>
        <v>0</v>
      </c>
      <c r="Q154" s="16">
        <f t="shared" si="7"/>
        <v>0</v>
      </c>
    </row>
    <row r="155" ht="18.75" customHeight="1" spans="1:17">
      <c r="A155" s="10"/>
      <c r="B155" s="10"/>
      <c r="C155" s="10"/>
      <c r="D155" s="10"/>
      <c r="E155" s="10"/>
      <c r="F155" s="10"/>
      <c r="G155" s="10"/>
      <c r="H155" s="15" t="str">
        <f t="shared" ref="H155:H210" si="8">IFERROR(VLOOKUP($B155,$A$25:$N$54,7,FALSE),"")</f>
        <v/>
      </c>
      <c r="I155" s="16" t="str">
        <f t="shared" ref="I155:I210" si="9">IF($H155="Minor",1,IF($H155="Moderate",2,IF($H155="Major",3,IF($H155="Critical",4,""))))</f>
        <v/>
      </c>
      <c r="J155" s="17"/>
      <c r="K155" s="17"/>
      <c r="L155" s="16">
        <f t="shared" ref="L155:L210" si="10">IF(OR($G155="Exact TP",$G155="Equivalent TP"),1,0)</f>
        <v>0</v>
      </c>
      <c r="M155" s="16">
        <f t="shared" ref="M155:M210" si="11">IF(OR($G155="FP Extra",$G155="Harmful FP"),1,0)</f>
        <v>0</v>
      </c>
      <c r="N155" s="16">
        <f t="shared" ref="N155:N210" si="12">IF(OR($G155="FN",$G155="Partial"),1,0)</f>
        <v>0</v>
      </c>
      <c r="O155" s="16">
        <f t="shared" ref="O155:O210" si="13">IF($L155=1,$I155,0)</f>
        <v>0</v>
      </c>
      <c r="P155" s="16">
        <f t="shared" ref="P155:P210" si="14">IF($M155=1,$I155,0)</f>
        <v>0</v>
      </c>
      <c r="Q155" s="16">
        <f t="shared" ref="Q155:Q210" si="15">IF($N155=1,$I155,0)</f>
        <v>0</v>
      </c>
    </row>
    <row r="156" ht="18.75" customHeight="1" spans="1:17">
      <c r="A156" s="10"/>
      <c r="B156" s="10"/>
      <c r="C156" s="10"/>
      <c r="D156" s="10"/>
      <c r="E156" s="10"/>
      <c r="F156" s="10"/>
      <c r="G156" s="10"/>
      <c r="H156" s="15" t="str">
        <f t="shared" si="8"/>
        <v/>
      </c>
      <c r="I156" s="16" t="str">
        <f t="shared" si="9"/>
        <v/>
      </c>
      <c r="J156" s="17"/>
      <c r="K156" s="17"/>
      <c r="L156" s="16">
        <f t="shared" si="10"/>
        <v>0</v>
      </c>
      <c r="M156" s="16">
        <f t="shared" si="11"/>
        <v>0</v>
      </c>
      <c r="N156" s="16">
        <f t="shared" si="12"/>
        <v>0</v>
      </c>
      <c r="O156" s="16">
        <f t="shared" si="13"/>
        <v>0</v>
      </c>
      <c r="P156" s="16">
        <f t="shared" si="14"/>
        <v>0</v>
      </c>
      <c r="Q156" s="16">
        <f t="shared" si="15"/>
        <v>0</v>
      </c>
    </row>
    <row r="157" ht="18.75" customHeight="1" spans="1:17">
      <c r="A157" s="10"/>
      <c r="B157" s="10"/>
      <c r="C157" s="10"/>
      <c r="D157" s="10"/>
      <c r="E157" s="10"/>
      <c r="F157" s="10"/>
      <c r="G157" s="10"/>
      <c r="H157" s="15" t="str">
        <f t="shared" si="8"/>
        <v/>
      </c>
      <c r="I157" s="16" t="str">
        <f t="shared" si="9"/>
        <v/>
      </c>
      <c r="J157" s="17"/>
      <c r="K157" s="17"/>
      <c r="L157" s="16">
        <f t="shared" si="10"/>
        <v>0</v>
      </c>
      <c r="M157" s="16">
        <f t="shared" si="11"/>
        <v>0</v>
      </c>
      <c r="N157" s="16">
        <f t="shared" si="12"/>
        <v>0</v>
      </c>
      <c r="O157" s="16">
        <f t="shared" si="13"/>
        <v>0</v>
      </c>
      <c r="P157" s="16">
        <f t="shared" si="14"/>
        <v>0</v>
      </c>
      <c r="Q157" s="16">
        <f t="shared" si="15"/>
        <v>0</v>
      </c>
    </row>
    <row r="158" ht="18.75" customHeight="1" spans="1:17">
      <c r="A158" s="10"/>
      <c r="B158" s="10"/>
      <c r="C158" s="10"/>
      <c r="D158" s="10"/>
      <c r="E158" s="10"/>
      <c r="F158" s="10"/>
      <c r="G158" s="10"/>
      <c r="H158" s="15" t="str">
        <f t="shared" si="8"/>
        <v/>
      </c>
      <c r="I158" s="16" t="str">
        <f t="shared" si="9"/>
        <v/>
      </c>
      <c r="J158" s="17"/>
      <c r="K158" s="17"/>
      <c r="L158" s="16">
        <f t="shared" si="10"/>
        <v>0</v>
      </c>
      <c r="M158" s="16">
        <f t="shared" si="11"/>
        <v>0</v>
      </c>
      <c r="N158" s="16">
        <f t="shared" si="12"/>
        <v>0</v>
      </c>
      <c r="O158" s="16">
        <f t="shared" si="13"/>
        <v>0</v>
      </c>
      <c r="P158" s="16">
        <f t="shared" si="14"/>
        <v>0</v>
      </c>
      <c r="Q158" s="16">
        <f t="shared" si="15"/>
        <v>0</v>
      </c>
    </row>
    <row r="159" ht="18.75" customHeight="1" spans="1:17">
      <c r="A159" s="10"/>
      <c r="B159" s="10"/>
      <c r="C159" s="10"/>
      <c r="D159" s="10"/>
      <c r="E159" s="10"/>
      <c r="F159" s="10"/>
      <c r="G159" s="10"/>
      <c r="H159" s="15" t="str">
        <f t="shared" si="8"/>
        <v/>
      </c>
      <c r="I159" s="16" t="str">
        <f t="shared" si="9"/>
        <v/>
      </c>
      <c r="J159" s="17"/>
      <c r="K159" s="17"/>
      <c r="L159" s="16">
        <f t="shared" si="10"/>
        <v>0</v>
      </c>
      <c r="M159" s="16">
        <f t="shared" si="11"/>
        <v>0</v>
      </c>
      <c r="N159" s="16">
        <f t="shared" si="12"/>
        <v>0</v>
      </c>
      <c r="O159" s="16">
        <f t="shared" si="13"/>
        <v>0</v>
      </c>
      <c r="P159" s="16">
        <f t="shared" si="14"/>
        <v>0</v>
      </c>
      <c r="Q159" s="16">
        <f t="shared" si="15"/>
        <v>0</v>
      </c>
    </row>
    <row r="160" ht="18.75" customHeight="1" spans="1:17">
      <c r="A160" s="10"/>
      <c r="B160" s="10"/>
      <c r="C160" s="10"/>
      <c r="D160" s="10"/>
      <c r="E160" s="10"/>
      <c r="F160" s="10"/>
      <c r="G160" s="10"/>
      <c r="H160" s="15" t="str">
        <f t="shared" si="8"/>
        <v/>
      </c>
      <c r="I160" s="16" t="str">
        <f t="shared" si="9"/>
        <v/>
      </c>
      <c r="J160" s="17"/>
      <c r="K160" s="17"/>
      <c r="L160" s="16">
        <f t="shared" si="10"/>
        <v>0</v>
      </c>
      <c r="M160" s="16">
        <f t="shared" si="11"/>
        <v>0</v>
      </c>
      <c r="N160" s="16">
        <f t="shared" si="12"/>
        <v>0</v>
      </c>
      <c r="O160" s="16">
        <f t="shared" si="13"/>
        <v>0</v>
      </c>
      <c r="P160" s="16">
        <f t="shared" si="14"/>
        <v>0</v>
      </c>
      <c r="Q160" s="16">
        <f t="shared" si="15"/>
        <v>0</v>
      </c>
    </row>
    <row r="161" ht="18.75" customHeight="1" spans="1:17">
      <c r="A161" s="10"/>
      <c r="B161" s="10"/>
      <c r="C161" s="10"/>
      <c r="D161" s="10"/>
      <c r="E161" s="10"/>
      <c r="F161" s="10"/>
      <c r="G161" s="10"/>
      <c r="H161" s="15" t="str">
        <f t="shared" si="8"/>
        <v/>
      </c>
      <c r="I161" s="16" t="str">
        <f t="shared" si="9"/>
        <v/>
      </c>
      <c r="J161" s="17"/>
      <c r="K161" s="17"/>
      <c r="L161" s="16">
        <f t="shared" si="10"/>
        <v>0</v>
      </c>
      <c r="M161" s="16">
        <f t="shared" si="11"/>
        <v>0</v>
      </c>
      <c r="N161" s="16">
        <f t="shared" si="12"/>
        <v>0</v>
      </c>
      <c r="O161" s="16">
        <f t="shared" si="13"/>
        <v>0</v>
      </c>
      <c r="P161" s="16">
        <f t="shared" si="14"/>
        <v>0</v>
      </c>
      <c r="Q161" s="16">
        <f t="shared" si="15"/>
        <v>0</v>
      </c>
    </row>
    <row r="162" ht="18.75" customHeight="1" spans="1:17">
      <c r="A162" s="10"/>
      <c r="B162" s="10"/>
      <c r="C162" s="10"/>
      <c r="D162" s="10"/>
      <c r="E162" s="10"/>
      <c r="F162" s="10"/>
      <c r="G162" s="10"/>
      <c r="H162" s="15" t="str">
        <f t="shared" si="8"/>
        <v/>
      </c>
      <c r="I162" s="16" t="str">
        <f t="shared" si="9"/>
        <v/>
      </c>
      <c r="J162" s="17"/>
      <c r="K162" s="17"/>
      <c r="L162" s="16">
        <f t="shared" si="10"/>
        <v>0</v>
      </c>
      <c r="M162" s="16">
        <f t="shared" si="11"/>
        <v>0</v>
      </c>
      <c r="N162" s="16">
        <f t="shared" si="12"/>
        <v>0</v>
      </c>
      <c r="O162" s="16">
        <f t="shared" si="13"/>
        <v>0</v>
      </c>
      <c r="P162" s="16">
        <f t="shared" si="14"/>
        <v>0</v>
      </c>
      <c r="Q162" s="16">
        <f t="shared" si="15"/>
        <v>0</v>
      </c>
    </row>
    <row r="163" ht="18.75" customHeight="1" spans="1:17">
      <c r="A163" s="10"/>
      <c r="B163" s="10"/>
      <c r="C163" s="10"/>
      <c r="D163" s="10"/>
      <c r="E163" s="10"/>
      <c r="F163" s="10"/>
      <c r="G163" s="10"/>
      <c r="H163" s="15" t="str">
        <f t="shared" si="8"/>
        <v/>
      </c>
      <c r="I163" s="16" t="str">
        <f t="shared" si="9"/>
        <v/>
      </c>
      <c r="J163" s="17"/>
      <c r="K163" s="17"/>
      <c r="L163" s="16">
        <f t="shared" si="10"/>
        <v>0</v>
      </c>
      <c r="M163" s="16">
        <f t="shared" si="11"/>
        <v>0</v>
      </c>
      <c r="N163" s="16">
        <f t="shared" si="12"/>
        <v>0</v>
      </c>
      <c r="O163" s="16">
        <f t="shared" si="13"/>
        <v>0</v>
      </c>
      <c r="P163" s="16">
        <f t="shared" si="14"/>
        <v>0</v>
      </c>
      <c r="Q163" s="16">
        <f t="shared" si="15"/>
        <v>0</v>
      </c>
    </row>
    <row r="164" ht="18.75" customHeight="1" spans="1:17">
      <c r="A164" s="10"/>
      <c r="B164" s="10"/>
      <c r="C164" s="10"/>
      <c r="D164" s="10"/>
      <c r="E164" s="10"/>
      <c r="F164" s="10"/>
      <c r="G164" s="10"/>
      <c r="H164" s="15" t="str">
        <f t="shared" si="8"/>
        <v/>
      </c>
      <c r="I164" s="16" t="str">
        <f t="shared" si="9"/>
        <v/>
      </c>
      <c r="J164" s="17"/>
      <c r="K164" s="17"/>
      <c r="L164" s="16">
        <f t="shared" si="10"/>
        <v>0</v>
      </c>
      <c r="M164" s="16">
        <f t="shared" si="11"/>
        <v>0</v>
      </c>
      <c r="N164" s="16">
        <f t="shared" si="12"/>
        <v>0</v>
      </c>
      <c r="O164" s="16">
        <f t="shared" si="13"/>
        <v>0</v>
      </c>
      <c r="P164" s="16">
        <f t="shared" si="14"/>
        <v>0</v>
      </c>
      <c r="Q164" s="16">
        <f t="shared" si="15"/>
        <v>0</v>
      </c>
    </row>
    <row r="165" ht="18.75" customHeight="1" spans="1:17">
      <c r="A165" s="10"/>
      <c r="B165" s="10"/>
      <c r="C165" s="10"/>
      <c r="D165" s="10"/>
      <c r="E165" s="10"/>
      <c r="F165" s="10"/>
      <c r="G165" s="10"/>
      <c r="H165" s="15" t="str">
        <f t="shared" si="8"/>
        <v/>
      </c>
      <c r="I165" s="16" t="str">
        <f t="shared" si="9"/>
        <v/>
      </c>
      <c r="J165" s="17"/>
      <c r="K165" s="17"/>
      <c r="L165" s="16">
        <f t="shared" si="10"/>
        <v>0</v>
      </c>
      <c r="M165" s="16">
        <f t="shared" si="11"/>
        <v>0</v>
      </c>
      <c r="N165" s="16">
        <f t="shared" si="12"/>
        <v>0</v>
      </c>
      <c r="O165" s="16">
        <f t="shared" si="13"/>
        <v>0</v>
      </c>
      <c r="P165" s="16">
        <f t="shared" si="14"/>
        <v>0</v>
      </c>
      <c r="Q165" s="16">
        <f t="shared" si="15"/>
        <v>0</v>
      </c>
    </row>
    <row r="166" ht="18.75" customHeight="1" spans="1:17">
      <c r="A166" s="10"/>
      <c r="B166" s="10"/>
      <c r="C166" s="10"/>
      <c r="D166" s="10"/>
      <c r="E166" s="10"/>
      <c r="F166" s="10"/>
      <c r="G166" s="10"/>
      <c r="H166" s="15" t="str">
        <f t="shared" si="8"/>
        <v/>
      </c>
      <c r="I166" s="16" t="str">
        <f t="shared" si="9"/>
        <v/>
      </c>
      <c r="J166" s="17"/>
      <c r="K166" s="17"/>
      <c r="L166" s="16">
        <f t="shared" si="10"/>
        <v>0</v>
      </c>
      <c r="M166" s="16">
        <f t="shared" si="11"/>
        <v>0</v>
      </c>
      <c r="N166" s="16">
        <f t="shared" si="12"/>
        <v>0</v>
      </c>
      <c r="O166" s="16">
        <f t="shared" si="13"/>
        <v>0</v>
      </c>
      <c r="P166" s="16">
        <f t="shared" si="14"/>
        <v>0</v>
      </c>
      <c r="Q166" s="16">
        <f t="shared" si="15"/>
        <v>0</v>
      </c>
    </row>
    <row r="167" ht="18.75" customHeight="1" spans="1:17">
      <c r="A167" s="10"/>
      <c r="B167" s="10"/>
      <c r="C167" s="10"/>
      <c r="D167" s="10"/>
      <c r="E167" s="10"/>
      <c r="F167" s="10"/>
      <c r="G167" s="10"/>
      <c r="H167" s="15" t="str">
        <f t="shared" si="8"/>
        <v/>
      </c>
      <c r="I167" s="16" t="str">
        <f t="shared" si="9"/>
        <v/>
      </c>
      <c r="J167" s="17"/>
      <c r="K167" s="17"/>
      <c r="L167" s="16">
        <f t="shared" si="10"/>
        <v>0</v>
      </c>
      <c r="M167" s="16">
        <f t="shared" si="11"/>
        <v>0</v>
      </c>
      <c r="N167" s="16">
        <f t="shared" si="12"/>
        <v>0</v>
      </c>
      <c r="O167" s="16">
        <f t="shared" si="13"/>
        <v>0</v>
      </c>
      <c r="P167" s="16">
        <f t="shared" si="14"/>
        <v>0</v>
      </c>
      <c r="Q167" s="16">
        <f t="shared" si="15"/>
        <v>0</v>
      </c>
    </row>
    <row r="168" ht="18.75" customHeight="1" spans="1:17">
      <c r="A168" s="10"/>
      <c r="B168" s="10"/>
      <c r="C168" s="10"/>
      <c r="D168" s="10"/>
      <c r="E168" s="10"/>
      <c r="F168" s="10"/>
      <c r="G168" s="10"/>
      <c r="H168" s="15" t="str">
        <f t="shared" si="8"/>
        <v/>
      </c>
      <c r="I168" s="16" t="str">
        <f t="shared" si="9"/>
        <v/>
      </c>
      <c r="J168" s="17"/>
      <c r="K168" s="17"/>
      <c r="L168" s="16">
        <f t="shared" si="10"/>
        <v>0</v>
      </c>
      <c r="M168" s="16">
        <f t="shared" si="11"/>
        <v>0</v>
      </c>
      <c r="N168" s="16">
        <f t="shared" si="12"/>
        <v>0</v>
      </c>
      <c r="O168" s="16">
        <f t="shared" si="13"/>
        <v>0</v>
      </c>
      <c r="P168" s="16">
        <f t="shared" si="14"/>
        <v>0</v>
      </c>
      <c r="Q168" s="16">
        <f t="shared" si="15"/>
        <v>0</v>
      </c>
    </row>
    <row r="169" ht="18.75" customHeight="1" spans="1:17">
      <c r="A169" s="10"/>
      <c r="B169" s="10"/>
      <c r="C169" s="10"/>
      <c r="D169" s="10"/>
      <c r="E169" s="10"/>
      <c r="F169" s="10"/>
      <c r="G169" s="10"/>
      <c r="H169" s="15" t="str">
        <f t="shared" si="8"/>
        <v/>
      </c>
      <c r="I169" s="16" t="str">
        <f t="shared" si="9"/>
        <v/>
      </c>
      <c r="J169" s="17"/>
      <c r="K169" s="17"/>
      <c r="L169" s="16">
        <f t="shared" si="10"/>
        <v>0</v>
      </c>
      <c r="M169" s="16">
        <f t="shared" si="11"/>
        <v>0</v>
      </c>
      <c r="N169" s="16">
        <f t="shared" si="12"/>
        <v>0</v>
      </c>
      <c r="O169" s="16">
        <f t="shared" si="13"/>
        <v>0</v>
      </c>
      <c r="P169" s="16">
        <f t="shared" si="14"/>
        <v>0</v>
      </c>
      <c r="Q169" s="16">
        <f t="shared" si="15"/>
        <v>0</v>
      </c>
    </row>
    <row r="170" ht="18.75" customHeight="1" spans="1:17">
      <c r="A170" s="10"/>
      <c r="B170" s="10"/>
      <c r="C170" s="10"/>
      <c r="D170" s="10"/>
      <c r="E170" s="10"/>
      <c r="F170" s="10"/>
      <c r="G170" s="10"/>
      <c r="H170" s="15" t="str">
        <f t="shared" si="8"/>
        <v/>
      </c>
      <c r="I170" s="16" t="str">
        <f t="shared" si="9"/>
        <v/>
      </c>
      <c r="J170" s="17"/>
      <c r="K170" s="17"/>
      <c r="L170" s="16">
        <f t="shared" si="10"/>
        <v>0</v>
      </c>
      <c r="M170" s="16">
        <f t="shared" si="11"/>
        <v>0</v>
      </c>
      <c r="N170" s="16">
        <f t="shared" si="12"/>
        <v>0</v>
      </c>
      <c r="O170" s="16">
        <f t="shared" si="13"/>
        <v>0</v>
      </c>
      <c r="P170" s="16">
        <f t="shared" si="14"/>
        <v>0</v>
      </c>
      <c r="Q170" s="16">
        <f t="shared" si="15"/>
        <v>0</v>
      </c>
    </row>
    <row r="171" ht="18.75" customHeight="1" spans="1:17">
      <c r="A171" s="10"/>
      <c r="B171" s="10"/>
      <c r="C171" s="10"/>
      <c r="D171" s="10"/>
      <c r="E171" s="10"/>
      <c r="F171" s="10"/>
      <c r="G171" s="10"/>
      <c r="H171" s="15" t="str">
        <f t="shared" si="8"/>
        <v/>
      </c>
      <c r="I171" s="16" t="str">
        <f t="shared" si="9"/>
        <v/>
      </c>
      <c r="J171" s="17"/>
      <c r="K171" s="17"/>
      <c r="L171" s="16">
        <f t="shared" si="10"/>
        <v>0</v>
      </c>
      <c r="M171" s="16">
        <f t="shared" si="11"/>
        <v>0</v>
      </c>
      <c r="N171" s="16">
        <f t="shared" si="12"/>
        <v>0</v>
      </c>
      <c r="O171" s="16">
        <f t="shared" si="13"/>
        <v>0</v>
      </c>
      <c r="P171" s="16">
        <f t="shared" si="14"/>
        <v>0</v>
      </c>
      <c r="Q171" s="16">
        <f t="shared" si="15"/>
        <v>0</v>
      </c>
    </row>
    <row r="172" ht="18.75" customHeight="1" spans="1:17">
      <c r="A172" s="10"/>
      <c r="B172" s="10"/>
      <c r="C172" s="10"/>
      <c r="D172" s="10"/>
      <c r="E172" s="10"/>
      <c r="F172" s="10"/>
      <c r="G172" s="10"/>
      <c r="H172" s="15" t="str">
        <f t="shared" si="8"/>
        <v/>
      </c>
      <c r="I172" s="16" t="str">
        <f t="shared" si="9"/>
        <v/>
      </c>
      <c r="J172" s="17"/>
      <c r="K172" s="17"/>
      <c r="L172" s="16">
        <f t="shared" si="10"/>
        <v>0</v>
      </c>
      <c r="M172" s="16">
        <f t="shared" si="11"/>
        <v>0</v>
      </c>
      <c r="N172" s="16">
        <f t="shared" si="12"/>
        <v>0</v>
      </c>
      <c r="O172" s="16">
        <f t="shared" si="13"/>
        <v>0</v>
      </c>
      <c r="P172" s="16">
        <f t="shared" si="14"/>
        <v>0</v>
      </c>
      <c r="Q172" s="16">
        <f t="shared" si="15"/>
        <v>0</v>
      </c>
    </row>
    <row r="173" ht="18.75" customHeight="1" spans="1:17">
      <c r="A173" s="10"/>
      <c r="B173" s="10"/>
      <c r="C173" s="10"/>
      <c r="D173" s="10"/>
      <c r="E173" s="10"/>
      <c r="F173" s="10"/>
      <c r="G173" s="10"/>
      <c r="H173" s="15" t="str">
        <f t="shared" si="8"/>
        <v/>
      </c>
      <c r="I173" s="16" t="str">
        <f t="shared" si="9"/>
        <v/>
      </c>
      <c r="J173" s="17"/>
      <c r="K173" s="17"/>
      <c r="L173" s="16">
        <f t="shared" si="10"/>
        <v>0</v>
      </c>
      <c r="M173" s="16">
        <f t="shared" si="11"/>
        <v>0</v>
      </c>
      <c r="N173" s="16">
        <f t="shared" si="12"/>
        <v>0</v>
      </c>
      <c r="O173" s="16">
        <f t="shared" si="13"/>
        <v>0</v>
      </c>
      <c r="P173" s="16">
        <f t="shared" si="14"/>
        <v>0</v>
      </c>
      <c r="Q173" s="16">
        <f t="shared" si="15"/>
        <v>0</v>
      </c>
    </row>
    <row r="174" ht="18.75" customHeight="1" spans="1:17">
      <c r="A174" s="10"/>
      <c r="B174" s="10"/>
      <c r="C174" s="10"/>
      <c r="D174" s="10"/>
      <c r="E174" s="10"/>
      <c r="F174" s="10"/>
      <c r="G174" s="10"/>
      <c r="H174" s="15" t="str">
        <f t="shared" si="8"/>
        <v/>
      </c>
      <c r="I174" s="16" t="str">
        <f t="shared" si="9"/>
        <v/>
      </c>
      <c r="J174" s="17"/>
      <c r="K174" s="17"/>
      <c r="L174" s="16">
        <f t="shared" si="10"/>
        <v>0</v>
      </c>
      <c r="M174" s="16">
        <f t="shared" si="11"/>
        <v>0</v>
      </c>
      <c r="N174" s="16">
        <f t="shared" si="12"/>
        <v>0</v>
      </c>
      <c r="O174" s="16">
        <f t="shared" si="13"/>
        <v>0</v>
      </c>
      <c r="P174" s="16">
        <f t="shared" si="14"/>
        <v>0</v>
      </c>
      <c r="Q174" s="16">
        <f t="shared" si="15"/>
        <v>0</v>
      </c>
    </row>
    <row r="175" ht="18.75" customHeight="1" spans="1:17">
      <c r="A175" s="10"/>
      <c r="B175" s="10"/>
      <c r="C175" s="10"/>
      <c r="D175" s="10"/>
      <c r="E175" s="10"/>
      <c r="F175" s="10"/>
      <c r="G175" s="10"/>
      <c r="H175" s="15" t="str">
        <f t="shared" si="8"/>
        <v/>
      </c>
      <c r="I175" s="16" t="str">
        <f t="shared" si="9"/>
        <v/>
      </c>
      <c r="J175" s="17"/>
      <c r="K175" s="17"/>
      <c r="L175" s="16">
        <f t="shared" si="10"/>
        <v>0</v>
      </c>
      <c r="M175" s="16">
        <f t="shared" si="11"/>
        <v>0</v>
      </c>
      <c r="N175" s="16">
        <f t="shared" si="12"/>
        <v>0</v>
      </c>
      <c r="O175" s="16">
        <f t="shared" si="13"/>
        <v>0</v>
      </c>
      <c r="P175" s="16">
        <f t="shared" si="14"/>
        <v>0</v>
      </c>
      <c r="Q175" s="16">
        <f t="shared" si="15"/>
        <v>0</v>
      </c>
    </row>
    <row r="176" ht="18.75" customHeight="1" spans="1:17">
      <c r="A176" s="10"/>
      <c r="B176" s="10"/>
      <c r="C176" s="10"/>
      <c r="D176" s="10"/>
      <c r="E176" s="10"/>
      <c r="F176" s="10"/>
      <c r="G176" s="10"/>
      <c r="H176" s="15" t="str">
        <f t="shared" si="8"/>
        <v/>
      </c>
      <c r="I176" s="16" t="str">
        <f t="shared" si="9"/>
        <v/>
      </c>
      <c r="J176" s="17"/>
      <c r="K176" s="17"/>
      <c r="L176" s="16">
        <f t="shared" si="10"/>
        <v>0</v>
      </c>
      <c r="M176" s="16">
        <f t="shared" si="11"/>
        <v>0</v>
      </c>
      <c r="N176" s="16">
        <f t="shared" si="12"/>
        <v>0</v>
      </c>
      <c r="O176" s="16">
        <f t="shared" si="13"/>
        <v>0</v>
      </c>
      <c r="P176" s="16">
        <f t="shared" si="14"/>
        <v>0</v>
      </c>
      <c r="Q176" s="16">
        <f t="shared" si="15"/>
        <v>0</v>
      </c>
    </row>
    <row r="177" ht="18.75" customHeight="1" spans="1:17">
      <c r="A177" s="10"/>
      <c r="B177" s="10"/>
      <c r="C177" s="10"/>
      <c r="D177" s="10"/>
      <c r="E177" s="10"/>
      <c r="F177" s="10"/>
      <c r="G177" s="10"/>
      <c r="H177" s="15" t="str">
        <f t="shared" si="8"/>
        <v/>
      </c>
      <c r="I177" s="16" t="str">
        <f t="shared" si="9"/>
        <v/>
      </c>
      <c r="J177" s="17"/>
      <c r="K177" s="17"/>
      <c r="L177" s="16">
        <f t="shared" si="10"/>
        <v>0</v>
      </c>
      <c r="M177" s="16">
        <f t="shared" si="11"/>
        <v>0</v>
      </c>
      <c r="N177" s="16">
        <f t="shared" si="12"/>
        <v>0</v>
      </c>
      <c r="O177" s="16">
        <f t="shared" si="13"/>
        <v>0</v>
      </c>
      <c r="P177" s="16">
        <f t="shared" si="14"/>
        <v>0</v>
      </c>
      <c r="Q177" s="16">
        <f t="shared" si="15"/>
        <v>0</v>
      </c>
    </row>
    <row r="178" ht="18.75" customHeight="1" spans="1:17">
      <c r="A178" s="10"/>
      <c r="B178" s="10"/>
      <c r="C178" s="10"/>
      <c r="D178" s="10"/>
      <c r="E178" s="10"/>
      <c r="F178" s="10"/>
      <c r="G178" s="10"/>
      <c r="H178" s="15" t="str">
        <f t="shared" si="8"/>
        <v/>
      </c>
      <c r="I178" s="16" t="str">
        <f t="shared" si="9"/>
        <v/>
      </c>
      <c r="J178" s="17"/>
      <c r="K178" s="17"/>
      <c r="L178" s="16">
        <f t="shared" si="10"/>
        <v>0</v>
      </c>
      <c r="M178" s="16">
        <f t="shared" si="11"/>
        <v>0</v>
      </c>
      <c r="N178" s="16">
        <f t="shared" si="12"/>
        <v>0</v>
      </c>
      <c r="O178" s="16">
        <f t="shared" si="13"/>
        <v>0</v>
      </c>
      <c r="P178" s="16">
        <f t="shared" si="14"/>
        <v>0</v>
      </c>
      <c r="Q178" s="16">
        <f t="shared" si="15"/>
        <v>0</v>
      </c>
    </row>
    <row r="179" ht="18.75" customHeight="1" spans="1:17">
      <c r="A179" s="10"/>
      <c r="B179" s="10"/>
      <c r="C179" s="10"/>
      <c r="D179" s="10"/>
      <c r="E179" s="10"/>
      <c r="F179" s="10"/>
      <c r="G179" s="10"/>
      <c r="H179" s="15" t="str">
        <f t="shared" si="8"/>
        <v/>
      </c>
      <c r="I179" s="16" t="str">
        <f t="shared" si="9"/>
        <v/>
      </c>
      <c r="J179" s="17"/>
      <c r="K179" s="17"/>
      <c r="L179" s="16">
        <f t="shared" si="10"/>
        <v>0</v>
      </c>
      <c r="M179" s="16">
        <f t="shared" si="11"/>
        <v>0</v>
      </c>
      <c r="N179" s="16">
        <f t="shared" si="12"/>
        <v>0</v>
      </c>
      <c r="O179" s="16">
        <f t="shared" si="13"/>
        <v>0</v>
      </c>
      <c r="P179" s="16">
        <f t="shared" si="14"/>
        <v>0</v>
      </c>
      <c r="Q179" s="16">
        <f t="shared" si="15"/>
        <v>0</v>
      </c>
    </row>
    <row r="180" ht="18.75" customHeight="1" spans="1:17">
      <c r="A180" s="10"/>
      <c r="B180" s="10"/>
      <c r="C180" s="10"/>
      <c r="D180" s="10"/>
      <c r="E180" s="10"/>
      <c r="F180" s="10"/>
      <c r="G180" s="10"/>
      <c r="H180" s="15" t="str">
        <f t="shared" si="8"/>
        <v/>
      </c>
      <c r="I180" s="16" t="str">
        <f t="shared" si="9"/>
        <v/>
      </c>
      <c r="J180" s="17"/>
      <c r="K180" s="17"/>
      <c r="L180" s="16">
        <f t="shared" si="10"/>
        <v>0</v>
      </c>
      <c r="M180" s="16">
        <f t="shared" si="11"/>
        <v>0</v>
      </c>
      <c r="N180" s="16">
        <f t="shared" si="12"/>
        <v>0</v>
      </c>
      <c r="O180" s="16">
        <f t="shared" si="13"/>
        <v>0</v>
      </c>
      <c r="P180" s="16">
        <f t="shared" si="14"/>
        <v>0</v>
      </c>
      <c r="Q180" s="16">
        <f t="shared" si="15"/>
        <v>0</v>
      </c>
    </row>
    <row r="181" ht="18.75" customHeight="1" spans="1:17">
      <c r="A181" s="10"/>
      <c r="B181" s="10"/>
      <c r="C181" s="10"/>
      <c r="D181" s="10"/>
      <c r="E181" s="10"/>
      <c r="F181" s="10"/>
      <c r="G181" s="10"/>
      <c r="H181" s="15" t="str">
        <f t="shared" si="8"/>
        <v/>
      </c>
      <c r="I181" s="16" t="str">
        <f t="shared" si="9"/>
        <v/>
      </c>
      <c r="J181" s="17"/>
      <c r="K181" s="17"/>
      <c r="L181" s="16">
        <f t="shared" si="10"/>
        <v>0</v>
      </c>
      <c r="M181" s="16">
        <f t="shared" si="11"/>
        <v>0</v>
      </c>
      <c r="N181" s="16">
        <f t="shared" si="12"/>
        <v>0</v>
      </c>
      <c r="O181" s="16">
        <f t="shared" si="13"/>
        <v>0</v>
      </c>
      <c r="P181" s="16">
        <f t="shared" si="14"/>
        <v>0</v>
      </c>
      <c r="Q181" s="16">
        <f t="shared" si="15"/>
        <v>0</v>
      </c>
    </row>
    <row r="182" ht="18.75" customHeight="1" spans="1:17">
      <c r="A182" s="10"/>
      <c r="B182" s="10"/>
      <c r="C182" s="10"/>
      <c r="D182" s="10"/>
      <c r="E182" s="10"/>
      <c r="F182" s="10"/>
      <c r="G182" s="10"/>
      <c r="H182" s="15" t="str">
        <f t="shared" si="8"/>
        <v/>
      </c>
      <c r="I182" s="16" t="str">
        <f t="shared" si="9"/>
        <v/>
      </c>
      <c r="J182" s="17"/>
      <c r="K182" s="17"/>
      <c r="L182" s="16">
        <f t="shared" si="10"/>
        <v>0</v>
      </c>
      <c r="M182" s="16">
        <f t="shared" si="11"/>
        <v>0</v>
      </c>
      <c r="N182" s="16">
        <f t="shared" si="12"/>
        <v>0</v>
      </c>
      <c r="O182" s="16">
        <f t="shared" si="13"/>
        <v>0</v>
      </c>
      <c r="P182" s="16">
        <f t="shared" si="14"/>
        <v>0</v>
      </c>
      <c r="Q182" s="16">
        <f t="shared" si="15"/>
        <v>0</v>
      </c>
    </row>
    <row r="183" ht="18.75" customHeight="1" spans="1:17">
      <c r="A183" s="10"/>
      <c r="B183" s="10"/>
      <c r="C183" s="10"/>
      <c r="D183" s="10"/>
      <c r="E183" s="10"/>
      <c r="F183" s="10"/>
      <c r="G183" s="10"/>
      <c r="H183" s="15" t="str">
        <f t="shared" si="8"/>
        <v/>
      </c>
      <c r="I183" s="16" t="str">
        <f t="shared" si="9"/>
        <v/>
      </c>
      <c r="J183" s="17"/>
      <c r="K183" s="17"/>
      <c r="L183" s="16">
        <f t="shared" si="10"/>
        <v>0</v>
      </c>
      <c r="M183" s="16">
        <f t="shared" si="11"/>
        <v>0</v>
      </c>
      <c r="N183" s="16">
        <f t="shared" si="12"/>
        <v>0</v>
      </c>
      <c r="O183" s="16">
        <f t="shared" si="13"/>
        <v>0</v>
      </c>
      <c r="P183" s="16">
        <f t="shared" si="14"/>
        <v>0</v>
      </c>
      <c r="Q183" s="16">
        <f t="shared" si="15"/>
        <v>0</v>
      </c>
    </row>
    <row r="184" ht="18.75" customHeight="1" spans="1:17">
      <c r="A184" s="10"/>
      <c r="B184" s="10"/>
      <c r="C184" s="10"/>
      <c r="D184" s="10"/>
      <c r="E184" s="10"/>
      <c r="F184" s="10"/>
      <c r="G184" s="10"/>
      <c r="H184" s="15" t="str">
        <f t="shared" si="8"/>
        <v/>
      </c>
      <c r="I184" s="16" t="str">
        <f t="shared" si="9"/>
        <v/>
      </c>
      <c r="J184" s="17"/>
      <c r="K184" s="17"/>
      <c r="L184" s="16">
        <f t="shared" si="10"/>
        <v>0</v>
      </c>
      <c r="M184" s="16">
        <f t="shared" si="11"/>
        <v>0</v>
      </c>
      <c r="N184" s="16">
        <f t="shared" si="12"/>
        <v>0</v>
      </c>
      <c r="O184" s="16">
        <f t="shared" si="13"/>
        <v>0</v>
      </c>
      <c r="P184" s="16">
        <f t="shared" si="14"/>
        <v>0</v>
      </c>
      <c r="Q184" s="16">
        <f t="shared" si="15"/>
        <v>0</v>
      </c>
    </row>
    <row r="185" ht="18.75" customHeight="1" spans="1:17">
      <c r="A185" s="10"/>
      <c r="B185" s="10"/>
      <c r="C185" s="10"/>
      <c r="D185" s="10"/>
      <c r="E185" s="10"/>
      <c r="F185" s="10"/>
      <c r="G185" s="10"/>
      <c r="H185" s="15" t="str">
        <f t="shared" si="8"/>
        <v/>
      </c>
      <c r="I185" s="16" t="str">
        <f t="shared" si="9"/>
        <v/>
      </c>
      <c r="J185" s="17"/>
      <c r="K185" s="17"/>
      <c r="L185" s="16">
        <f t="shared" si="10"/>
        <v>0</v>
      </c>
      <c r="M185" s="16">
        <f t="shared" si="11"/>
        <v>0</v>
      </c>
      <c r="N185" s="16">
        <f t="shared" si="12"/>
        <v>0</v>
      </c>
      <c r="O185" s="16">
        <f t="shared" si="13"/>
        <v>0</v>
      </c>
      <c r="P185" s="16">
        <f t="shared" si="14"/>
        <v>0</v>
      </c>
      <c r="Q185" s="16">
        <f t="shared" si="15"/>
        <v>0</v>
      </c>
    </row>
    <row r="186" ht="18.75" customHeight="1" spans="1:17">
      <c r="A186" s="10"/>
      <c r="B186" s="10"/>
      <c r="C186" s="10"/>
      <c r="D186" s="10"/>
      <c r="E186" s="10"/>
      <c r="F186" s="10"/>
      <c r="G186" s="10"/>
      <c r="H186" s="15" t="str">
        <f t="shared" si="8"/>
        <v/>
      </c>
      <c r="I186" s="16" t="str">
        <f t="shared" si="9"/>
        <v/>
      </c>
      <c r="J186" s="17"/>
      <c r="K186" s="17"/>
      <c r="L186" s="16">
        <f t="shared" si="10"/>
        <v>0</v>
      </c>
      <c r="M186" s="16">
        <f t="shared" si="11"/>
        <v>0</v>
      </c>
      <c r="N186" s="16">
        <f t="shared" si="12"/>
        <v>0</v>
      </c>
      <c r="O186" s="16">
        <f t="shared" si="13"/>
        <v>0</v>
      </c>
      <c r="P186" s="16">
        <f t="shared" si="14"/>
        <v>0</v>
      </c>
      <c r="Q186" s="16">
        <f t="shared" si="15"/>
        <v>0</v>
      </c>
    </row>
    <row r="187" ht="18.75" customHeight="1" spans="1:17">
      <c r="A187" s="10"/>
      <c r="B187" s="10"/>
      <c r="C187" s="10"/>
      <c r="D187" s="10"/>
      <c r="E187" s="10"/>
      <c r="F187" s="10"/>
      <c r="G187" s="10"/>
      <c r="H187" s="15" t="str">
        <f t="shared" si="8"/>
        <v/>
      </c>
      <c r="I187" s="16" t="str">
        <f t="shared" si="9"/>
        <v/>
      </c>
      <c r="J187" s="17"/>
      <c r="K187" s="17"/>
      <c r="L187" s="16">
        <f t="shared" si="10"/>
        <v>0</v>
      </c>
      <c r="M187" s="16">
        <f t="shared" si="11"/>
        <v>0</v>
      </c>
      <c r="N187" s="16">
        <f t="shared" si="12"/>
        <v>0</v>
      </c>
      <c r="O187" s="16">
        <f t="shared" si="13"/>
        <v>0</v>
      </c>
      <c r="P187" s="16">
        <f t="shared" si="14"/>
        <v>0</v>
      </c>
      <c r="Q187" s="16">
        <f t="shared" si="15"/>
        <v>0</v>
      </c>
    </row>
    <row r="188" ht="18.75" customHeight="1" spans="1:17">
      <c r="A188" s="10"/>
      <c r="B188" s="10"/>
      <c r="C188" s="10"/>
      <c r="D188" s="10"/>
      <c r="E188" s="10"/>
      <c r="F188" s="10"/>
      <c r="G188" s="10"/>
      <c r="H188" s="15" t="str">
        <f t="shared" si="8"/>
        <v/>
      </c>
      <c r="I188" s="16" t="str">
        <f t="shared" si="9"/>
        <v/>
      </c>
      <c r="J188" s="17"/>
      <c r="K188" s="17"/>
      <c r="L188" s="16">
        <f t="shared" si="10"/>
        <v>0</v>
      </c>
      <c r="M188" s="16">
        <f t="shared" si="11"/>
        <v>0</v>
      </c>
      <c r="N188" s="16">
        <f t="shared" si="12"/>
        <v>0</v>
      </c>
      <c r="O188" s="16">
        <f t="shared" si="13"/>
        <v>0</v>
      </c>
      <c r="P188" s="16">
        <f t="shared" si="14"/>
        <v>0</v>
      </c>
      <c r="Q188" s="16">
        <f t="shared" si="15"/>
        <v>0</v>
      </c>
    </row>
    <row r="189" ht="18.75" customHeight="1" spans="1:17">
      <c r="A189" s="10"/>
      <c r="B189" s="10"/>
      <c r="C189" s="10"/>
      <c r="D189" s="10"/>
      <c r="E189" s="10"/>
      <c r="F189" s="10"/>
      <c r="G189" s="10"/>
      <c r="H189" s="15" t="str">
        <f t="shared" si="8"/>
        <v/>
      </c>
      <c r="I189" s="16" t="str">
        <f t="shared" si="9"/>
        <v/>
      </c>
      <c r="J189" s="17"/>
      <c r="K189" s="17"/>
      <c r="L189" s="16">
        <f t="shared" si="10"/>
        <v>0</v>
      </c>
      <c r="M189" s="16">
        <f t="shared" si="11"/>
        <v>0</v>
      </c>
      <c r="N189" s="16">
        <f t="shared" si="12"/>
        <v>0</v>
      </c>
      <c r="O189" s="16">
        <f t="shared" si="13"/>
        <v>0</v>
      </c>
      <c r="P189" s="16">
        <f t="shared" si="14"/>
        <v>0</v>
      </c>
      <c r="Q189" s="16">
        <f t="shared" si="15"/>
        <v>0</v>
      </c>
    </row>
    <row r="190" ht="18.75" customHeight="1" spans="1:17">
      <c r="A190" s="10"/>
      <c r="B190" s="10"/>
      <c r="C190" s="10"/>
      <c r="D190" s="10"/>
      <c r="E190" s="10"/>
      <c r="F190" s="10"/>
      <c r="G190" s="10"/>
      <c r="H190" s="15" t="str">
        <f t="shared" si="8"/>
        <v/>
      </c>
      <c r="I190" s="16" t="str">
        <f t="shared" si="9"/>
        <v/>
      </c>
      <c r="J190" s="17"/>
      <c r="K190" s="17"/>
      <c r="L190" s="16">
        <f t="shared" si="10"/>
        <v>0</v>
      </c>
      <c r="M190" s="16">
        <f t="shared" si="11"/>
        <v>0</v>
      </c>
      <c r="N190" s="16">
        <f t="shared" si="12"/>
        <v>0</v>
      </c>
      <c r="O190" s="16">
        <f t="shared" si="13"/>
        <v>0</v>
      </c>
      <c r="P190" s="16">
        <f t="shared" si="14"/>
        <v>0</v>
      </c>
      <c r="Q190" s="16">
        <f t="shared" si="15"/>
        <v>0</v>
      </c>
    </row>
    <row r="191" ht="18.75" customHeight="1" spans="1:17">
      <c r="A191" s="10"/>
      <c r="B191" s="10"/>
      <c r="C191" s="10"/>
      <c r="D191" s="10"/>
      <c r="E191" s="10"/>
      <c r="F191" s="10"/>
      <c r="G191" s="10"/>
      <c r="H191" s="15" t="str">
        <f t="shared" si="8"/>
        <v/>
      </c>
      <c r="I191" s="16" t="str">
        <f t="shared" si="9"/>
        <v/>
      </c>
      <c r="J191" s="17"/>
      <c r="K191" s="17"/>
      <c r="L191" s="16">
        <f t="shared" si="10"/>
        <v>0</v>
      </c>
      <c r="M191" s="16">
        <f t="shared" si="11"/>
        <v>0</v>
      </c>
      <c r="N191" s="16">
        <f t="shared" si="12"/>
        <v>0</v>
      </c>
      <c r="O191" s="16">
        <f t="shared" si="13"/>
        <v>0</v>
      </c>
      <c r="P191" s="16">
        <f t="shared" si="14"/>
        <v>0</v>
      </c>
      <c r="Q191" s="16">
        <f t="shared" si="15"/>
        <v>0</v>
      </c>
    </row>
    <row r="192" ht="18.75" customHeight="1" spans="1:17">
      <c r="A192" s="10"/>
      <c r="B192" s="10"/>
      <c r="C192" s="10"/>
      <c r="D192" s="10"/>
      <c r="E192" s="10"/>
      <c r="F192" s="10"/>
      <c r="G192" s="10"/>
      <c r="H192" s="15" t="str">
        <f t="shared" si="8"/>
        <v/>
      </c>
      <c r="I192" s="16" t="str">
        <f t="shared" si="9"/>
        <v/>
      </c>
      <c r="J192" s="17"/>
      <c r="K192" s="17"/>
      <c r="L192" s="16">
        <f t="shared" si="10"/>
        <v>0</v>
      </c>
      <c r="M192" s="16">
        <f t="shared" si="11"/>
        <v>0</v>
      </c>
      <c r="N192" s="16">
        <f t="shared" si="12"/>
        <v>0</v>
      </c>
      <c r="O192" s="16">
        <f t="shared" si="13"/>
        <v>0</v>
      </c>
      <c r="P192" s="16">
        <f t="shared" si="14"/>
        <v>0</v>
      </c>
      <c r="Q192" s="16">
        <f t="shared" si="15"/>
        <v>0</v>
      </c>
    </row>
    <row r="193" ht="18.75" customHeight="1" spans="1:17">
      <c r="A193" s="10"/>
      <c r="B193" s="10"/>
      <c r="C193" s="10"/>
      <c r="D193" s="10"/>
      <c r="E193" s="10"/>
      <c r="F193" s="10"/>
      <c r="G193" s="10"/>
      <c r="H193" s="15" t="str">
        <f t="shared" si="8"/>
        <v/>
      </c>
      <c r="I193" s="16" t="str">
        <f t="shared" si="9"/>
        <v/>
      </c>
      <c r="J193" s="17"/>
      <c r="K193" s="17"/>
      <c r="L193" s="16">
        <f t="shared" si="10"/>
        <v>0</v>
      </c>
      <c r="M193" s="16">
        <f t="shared" si="11"/>
        <v>0</v>
      </c>
      <c r="N193" s="16">
        <f t="shared" si="12"/>
        <v>0</v>
      </c>
      <c r="O193" s="16">
        <f t="shared" si="13"/>
        <v>0</v>
      </c>
      <c r="P193" s="16">
        <f t="shared" si="14"/>
        <v>0</v>
      </c>
      <c r="Q193" s="16">
        <f t="shared" si="15"/>
        <v>0</v>
      </c>
    </row>
    <row r="194" ht="18.75" customHeight="1" spans="1:17">
      <c r="A194" s="10"/>
      <c r="B194" s="10"/>
      <c r="C194" s="10"/>
      <c r="D194" s="10"/>
      <c r="E194" s="10"/>
      <c r="F194" s="10"/>
      <c r="G194" s="10"/>
      <c r="H194" s="15" t="str">
        <f t="shared" si="8"/>
        <v/>
      </c>
      <c r="I194" s="16" t="str">
        <f t="shared" si="9"/>
        <v/>
      </c>
      <c r="J194" s="17"/>
      <c r="K194" s="17"/>
      <c r="L194" s="16">
        <f t="shared" si="10"/>
        <v>0</v>
      </c>
      <c r="M194" s="16">
        <f t="shared" si="11"/>
        <v>0</v>
      </c>
      <c r="N194" s="16">
        <f t="shared" si="12"/>
        <v>0</v>
      </c>
      <c r="O194" s="16">
        <f t="shared" si="13"/>
        <v>0</v>
      </c>
      <c r="P194" s="16">
        <f t="shared" si="14"/>
        <v>0</v>
      </c>
      <c r="Q194" s="16">
        <f t="shared" si="15"/>
        <v>0</v>
      </c>
    </row>
    <row r="195" ht="18.75" customHeight="1" spans="1:17">
      <c r="A195" s="10"/>
      <c r="B195" s="10"/>
      <c r="C195" s="10"/>
      <c r="D195" s="10"/>
      <c r="E195" s="10"/>
      <c r="F195" s="10"/>
      <c r="G195" s="10"/>
      <c r="H195" s="15" t="str">
        <f t="shared" si="8"/>
        <v/>
      </c>
      <c r="I195" s="16" t="str">
        <f t="shared" si="9"/>
        <v/>
      </c>
      <c r="J195" s="17"/>
      <c r="K195" s="17"/>
      <c r="L195" s="16">
        <f t="shared" si="10"/>
        <v>0</v>
      </c>
      <c r="M195" s="16">
        <f t="shared" si="11"/>
        <v>0</v>
      </c>
      <c r="N195" s="16">
        <f t="shared" si="12"/>
        <v>0</v>
      </c>
      <c r="O195" s="16">
        <f t="shared" si="13"/>
        <v>0</v>
      </c>
      <c r="P195" s="16">
        <f t="shared" si="14"/>
        <v>0</v>
      </c>
      <c r="Q195" s="16">
        <f t="shared" si="15"/>
        <v>0</v>
      </c>
    </row>
    <row r="196" ht="18.75" customHeight="1" spans="1:17">
      <c r="A196" s="10"/>
      <c r="B196" s="10"/>
      <c r="C196" s="10"/>
      <c r="D196" s="10"/>
      <c r="E196" s="10"/>
      <c r="F196" s="10"/>
      <c r="G196" s="10"/>
      <c r="H196" s="15" t="str">
        <f t="shared" si="8"/>
        <v/>
      </c>
      <c r="I196" s="16" t="str">
        <f t="shared" si="9"/>
        <v/>
      </c>
      <c r="J196" s="17"/>
      <c r="K196" s="17"/>
      <c r="L196" s="16">
        <f t="shared" si="10"/>
        <v>0</v>
      </c>
      <c r="M196" s="16">
        <f t="shared" si="11"/>
        <v>0</v>
      </c>
      <c r="N196" s="16">
        <f t="shared" si="12"/>
        <v>0</v>
      </c>
      <c r="O196" s="16">
        <f t="shared" si="13"/>
        <v>0</v>
      </c>
      <c r="P196" s="16">
        <f t="shared" si="14"/>
        <v>0</v>
      </c>
      <c r="Q196" s="16">
        <f t="shared" si="15"/>
        <v>0</v>
      </c>
    </row>
    <row r="197" ht="18.75" customHeight="1" spans="1:17">
      <c r="A197" s="10"/>
      <c r="B197" s="10"/>
      <c r="C197" s="10"/>
      <c r="D197" s="10"/>
      <c r="E197" s="10"/>
      <c r="F197" s="10"/>
      <c r="G197" s="10"/>
      <c r="H197" s="15" t="str">
        <f t="shared" si="8"/>
        <v/>
      </c>
      <c r="I197" s="16" t="str">
        <f t="shared" si="9"/>
        <v/>
      </c>
      <c r="J197" s="17"/>
      <c r="K197" s="17"/>
      <c r="L197" s="16">
        <f t="shared" si="10"/>
        <v>0</v>
      </c>
      <c r="M197" s="16">
        <f t="shared" si="11"/>
        <v>0</v>
      </c>
      <c r="N197" s="16">
        <f t="shared" si="12"/>
        <v>0</v>
      </c>
      <c r="O197" s="16">
        <f t="shared" si="13"/>
        <v>0</v>
      </c>
      <c r="P197" s="16">
        <f t="shared" si="14"/>
        <v>0</v>
      </c>
      <c r="Q197" s="16">
        <f t="shared" si="15"/>
        <v>0</v>
      </c>
    </row>
    <row r="198" ht="18.75" customHeight="1" spans="1:17">
      <c r="A198" s="10"/>
      <c r="B198" s="10"/>
      <c r="C198" s="10"/>
      <c r="D198" s="10"/>
      <c r="E198" s="10"/>
      <c r="F198" s="10"/>
      <c r="G198" s="10"/>
      <c r="H198" s="15" t="str">
        <f t="shared" si="8"/>
        <v/>
      </c>
      <c r="I198" s="16" t="str">
        <f t="shared" si="9"/>
        <v/>
      </c>
      <c r="J198" s="17"/>
      <c r="K198" s="17"/>
      <c r="L198" s="16">
        <f t="shared" si="10"/>
        <v>0</v>
      </c>
      <c r="M198" s="16">
        <f t="shared" si="11"/>
        <v>0</v>
      </c>
      <c r="N198" s="16">
        <f t="shared" si="12"/>
        <v>0</v>
      </c>
      <c r="O198" s="16">
        <f t="shared" si="13"/>
        <v>0</v>
      </c>
      <c r="P198" s="16">
        <f t="shared" si="14"/>
        <v>0</v>
      </c>
      <c r="Q198" s="16">
        <f t="shared" si="15"/>
        <v>0</v>
      </c>
    </row>
    <row r="199" ht="18.75" customHeight="1" spans="1:17">
      <c r="A199" s="10"/>
      <c r="B199" s="10"/>
      <c r="C199" s="10"/>
      <c r="D199" s="10"/>
      <c r="E199" s="10"/>
      <c r="F199" s="10"/>
      <c r="G199" s="10"/>
      <c r="H199" s="15" t="str">
        <f t="shared" si="8"/>
        <v/>
      </c>
      <c r="I199" s="16" t="str">
        <f t="shared" si="9"/>
        <v/>
      </c>
      <c r="J199" s="17"/>
      <c r="K199" s="17"/>
      <c r="L199" s="16">
        <f t="shared" si="10"/>
        <v>0</v>
      </c>
      <c r="M199" s="16">
        <f t="shared" si="11"/>
        <v>0</v>
      </c>
      <c r="N199" s="16">
        <f t="shared" si="12"/>
        <v>0</v>
      </c>
      <c r="O199" s="16">
        <f t="shared" si="13"/>
        <v>0</v>
      </c>
      <c r="P199" s="16">
        <f t="shared" si="14"/>
        <v>0</v>
      </c>
      <c r="Q199" s="16">
        <f t="shared" si="15"/>
        <v>0</v>
      </c>
    </row>
    <row r="200" ht="18.75" customHeight="1" spans="1:17">
      <c r="A200" s="10"/>
      <c r="B200" s="10"/>
      <c r="C200" s="10"/>
      <c r="D200" s="10"/>
      <c r="E200" s="10"/>
      <c r="F200" s="10"/>
      <c r="G200" s="10"/>
      <c r="H200" s="15" t="str">
        <f t="shared" si="8"/>
        <v/>
      </c>
      <c r="I200" s="16" t="str">
        <f t="shared" si="9"/>
        <v/>
      </c>
      <c r="J200" s="17"/>
      <c r="K200" s="17"/>
      <c r="L200" s="16">
        <f t="shared" si="10"/>
        <v>0</v>
      </c>
      <c r="M200" s="16">
        <f t="shared" si="11"/>
        <v>0</v>
      </c>
      <c r="N200" s="16">
        <f t="shared" si="12"/>
        <v>0</v>
      </c>
      <c r="O200" s="16">
        <f t="shared" si="13"/>
        <v>0</v>
      </c>
      <c r="P200" s="16">
        <f t="shared" si="14"/>
        <v>0</v>
      </c>
      <c r="Q200" s="16">
        <f t="shared" si="15"/>
        <v>0</v>
      </c>
    </row>
    <row r="201" ht="18.75" customHeight="1" spans="1:17">
      <c r="A201" s="10"/>
      <c r="B201" s="10"/>
      <c r="C201" s="10"/>
      <c r="D201" s="10"/>
      <c r="E201" s="10"/>
      <c r="F201" s="10"/>
      <c r="G201" s="10"/>
      <c r="H201" s="15" t="str">
        <f t="shared" si="8"/>
        <v/>
      </c>
      <c r="I201" s="16" t="str">
        <f t="shared" si="9"/>
        <v/>
      </c>
      <c r="J201" s="17"/>
      <c r="K201" s="17"/>
      <c r="L201" s="16">
        <f t="shared" si="10"/>
        <v>0</v>
      </c>
      <c r="M201" s="16">
        <f t="shared" si="11"/>
        <v>0</v>
      </c>
      <c r="N201" s="16">
        <f t="shared" si="12"/>
        <v>0</v>
      </c>
      <c r="O201" s="16">
        <f t="shared" si="13"/>
        <v>0</v>
      </c>
      <c r="P201" s="16">
        <f t="shared" si="14"/>
        <v>0</v>
      </c>
      <c r="Q201" s="16">
        <f t="shared" si="15"/>
        <v>0</v>
      </c>
    </row>
    <row r="202" ht="18.75" customHeight="1" spans="1:17">
      <c r="A202" s="10"/>
      <c r="B202" s="10"/>
      <c r="C202" s="10"/>
      <c r="D202" s="10"/>
      <c r="E202" s="10"/>
      <c r="F202" s="10"/>
      <c r="G202" s="10"/>
      <c r="H202" s="15" t="str">
        <f t="shared" si="8"/>
        <v/>
      </c>
      <c r="I202" s="16" t="str">
        <f t="shared" si="9"/>
        <v/>
      </c>
      <c r="J202" s="17"/>
      <c r="K202" s="17"/>
      <c r="L202" s="16">
        <f t="shared" si="10"/>
        <v>0</v>
      </c>
      <c r="M202" s="16">
        <f t="shared" si="11"/>
        <v>0</v>
      </c>
      <c r="N202" s="16">
        <f t="shared" si="12"/>
        <v>0</v>
      </c>
      <c r="O202" s="16">
        <f t="shared" si="13"/>
        <v>0</v>
      </c>
      <c r="P202" s="16">
        <f t="shared" si="14"/>
        <v>0</v>
      </c>
      <c r="Q202" s="16">
        <f t="shared" si="15"/>
        <v>0</v>
      </c>
    </row>
    <row r="203" ht="18.75" customHeight="1" spans="1:17">
      <c r="A203" s="10"/>
      <c r="B203" s="10"/>
      <c r="C203" s="10"/>
      <c r="D203" s="10"/>
      <c r="E203" s="10"/>
      <c r="F203" s="10"/>
      <c r="G203" s="10"/>
      <c r="H203" s="15" t="str">
        <f t="shared" si="8"/>
        <v/>
      </c>
      <c r="I203" s="16" t="str">
        <f t="shared" si="9"/>
        <v/>
      </c>
      <c r="J203" s="17"/>
      <c r="K203" s="17"/>
      <c r="L203" s="16">
        <f t="shared" si="10"/>
        <v>0</v>
      </c>
      <c r="M203" s="16">
        <f t="shared" si="11"/>
        <v>0</v>
      </c>
      <c r="N203" s="16">
        <f t="shared" si="12"/>
        <v>0</v>
      </c>
      <c r="O203" s="16">
        <f t="shared" si="13"/>
        <v>0</v>
      </c>
      <c r="P203" s="16">
        <f t="shared" si="14"/>
        <v>0</v>
      </c>
      <c r="Q203" s="16">
        <f t="shared" si="15"/>
        <v>0</v>
      </c>
    </row>
    <row r="204" ht="18.75" customHeight="1" spans="1:17">
      <c r="A204" s="10"/>
      <c r="B204" s="10"/>
      <c r="C204" s="10"/>
      <c r="D204" s="10"/>
      <c r="E204" s="10"/>
      <c r="F204" s="10"/>
      <c r="G204" s="10"/>
      <c r="H204" s="15" t="str">
        <f t="shared" si="8"/>
        <v/>
      </c>
      <c r="I204" s="16" t="str">
        <f t="shared" si="9"/>
        <v/>
      </c>
      <c r="J204" s="17"/>
      <c r="K204" s="17"/>
      <c r="L204" s="16">
        <f t="shared" si="10"/>
        <v>0</v>
      </c>
      <c r="M204" s="16">
        <f t="shared" si="11"/>
        <v>0</v>
      </c>
      <c r="N204" s="16">
        <f t="shared" si="12"/>
        <v>0</v>
      </c>
      <c r="O204" s="16">
        <f t="shared" si="13"/>
        <v>0</v>
      </c>
      <c r="P204" s="16">
        <f t="shared" si="14"/>
        <v>0</v>
      </c>
      <c r="Q204" s="16">
        <f t="shared" si="15"/>
        <v>0</v>
      </c>
    </row>
    <row r="205" ht="18.75" customHeight="1" spans="1:17">
      <c r="A205" s="10"/>
      <c r="B205" s="10"/>
      <c r="C205" s="10"/>
      <c r="D205" s="10"/>
      <c r="E205" s="10"/>
      <c r="F205" s="10"/>
      <c r="G205" s="10"/>
      <c r="H205" s="15" t="str">
        <f t="shared" si="8"/>
        <v/>
      </c>
      <c r="I205" s="16" t="str">
        <f t="shared" si="9"/>
        <v/>
      </c>
      <c r="J205" s="17"/>
      <c r="K205" s="17"/>
      <c r="L205" s="16">
        <f t="shared" si="10"/>
        <v>0</v>
      </c>
      <c r="M205" s="16">
        <f t="shared" si="11"/>
        <v>0</v>
      </c>
      <c r="N205" s="16">
        <f t="shared" si="12"/>
        <v>0</v>
      </c>
      <c r="O205" s="16">
        <f t="shared" si="13"/>
        <v>0</v>
      </c>
      <c r="P205" s="16">
        <f t="shared" si="14"/>
        <v>0</v>
      </c>
      <c r="Q205" s="16">
        <f t="shared" si="15"/>
        <v>0</v>
      </c>
    </row>
    <row r="206" ht="18.75" customHeight="1" spans="1:17">
      <c r="A206" s="10"/>
      <c r="B206" s="10"/>
      <c r="C206" s="10"/>
      <c r="D206" s="10"/>
      <c r="E206" s="10"/>
      <c r="F206" s="10"/>
      <c r="G206" s="10"/>
      <c r="H206" s="15" t="str">
        <f t="shared" si="8"/>
        <v/>
      </c>
      <c r="I206" s="16" t="str">
        <f t="shared" si="9"/>
        <v/>
      </c>
      <c r="J206" s="17"/>
      <c r="K206" s="17"/>
      <c r="L206" s="16">
        <f t="shared" si="10"/>
        <v>0</v>
      </c>
      <c r="M206" s="16">
        <f t="shared" si="11"/>
        <v>0</v>
      </c>
      <c r="N206" s="16">
        <f t="shared" si="12"/>
        <v>0</v>
      </c>
      <c r="O206" s="16">
        <f t="shared" si="13"/>
        <v>0</v>
      </c>
      <c r="P206" s="16">
        <f t="shared" si="14"/>
        <v>0</v>
      </c>
      <c r="Q206" s="16">
        <f t="shared" si="15"/>
        <v>0</v>
      </c>
    </row>
    <row r="207" ht="18.75" customHeight="1" spans="1:17">
      <c r="A207" s="10"/>
      <c r="B207" s="10"/>
      <c r="C207" s="10"/>
      <c r="D207" s="10"/>
      <c r="E207" s="10"/>
      <c r="F207" s="10"/>
      <c r="G207" s="10"/>
      <c r="H207" s="15" t="str">
        <f t="shared" si="8"/>
        <v/>
      </c>
      <c r="I207" s="16" t="str">
        <f t="shared" si="9"/>
        <v/>
      </c>
      <c r="J207" s="17"/>
      <c r="K207" s="17"/>
      <c r="L207" s="16">
        <f t="shared" si="10"/>
        <v>0</v>
      </c>
      <c r="M207" s="16">
        <f t="shared" si="11"/>
        <v>0</v>
      </c>
      <c r="N207" s="16">
        <f t="shared" si="12"/>
        <v>0</v>
      </c>
      <c r="O207" s="16">
        <f t="shared" si="13"/>
        <v>0</v>
      </c>
      <c r="P207" s="16">
        <f t="shared" si="14"/>
        <v>0</v>
      </c>
      <c r="Q207" s="16">
        <f t="shared" si="15"/>
        <v>0</v>
      </c>
    </row>
    <row r="208" ht="18.75" customHeight="1" spans="1:17">
      <c r="A208" s="10"/>
      <c r="B208" s="10"/>
      <c r="C208" s="10"/>
      <c r="D208" s="10"/>
      <c r="E208" s="10"/>
      <c r="F208" s="10"/>
      <c r="G208" s="10"/>
      <c r="H208" s="15" t="str">
        <f t="shared" si="8"/>
        <v/>
      </c>
      <c r="I208" s="16" t="str">
        <f t="shared" si="9"/>
        <v/>
      </c>
      <c r="J208" s="17"/>
      <c r="K208" s="17"/>
      <c r="L208" s="16">
        <f t="shared" si="10"/>
        <v>0</v>
      </c>
      <c r="M208" s="16">
        <f t="shared" si="11"/>
        <v>0</v>
      </c>
      <c r="N208" s="16">
        <f t="shared" si="12"/>
        <v>0</v>
      </c>
      <c r="O208" s="16">
        <f t="shared" si="13"/>
        <v>0</v>
      </c>
      <c r="P208" s="16">
        <f t="shared" si="14"/>
        <v>0</v>
      </c>
      <c r="Q208" s="16">
        <f t="shared" si="15"/>
        <v>0</v>
      </c>
    </row>
    <row r="209" ht="18.75" customHeight="1" spans="1:17">
      <c r="A209" s="10"/>
      <c r="B209" s="10"/>
      <c r="C209" s="10"/>
      <c r="D209" s="10"/>
      <c r="E209" s="10"/>
      <c r="F209" s="10"/>
      <c r="G209" s="10"/>
      <c r="H209" s="15" t="str">
        <f t="shared" si="8"/>
        <v/>
      </c>
      <c r="I209" s="16" t="str">
        <f t="shared" si="9"/>
        <v/>
      </c>
      <c r="J209" s="17"/>
      <c r="K209" s="17"/>
      <c r="L209" s="16">
        <f t="shared" si="10"/>
        <v>0</v>
      </c>
      <c r="M209" s="16">
        <f t="shared" si="11"/>
        <v>0</v>
      </c>
      <c r="N209" s="16">
        <f t="shared" si="12"/>
        <v>0</v>
      </c>
      <c r="O209" s="16">
        <f t="shared" si="13"/>
        <v>0</v>
      </c>
      <c r="P209" s="16">
        <f t="shared" si="14"/>
        <v>0</v>
      </c>
      <c r="Q209" s="16">
        <f t="shared" si="15"/>
        <v>0</v>
      </c>
    </row>
    <row r="210" ht="18.75" customHeight="1" spans="1:17">
      <c r="A210" s="10"/>
      <c r="B210" s="10"/>
      <c r="C210" s="10"/>
      <c r="D210" s="10"/>
      <c r="E210" s="10"/>
      <c r="F210" s="10"/>
      <c r="G210" s="10"/>
      <c r="H210" s="15" t="str">
        <f t="shared" si="8"/>
        <v/>
      </c>
      <c r="I210" s="16" t="str">
        <f t="shared" si="9"/>
        <v/>
      </c>
      <c r="J210" s="17"/>
      <c r="K210" s="17"/>
      <c r="L210" s="16">
        <f t="shared" si="10"/>
        <v>0</v>
      </c>
      <c r="M210" s="16">
        <f t="shared" si="11"/>
        <v>0</v>
      </c>
      <c r="N210" s="16">
        <f t="shared" si="12"/>
        <v>0</v>
      </c>
      <c r="O210" s="16">
        <f t="shared" si="13"/>
        <v>0</v>
      </c>
      <c r="P210" s="16">
        <f t="shared" si="14"/>
        <v>0</v>
      </c>
      <c r="Q210" s="16">
        <f t="shared" si="15"/>
        <v>0</v>
      </c>
    </row>
    <row r="211" ht="18.75" customHeight="1"/>
    <row r="212" ht="18.75" customHeight="1"/>
    <row r="213" ht="18.75" customHeight="1" spans="1:16">
      <c r="A213" s="3" t="s">
        <v>452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6"/>
    </row>
    <row r="214" s="1" customFormat="1" ht="18.75" customHeight="1" spans="1:19">
      <c r="A214" s="9" t="s">
        <v>147</v>
      </c>
      <c r="B214" s="9" t="s">
        <v>173</v>
      </c>
      <c r="C214" s="9" t="s">
        <v>453</v>
      </c>
      <c r="D214" s="9" t="s">
        <v>454</v>
      </c>
      <c r="E214" s="9" t="s">
        <v>455</v>
      </c>
      <c r="F214" s="9" t="s">
        <v>135</v>
      </c>
      <c r="G214" s="9" t="s">
        <v>456</v>
      </c>
      <c r="H214" s="9" t="s">
        <v>457</v>
      </c>
      <c r="I214" s="9" t="s">
        <v>458</v>
      </c>
      <c r="J214" s="9" t="s">
        <v>154</v>
      </c>
      <c r="K214" s="9" t="s">
        <v>459</v>
      </c>
      <c r="L214" s="9" t="s">
        <v>460</v>
      </c>
      <c r="M214" s="9" t="s">
        <v>461</v>
      </c>
      <c r="N214" s="9" t="s">
        <v>462</v>
      </c>
      <c r="O214" s="9" t="s">
        <v>463</v>
      </c>
      <c r="P214" s="9" t="s">
        <v>464</v>
      </c>
      <c r="Q214" s="9" t="s">
        <v>465</v>
      </c>
      <c r="R214" s="9" t="s">
        <v>139</v>
      </c>
      <c r="S214" s="9" t="s">
        <v>198</v>
      </c>
    </row>
    <row r="215" ht="18.75" customHeight="1" spans="1:19">
      <c r="A215" s="7" t="s">
        <v>0</v>
      </c>
      <c r="B215" s="10"/>
      <c r="C215" s="10"/>
      <c r="D215" s="10"/>
      <c r="E215" s="18" t="str">
        <f>IFERROR(D215/C215,"")</f>
        <v/>
      </c>
      <c r="F215" s="19"/>
      <c r="G215" s="10"/>
      <c r="H215" s="10"/>
      <c r="I215" s="10"/>
      <c r="J215" s="18" t="str">
        <f>IFERROR((H215-I215)/H215,"")</f>
        <v/>
      </c>
      <c r="K215" s="10"/>
      <c r="L215" s="10"/>
      <c r="M215" s="18" t="str">
        <f>IFERROR((K215-L215)/K215,"")</f>
        <v/>
      </c>
      <c r="N215" s="10"/>
      <c r="O215" s="10"/>
      <c r="P215" s="20">
        <f>IFERROR(O215-N215,"")</f>
        <v>0</v>
      </c>
      <c r="Q215" s="19"/>
      <c r="R215" s="10"/>
      <c r="S215" s="10"/>
    </row>
    <row r="216" ht="18.75" customHeight="1" spans="1:19">
      <c r="A216" s="7" t="s">
        <v>15</v>
      </c>
      <c r="B216" s="10"/>
      <c r="C216" s="10"/>
      <c r="D216" s="10"/>
      <c r="E216" s="18" t="str">
        <f>IFERROR(D216/C216,"")</f>
        <v/>
      </c>
      <c r="F216" s="19"/>
      <c r="G216" s="10"/>
      <c r="H216" s="10"/>
      <c r="I216" s="10"/>
      <c r="J216" s="18" t="str">
        <f>IFERROR((H216-I216)/H216,"")</f>
        <v/>
      </c>
      <c r="K216" s="10"/>
      <c r="L216" s="10"/>
      <c r="M216" s="18" t="str">
        <f>IFERROR((K216-L216)/K216,"")</f>
        <v/>
      </c>
      <c r="N216" s="10"/>
      <c r="O216" s="10"/>
      <c r="P216" s="20">
        <f>IFERROR(O216-N216,"")</f>
        <v>0</v>
      </c>
      <c r="Q216" s="19"/>
      <c r="R216" s="10"/>
      <c r="S216" s="10"/>
    </row>
    <row r="217" ht="18.75" customHeight="1" spans="1:19">
      <c r="A217" s="7" t="s">
        <v>30</v>
      </c>
      <c r="B217" s="10"/>
      <c r="C217" s="10"/>
      <c r="D217" s="10"/>
      <c r="E217" s="18" t="str">
        <f>IFERROR(D217/C217,"")</f>
        <v/>
      </c>
      <c r="F217" s="19"/>
      <c r="G217" s="10"/>
      <c r="H217" s="10"/>
      <c r="I217" s="10"/>
      <c r="J217" s="18" t="str">
        <f>IFERROR((H217-I217)/H217,"")</f>
        <v/>
      </c>
      <c r="K217" s="10"/>
      <c r="L217" s="10"/>
      <c r="M217" s="18" t="str">
        <f>IFERROR((K217-L217)/K217,"")</f>
        <v/>
      </c>
      <c r="N217" s="10"/>
      <c r="O217" s="10"/>
      <c r="P217" s="20">
        <f>IFERROR(O217-N217,"")</f>
        <v>0</v>
      </c>
      <c r="Q217" s="19"/>
      <c r="R217" s="10"/>
      <c r="S217" s="10"/>
    </row>
    <row r="218" ht="18.75" customHeight="1" spans="1:19">
      <c r="A218" s="7" t="s">
        <v>43</v>
      </c>
      <c r="B218" s="10"/>
      <c r="C218" s="10"/>
      <c r="D218" s="10"/>
      <c r="E218" s="18" t="str">
        <f>IFERROR(D218/C218,"")</f>
        <v/>
      </c>
      <c r="F218" s="19"/>
      <c r="G218" s="10"/>
      <c r="H218" s="10"/>
      <c r="I218" s="10"/>
      <c r="J218" s="18" t="str">
        <f>IFERROR((H218-I218)/H218,"")</f>
        <v/>
      </c>
      <c r="K218" s="10"/>
      <c r="L218" s="10"/>
      <c r="M218" s="18" t="str">
        <f>IFERROR((K218-L218)/K218,"")</f>
        <v/>
      </c>
      <c r="N218" s="10"/>
      <c r="O218" s="10"/>
      <c r="P218" s="20">
        <f>IFERROR(O218-N218,"")</f>
        <v>0</v>
      </c>
      <c r="Q218" s="19"/>
      <c r="R218" s="10"/>
      <c r="S218" s="10"/>
    </row>
    <row r="219" ht="18.75" customHeight="1"/>
    <row r="220" ht="18.75" customHeight="1"/>
    <row r="221" ht="18.75" customHeight="1"/>
    <row r="222" ht="18.75" customHeight="1" spans="1:8">
      <c r="A222" s="3" t="s">
        <v>474</v>
      </c>
      <c r="B222" s="4"/>
      <c r="C222" s="4"/>
      <c r="D222" s="4"/>
      <c r="E222" s="4"/>
      <c r="F222" s="4"/>
      <c r="G222" s="4"/>
      <c r="H222" s="6"/>
    </row>
    <row r="223" s="1" customFormat="1" ht="18.75" customHeight="1" spans="1:8">
      <c r="A223" s="9" t="s">
        <v>147</v>
      </c>
      <c r="B223" s="9" t="s">
        <v>113</v>
      </c>
      <c r="C223" s="9" t="s">
        <v>124</v>
      </c>
      <c r="D223" s="9" t="s">
        <v>475</v>
      </c>
      <c r="E223" s="9" t="s">
        <v>476</v>
      </c>
      <c r="F223" s="9" t="s">
        <v>477</v>
      </c>
      <c r="G223" s="9" t="s">
        <v>478</v>
      </c>
      <c r="H223" s="9" t="s">
        <v>198</v>
      </c>
    </row>
    <row r="224" s="1" customFormat="1" ht="18.75" customHeight="1" spans="1:8">
      <c r="A224" s="10"/>
      <c r="B224" s="11"/>
      <c r="C224" s="10"/>
      <c r="D224" s="11"/>
      <c r="E224" s="10"/>
      <c r="F224" s="11"/>
      <c r="G224" s="10"/>
      <c r="H224" s="11"/>
    </row>
    <row r="225" s="1" customFormat="1" ht="18.75" customHeight="1" spans="1:8">
      <c r="A225" s="10"/>
      <c r="B225" s="11"/>
      <c r="C225" s="10"/>
      <c r="D225" s="11"/>
      <c r="E225" s="10"/>
      <c r="F225" s="11"/>
      <c r="G225" s="10"/>
      <c r="H225" s="11"/>
    </row>
    <row r="226" s="1" customFormat="1" ht="18.75" customHeight="1" spans="1:8">
      <c r="A226" s="10"/>
      <c r="B226" s="11"/>
      <c r="C226" s="10"/>
      <c r="D226" s="11"/>
      <c r="E226" s="10"/>
      <c r="F226" s="11"/>
      <c r="G226" s="10"/>
      <c r="H226" s="11"/>
    </row>
    <row r="227" s="1" customFormat="1" ht="18.75" customHeight="1" spans="1:8">
      <c r="A227" s="10"/>
      <c r="B227" s="11"/>
      <c r="C227" s="10"/>
      <c r="D227" s="11"/>
      <c r="E227" s="10"/>
      <c r="F227" s="11"/>
      <c r="G227" s="10"/>
      <c r="H227" s="11"/>
    </row>
    <row r="228" s="1" customFormat="1" ht="18.75" customHeight="1" spans="1:8">
      <c r="A228" s="10"/>
      <c r="B228" s="11"/>
      <c r="C228" s="10"/>
      <c r="D228" s="11"/>
      <c r="E228" s="10"/>
      <c r="F228" s="11"/>
      <c r="G228" s="10"/>
      <c r="H228" s="11"/>
    </row>
    <row r="229" s="1" customFormat="1" ht="18.75" customHeight="1" spans="1:8">
      <c r="A229" s="10"/>
      <c r="B229" s="11"/>
      <c r="C229" s="10"/>
      <c r="D229" s="11"/>
      <c r="E229" s="10"/>
      <c r="F229" s="11"/>
      <c r="G229" s="10"/>
      <c r="H229" s="11"/>
    </row>
    <row r="230" s="1" customFormat="1" ht="18.75" customHeight="1" spans="1:8">
      <c r="A230" s="10"/>
      <c r="B230" s="11"/>
      <c r="C230" s="10"/>
      <c r="D230" s="11"/>
      <c r="E230" s="10"/>
      <c r="F230" s="11"/>
      <c r="G230" s="10"/>
      <c r="H230" s="11"/>
    </row>
  </sheetData>
  <mergeCells count="9">
    <mergeCell ref="A1:T1"/>
    <mergeCell ref="A4:F4"/>
    <mergeCell ref="H4:T4"/>
    <mergeCell ref="A14:J14"/>
    <mergeCell ref="A23:N23"/>
    <mergeCell ref="A57:K57"/>
    <mergeCell ref="A89:Q89"/>
    <mergeCell ref="A213:P213"/>
    <mergeCell ref="A222:H222"/>
  </mergeCells>
  <pageMargins left="0.7" right="0.7" top="0.75" bottom="0.75" header="0.3" footer="0.3"/>
  <headerFooter/>
  <tableParts count="6">
    <tablePart r:id="rId1"/>
    <tablePart r:id="rId2"/>
    <tablePart r:id="rId3"/>
    <tablePart r:id="rId4"/>
    <tablePart r:id="rId5"/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T230"/>
  <sheetViews>
    <sheetView workbookViewId="0">
      <selection activeCell="A1" sqref="A1:T1"/>
    </sheetView>
  </sheetViews>
  <sheetFormatPr defaultColWidth="9" defaultRowHeight="15"/>
  <cols>
    <col min="1" max="2" width="18.0095238095238" style="2" customWidth="1"/>
    <col min="3" max="4" width="24.0095238095238" style="1" customWidth="1"/>
    <col min="5" max="5" width="18.0095238095238" style="2" customWidth="1"/>
    <col min="6" max="6" width="18.0095238095238" style="1" customWidth="1"/>
    <col min="7" max="7" width="14.0095238095238" style="1" customWidth="1"/>
    <col min="8" max="9" width="14.0095238095238" style="2" customWidth="1"/>
    <col min="10" max="11" width="18.0095238095238" style="2" customWidth="1"/>
    <col min="12" max="13" width="14.0095238095238" style="2" customWidth="1"/>
    <col min="14" max="14" width="18.0095238095238" style="2" customWidth="1"/>
    <col min="15" max="20" width="14.0095238095238" style="2" customWidth="1"/>
  </cols>
  <sheetData>
    <row r="1" ht="18.75" customHeight="1" spans="1:20">
      <c r="A1" s="3" t="s">
        <v>512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6"/>
    </row>
    <row r="2" s="1" customFormat="1" ht="18.75" customHeight="1" spans="1:1">
      <c r="A2" s="5" t="s">
        <v>142</v>
      </c>
    </row>
    <row r="3" ht="18.75" customHeight="1"/>
    <row r="4" ht="18.75" customHeight="1" spans="1:20">
      <c r="A4" s="3" t="s">
        <v>143</v>
      </c>
      <c r="B4" s="4"/>
      <c r="C4" s="4"/>
      <c r="D4" s="4"/>
      <c r="E4" s="4"/>
      <c r="F4" s="6"/>
      <c r="H4" s="3" t="s">
        <v>144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6"/>
    </row>
    <row r="5" ht="18.75" customHeight="1" spans="1:19">
      <c r="A5" s="7" t="s">
        <v>145</v>
      </c>
      <c r="B5" s="8" t="s">
        <v>513</v>
      </c>
      <c r="H5" s="9" t="s">
        <v>147</v>
      </c>
      <c r="I5" s="9" t="s">
        <v>148</v>
      </c>
      <c r="J5" s="9" t="s">
        <v>37</v>
      </c>
      <c r="K5" s="9" t="s">
        <v>149</v>
      </c>
      <c r="L5" s="9" t="s">
        <v>49</v>
      </c>
      <c r="M5" s="9" t="s">
        <v>150</v>
      </c>
      <c r="N5" s="9" t="s">
        <v>151</v>
      </c>
      <c r="O5" s="9" t="s">
        <v>152</v>
      </c>
      <c r="P5" s="9" t="s">
        <v>153</v>
      </c>
      <c r="Q5" s="9" t="s">
        <v>135</v>
      </c>
      <c r="R5" s="9" t="s">
        <v>154</v>
      </c>
      <c r="S5" s="9" t="s">
        <v>155</v>
      </c>
    </row>
    <row r="6" ht="18.75" customHeight="1" spans="1:19">
      <c r="A6" s="7" t="s">
        <v>156</v>
      </c>
      <c r="B6" s="8"/>
      <c r="H6" s="7" t="s">
        <v>0</v>
      </c>
      <c r="I6" s="12">
        <f>SUMIFS($L$89:$L$210,$A$89:$A$210,$H6)</f>
        <v>0</v>
      </c>
      <c r="J6" s="12">
        <f>COUNTIFS($A$89:$A$210,$H6,$G$89:$G$210,"Partial")</f>
        <v>0</v>
      </c>
      <c r="K6" s="12">
        <f>SUMIFS($M$89:$M$210,$A$89:$A$210,$H6)</f>
        <v>0</v>
      </c>
      <c r="L6" s="12">
        <f>SUMIFS($N$89:$N$210,$A$89:$A$210,$H6)</f>
        <v>0</v>
      </c>
      <c r="M6" s="13" t="str">
        <f>IFERROR(I6/(I6+K6),"")</f>
        <v/>
      </c>
      <c r="N6" s="13" t="str">
        <f>IFERROR(I6/(I6+L6),"")</f>
        <v/>
      </c>
      <c r="O6" s="13" t="str">
        <f>IFERROR(2*M6*N6/(M6+N6),"")</f>
        <v/>
      </c>
      <c r="P6" s="13" t="str">
        <f>IFERROR(2*(SUMIFS($O$89:$O$210,$A$89:$A$210,$H6)/(SUMIFS($O$89:$O$210,$A$89:$A$210,$H6)+SUMIFS($P$89:$P$210,$A$89:$A$210,$H6)))*(SUMIFS($O$89:$O$210,$A$89:$A$210,$H6)/(SUMIFS($O$89:$O$210,$A$89:$A$210,$H6)+SUMIFS($Q$89:$Q$210,$A$89:$A$210,$H6)))/((SUMIFS($O$89:$O$210,$A$89:$A$210,$H6)/(SUMIFS($O$89:$O$210,$A$89:$A$210,$H6)+SUMIFS($P$89:$P$210,$A$89:$A$210,$H6)))+(SUMIFS($O$89:$O$210,$A$89:$A$210,$H6)/(SUMIFS($O$89:$O$210,$A$89:$A$210,$H6)+SUMIFS($Q$89:$Q$210,$A$89:$A$210,$H6)))),"")</f>
        <v/>
      </c>
      <c r="Q6" s="12">
        <f>IFERROR(INDEX($F$215:$F$218,MATCH($H6,$A$215:$A$218,0)),"")</f>
        <v>0</v>
      </c>
      <c r="R6" s="13" t="str">
        <f>IFERROR(INDEX($J$215:$J$218,MATCH($H6,$A$215:$A$218,0)),"")</f>
        <v/>
      </c>
      <c r="S6" s="14">
        <f>IFERROR(INDEX($R$215:$R$218,MATCH($H6,$A$215:$A$218,0)),"")</f>
        <v>0</v>
      </c>
    </row>
    <row r="7" ht="18.75" customHeight="1" spans="1:19">
      <c r="A7" s="7" t="s">
        <v>158</v>
      </c>
      <c r="B7" s="8"/>
      <c r="H7" s="7" t="s">
        <v>15</v>
      </c>
      <c r="I7" s="12">
        <f>SUMIFS($L$89:$L$210,$A$89:$A$210,$H7)</f>
        <v>0</v>
      </c>
      <c r="J7" s="12">
        <f>COUNTIFS($A$89:$A$210,$H7,$G$89:$G$210,"Partial")</f>
        <v>0</v>
      </c>
      <c r="K7" s="12">
        <f>SUMIFS($M$89:$M$210,$A$89:$A$210,$H7)</f>
        <v>0</v>
      </c>
      <c r="L7" s="12">
        <f>SUMIFS($N$89:$N$210,$A$89:$A$210,$H7)</f>
        <v>0</v>
      </c>
      <c r="M7" s="13" t="str">
        <f>IFERROR(I7/(I7+K7),"")</f>
        <v/>
      </c>
      <c r="N7" s="13" t="str">
        <f>IFERROR(I7/(I7+L7),"")</f>
        <v/>
      </c>
      <c r="O7" s="13" t="str">
        <f>IFERROR(2*M7*N7/(M7+N7),"")</f>
        <v/>
      </c>
      <c r="P7" s="13" t="str">
        <f>IFERROR(2*(SUMIFS($O$89:$O$210,$A$89:$A$210,$H7)/(SUMIFS($O$89:$O$210,$A$89:$A$210,$H7)+SUMIFS($P$89:$P$210,$A$89:$A$210,$H7)))*(SUMIFS($O$89:$O$210,$A$89:$A$210,$H7)/(SUMIFS($O$89:$O$210,$A$89:$A$210,$H7)+SUMIFS($Q$89:$Q$210,$A$89:$A$210,$H7)))/((SUMIFS($O$89:$O$210,$A$89:$A$210,$H7)/(SUMIFS($O$89:$O$210,$A$89:$A$210,$H7)+SUMIFS($P$89:$P$210,$A$89:$A$210,$H7)))+(SUMIFS($O$89:$O$210,$A$89:$A$210,$H7)/(SUMIFS($O$89:$O$210,$A$89:$A$210,$H7)+SUMIFS($Q$89:$Q$210,$A$89:$A$210,$H7)))),"")</f>
        <v/>
      </c>
      <c r="Q7" s="12">
        <f>IFERROR(INDEX($F$215:$F$218,MATCH($H7,$A$215:$A$218,0)),"")</f>
        <v>0</v>
      </c>
      <c r="R7" s="13" t="str">
        <f>IFERROR(INDEX($J$215:$J$218,MATCH($H7,$A$215:$A$218,0)),"")</f>
        <v/>
      </c>
      <c r="S7" s="14">
        <f>IFERROR(INDEX($R$215:$R$218,MATCH($H7,$A$215:$A$218,0)),"")</f>
        <v>0</v>
      </c>
    </row>
    <row r="8" ht="18.75" customHeight="1" spans="1:19">
      <c r="A8" s="7" t="s">
        <v>107</v>
      </c>
      <c r="B8" s="8"/>
      <c r="H8" s="7" t="s">
        <v>30</v>
      </c>
      <c r="I8" s="12">
        <f>SUMIFS($L$89:$L$210,$A$89:$A$210,$H8)</f>
        <v>0</v>
      </c>
      <c r="J8" s="12">
        <f>COUNTIFS($A$89:$A$210,$H8,$G$89:$G$210,"Partial")</f>
        <v>0</v>
      </c>
      <c r="K8" s="12">
        <f>SUMIFS($M$89:$M$210,$A$89:$A$210,$H8)</f>
        <v>0</v>
      </c>
      <c r="L8" s="12">
        <f>SUMIFS($N$89:$N$210,$A$89:$A$210,$H8)</f>
        <v>0</v>
      </c>
      <c r="M8" s="13" t="str">
        <f>IFERROR(I8/(I8+K8),"")</f>
        <v/>
      </c>
      <c r="N8" s="13" t="str">
        <f>IFERROR(I8/(I8+L8),"")</f>
        <v/>
      </c>
      <c r="O8" s="13" t="str">
        <f>IFERROR(2*M8*N8/(M8+N8),"")</f>
        <v/>
      </c>
      <c r="P8" s="13" t="str">
        <f>IFERROR(2*(SUMIFS($O$89:$O$210,$A$89:$A$210,$H8)/(SUMIFS($O$89:$O$210,$A$89:$A$210,$H8)+SUMIFS($P$89:$P$210,$A$89:$A$210,$H8)))*(SUMIFS($O$89:$O$210,$A$89:$A$210,$H8)/(SUMIFS($O$89:$O$210,$A$89:$A$210,$H8)+SUMIFS($Q$89:$Q$210,$A$89:$A$210,$H8)))/((SUMIFS($O$89:$O$210,$A$89:$A$210,$H8)/(SUMIFS($O$89:$O$210,$A$89:$A$210,$H8)+SUMIFS($P$89:$P$210,$A$89:$A$210,$H8)))+(SUMIFS($O$89:$O$210,$A$89:$A$210,$H8)/(SUMIFS($O$89:$O$210,$A$89:$A$210,$H8)+SUMIFS($Q$89:$Q$210,$A$89:$A$210,$H8)))),"")</f>
        <v/>
      </c>
      <c r="Q8" s="12">
        <f>IFERROR(INDEX($F$215:$F$218,MATCH($H8,$A$215:$A$218,0)),"")</f>
        <v>0</v>
      </c>
      <c r="R8" s="13" t="str">
        <f>IFERROR(INDEX($J$215:$J$218,MATCH($H8,$A$215:$A$218,0)),"")</f>
        <v/>
      </c>
      <c r="S8" s="14">
        <f>IFERROR(INDEX($R$215:$R$218,MATCH($H8,$A$215:$A$218,0)),"")</f>
        <v>0</v>
      </c>
    </row>
    <row r="9" ht="18.75" customHeight="1" spans="1:19">
      <c r="A9" s="7" t="s">
        <v>160</v>
      </c>
      <c r="B9" s="8"/>
      <c r="H9" s="7" t="s">
        <v>43</v>
      </c>
      <c r="I9" s="12">
        <f>SUMIFS($L$89:$L$210,$A$89:$A$210,$H9)</f>
        <v>0</v>
      </c>
      <c r="J9" s="12">
        <f>COUNTIFS($A$89:$A$210,$H9,$G$89:$G$210,"Partial")</f>
        <v>0</v>
      </c>
      <c r="K9" s="12">
        <f>SUMIFS($M$89:$M$210,$A$89:$A$210,$H9)</f>
        <v>0</v>
      </c>
      <c r="L9" s="12">
        <f>SUMIFS($N$89:$N$210,$A$89:$A$210,$H9)</f>
        <v>0</v>
      </c>
      <c r="M9" s="13" t="str">
        <f>IFERROR(I9/(I9+K9),"")</f>
        <v/>
      </c>
      <c r="N9" s="13" t="str">
        <f>IFERROR(I9/(I9+L9),"")</f>
        <v/>
      </c>
      <c r="O9" s="13" t="str">
        <f>IFERROR(2*M9*N9/(M9+N9),"")</f>
        <v/>
      </c>
      <c r="P9" s="13" t="str">
        <f>IFERROR(2*(SUMIFS($O$89:$O$210,$A$89:$A$210,$H9)/(SUMIFS($O$89:$O$210,$A$89:$A$210,$H9)+SUMIFS($P$89:$P$210,$A$89:$A$210,$H9)))*(SUMIFS($O$89:$O$210,$A$89:$A$210,$H9)/(SUMIFS($O$89:$O$210,$A$89:$A$210,$H9)+SUMIFS($Q$89:$Q$210,$A$89:$A$210,$H9)))/((SUMIFS($O$89:$O$210,$A$89:$A$210,$H9)/(SUMIFS($O$89:$O$210,$A$89:$A$210,$H9)+SUMIFS($P$89:$P$210,$A$89:$A$210,$H9)))+(SUMIFS($O$89:$O$210,$A$89:$A$210,$H9)/(SUMIFS($O$89:$O$210,$A$89:$A$210,$H9)+SUMIFS($Q$89:$Q$210,$A$89:$A$210,$H9)))),"")</f>
        <v/>
      </c>
      <c r="Q9" s="12">
        <f>IFERROR(INDEX($F$215:$F$218,MATCH($H9,$A$215:$A$218,0)),"")</f>
        <v>0</v>
      </c>
      <c r="R9" s="13" t="str">
        <f>IFERROR(INDEX($J$215:$J$218,MATCH($H9,$A$215:$A$218,0)),"")</f>
        <v/>
      </c>
      <c r="S9" s="14">
        <f>IFERROR(INDEX($R$215:$R$218,MATCH($H9,$A$215:$A$218,0)),"")</f>
        <v>0</v>
      </c>
    </row>
    <row r="10" ht="18.75" customHeight="1" spans="1:2">
      <c r="A10" s="7" t="s">
        <v>161</v>
      </c>
      <c r="B10" s="8"/>
    </row>
    <row r="11" ht="18.75" customHeight="1" spans="1:2">
      <c r="A11" s="7" t="s">
        <v>162</v>
      </c>
      <c r="B11" s="8"/>
    </row>
    <row r="12" ht="18.75" customHeight="1" spans="1:2">
      <c r="A12" s="7" t="s">
        <v>163</v>
      </c>
      <c r="B12" s="8"/>
    </row>
    <row r="13" ht="18.75" customHeight="1"/>
    <row r="14" ht="18.75" customHeight="1" spans="1:10">
      <c r="A14" s="3" t="s">
        <v>165</v>
      </c>
      <c r="B14" s="4"/>
      <c r="C14" s="4"/>
      <c r="D14" s="4"/>
      <c r="E14" s="4"/>
      <c r="F14" s="4"/>
      <c r="G14" s="4"/>
      <c r="H14" s="4"/>
      <c r="I14" s="4"/>
      <c r="J14" s="6"/>
    </row>
    <row r="15" s="1" customFormat="1" ht="18.75" customHeight="1" spans="1:10">
      <c r="A15" s="9" t="s">
        <v>147</v>
      </c>
      <c r="B15" s="9" t="s">
        <v>166</v>
      </c>
      <c r="C15" s="9" t="s">
        <v>167</v>
      </c>
      <c r="D15" s="9" t="s">
        <v>168</v>
      </c>
      <c r="E15" s="9" t="s">
        <v>169</v>
      </c>
      <c r="F15" s="9" t="s">
        <v>110</v>
      </c>
      <c r="G15" s="9" t="s">
        <v>170</v>
      </c>
      <c r="H15" s="9" t="s">
        <v>171</v>
      </c>
      <c r="I15" s="9" t="s">
        <v>172</v>
      </c>
      <c r="J15" s="9" t="s">
        <v>173</v>
      </c>
    </row>
    <row r="16" ht="18.75" customHeight="1" spans="1:10">
      <c r="A16" s="7" t="s">
        <v>0</v>
      </c>
      <c r="B16" s="10"/>
      <c r="C16" s="10"/>
      <c r="D16" s="10"/>
      <c r="E16" s="10"/>
      <c r="F16" s="10"/>
      <c r="G16" s="10"/>
      <c r="H16" s="10"/>
      <c r="I16" s="10"/>
      <c r="J16" s="10"/>
    </row>
    <row r="17" ht="18.75" customHeight="1" spans="1:10">
      <c r="A17" s="7" t="s">
        <v>15</v>
      </c>
      <c r="B17" s="10"/>
      <c r="C17" s="10"/>
      <c r="D17" s="10"/>
      <c r="E17" s="10"/>
      <c r="F17" s="10"/>
      <c r="G17" s="10"/>
      <c r="H17" s="10"/>
      <c r="I17" s="10"/>
      <c r="J17" s="10"/>
    </row>
    <row r="18" ht="18.75" customHeight="1" spans="1:10">
      <c r="A18" s="7" t="s">
        <v>30</v>
      </c>
      <c r="B18" s="10"/>
      <c r="C18" s="10"/>
      <c r="D18" s="10"/>
      <c r="E18" s="10"/>
      <c r="F18" s="10"/>
      <c r="G18" s="10"/>
      <c r="H18" s="10"/>
      <c r="I18" s="10"/>
      <c r="J18" s="10"/>
    </row>
    <row r="19" ht="18.75" customHeight="1" spans="1:10">
      <c r="A19" s="7" t="s">
        <v>43</v>
      </c>
      <c r="B19" s="10"/>
      <c r="C19" s="10"/>
      <c r="D19" s="10"/>
      <c r="E19" s="10"/>
      <c r="F19" s="10"/>
      <c r="G19" s="10"/>
      <c r="H19" s="10"/>
      <c r="I19" s="10"/>
      <c r="J19" s="10"/>
    </row>
    <row r="20" ht="18.75" customHeight="1"/>
    <row r="21" ht="18.75" customHeight="1"/>
    <row r="22" ht="18.75" customHeight="1"/>
    <row r="23" ht="18.75" customHeight="1" spans="1:14">
      <c r="A23" s="3" t="s">
        <v>189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6"/>
    </row>
    <row r="24" s="1" customFormat="1" ht="18.75" customHeight="1" spans="1:14">
      <c r="A24" s="9" t="s">
        <v>113</v>
      </c>
      <c r="B24" s="9" t="s">
        <v>190</v>
      </c>
      <c r="C24" s="9" t="s">
        <v>191</v>
      </c>
      <c r="D24" s="9" t="s">
        <v>115</v>
      </c>
      <c r="E24" s="9" t="s">
        <v>117</v>
      </c>
      <c r="F24" s="9" t="s">
        <v>192</v>
      </c>
      <c r="G24" s="9" t="s">
        <v>119</v>
      </c>
      <c r="H24" s="9" t="s">
        <v>193</v>
      </c>
      <c r="I24" s="9" t="s">
        <v>194</v>
      </c>
      <c r="J24" s="9" t="s">
        <v>195</v>
      </c>
      <c r="K24" s="9" t="s">
        <v>121</v>
      </c>
      <c r="L24" s="9" t="s">
        <v>196</v>
      </c>
      <c r="M24" s="9" t="s">
        <v>197</v>
      </c>
      <c r="N24" s="9" t="s">
        <v>198</v>
      </c>
    </row>
    <row r="25" s="1" customFormat="1" ht="18.75" customHeight="1" spans="1:14">
      <c r="A25" s="10"/>
      <c r="B25" s="11"/>
      <c r="C25" s="10"/>
      <c r="D25" s="11"/>
      <c r="E25" s="10"/>
      <c r="F25" s="11"/>
      <c r="G25" s="10"/>
      <c r="H25" s="11"/>
      <c r="I25" s="10"/>
      <c r="J25" s="11"/>
      <c r="K25" s="10"/>
      <c r="L25" s="11"/>
      <c r="M25" s="10"/>
      <c r="N25" s="11"/>
    </row>
    <row r="26" s="1" customFormat="1" ht="18.75" customHeight="1" spans="1:14">
      <c r="A26" s="10"/>
      <c r="B26" s="11"/>
      <c r="C26" s="10"/>
      <c r="D26" s="11"/>
      <c r="E26" s="10"/>
      <c r="F26" s="11"/>
      <c r="G26" s="10"/>
      <c r="H26" s="11"/>
      <c r="I26" s="10"/>
      <c r="J26" s="11"/>
      <c r="K26" s="10"/>
      <c r="L26" s="11"/>
      <c r="M26" s="10"/>
      <c r="N26" s="11"/>
    </row>
    <row r="27" s="1" customFormat="1" ht="18.75" customHeight="1" spans="1:14">
      <c r="A27" s="10"/>
      <c r="B27" s="11"/>
      <c r="C27" s="10"/>
      <c r="D27" s="11"/>
      <c r="E27" s="10"/>
      <c r="F27" s="11"/>
      <c r="G27" s="10"/>
      <c r="H27" s="11"/>
      <c r="I27" s="10"/>
      <c r="J27" s="11"/>
      <c r="K27" s="10"/>
      <c r="L27" s="11"/>
      <c r="M27" s="10"/>
      <c r="N27" s="11"/>
    </row>
    <row r="28" s="1" customFormat="1" ht="18.75" customHeight="1" spans="1:14">
      <c r="A28" s="10"/>
      <c r="B28" s="11"/>
      <c r="C28" s="10"/>
      <c r="D28" s="11"/>
      <c r="E28" s="10"/>
      <c r="F28" s="11"/>
      <c r="G28" s="10"/>
      <c r="H28" s="11"/>
      <c r="I28" s="10"/>
      <c r="J28" s="11"/>
      <c r="K28" s="10"/>
      <c r="L28" s="11"/>
      <c r="M28" s="10"/>
      <c r="N28" s="11"/>
    </row>
    <row r="29" s="1" customFormat="1" ht="18.75" customHeight="1" spans="1:14">
      <c r="A29" s="10"/>
      <c r="B29" s="11"/>
      <c r="C29" s="10"/>
      <c r="D29" s="11"/>
      <c r="E29" s="10"/>
      <c r="F29" s="11"/>
      <c r="G29" s="10"/>
      <c r="H29" s="11"/>
      <c r="I29" s="10"/>
      <c r="J29" s="11"/>
      <c r="K29" s="10"/>
      <c r="L29" s="11"/>
      <c r="M29" s="10"/>
      <c r="N29" s="11"/>
    </row>
    <row r="30" s="1" customFormat="1" ht="18.75" customHeight="1" spans="1:14">
      <c r="A30" s="10"/>
      <c r="B30" s="11"/>
      <c r="C30" s="10"/>
      <c r="D30" s="11"/>
      <c r="E30" s="10"/>
      <c r="F30" s="11"/>
      <c r="G30" s="10"/>
      <c r="H30" s="11"/>
      <c r="I30" s="10"/>
      <c r="J30" s="11"/>
      <c r="K30" s="10"/>
      <c r="L30" s="11"/>
      <c r="M30" s="10"/>
      <c r="N30" s="11"/>
    </row>
    <row r="31" s="1" customFormat="1" ht="18.75" customHeight="1" spans="1:14">
      <c r="A31" s="10"/>
      <c r="B31" s="11"/>
      <c r="C31" s="10"/>
      <c r="D31" s="11"/>
      <c r="E31" s="10"/>
      <c r="F31" s="11"/>
      <c r="G31" s="10"/>
      <c r="H31" s="11"/>
      <c r="I31" s="10"/>
      <c r="J31" s="11"/>
      <c r="K31" s="10"/>
      <c r="L31" s="11"/>
      <c r="M31" s="10"/>
      <c r="N31" s="11"/>
    </row>
    <row r="32" s="1" customFormat="1" ht="18.75" customHeight="1" spans="1:14">
      <c r="A32" s="10"/>
      <c r="B32" s="11"/>
      <c r="C32" s="10"/>
      <c r="D32" s="11"/>
      <c r="E32" s="10"/>
      <c r="F32" s="11"/>
      <c r="G32" s="10"/>
      <c r="H32" s="11"/>
      <c r="I32" s="10"/>
      <c r="J32" s="11"/>
      <c r="K32" s="10"/>
      <c r="L32" s="11"/>
      <c r="M32" s="10"/>
      <c r="N32" s="11"/>
    </row>
    <row r="33" s="1" customFormat="1" ht="18.75" customHeight="1" spans="1:14">
      <c r="A33" s="10"/>
      <c r="B33" s="11"/>
      <c r="C33" s="10"/>
      <c r="D33" s="11"/>
      <c r="E33" s="10"/>
      <c r="F33" s="11"/>
      <c r="G33" s="10"/>
      <c r="H33" s="11"/>
      <c r="I33" s="10"/>
      <c r="J33" s="11"/>
      <c r="K33" s="10"/>
      <c r="L33" s="11"/>
      <c r="M33" s="10"/>
      <c r="N33" s="11"/>
    </row>
    <row r="34" s="1" customFormat="1" ht="18.75" customHeight="1" spans="1:14">
      <c r="A34" s="10"/>
      <c r="B34" s="11"/>
      <c r="C34" s="10"/>
      <c r="D34" s="11"/>
      <c r="E34" s="10"/>
      <c r="F34" s="11"/>
      <c r="G34" s="10"/>
      <c r="H34" s="11"/>
      <c r="I34" s="10"/>
      <c r="J34" s="11"/>
      <c r="K34" s="10"/>
      <c r="L34" s="11"/>
      <c r="M34" s="10"/>
      <c r="N34" s="11"/>
    </row>
    <row r="35" s="1" customFormat="1" ht="18.75" customHeight="1" spans="1:14">
      <c r="A35" s="10"/>
      <c r="B35" s="11"/>
      <c r="C35" s="10"/>
      <c r="D35" s="11"/>
      <c r="E35" s="10"/>
      <c r="F35" s="11"/>
      <c r="G35" s="10"/>
      <c r="H35" s="11"/>
      <c r="I35" s="10"/>
      <c r="J35" s="11"/>
      <c r="K35" s="10"/>
      <c r="L35" s="11"/>
      <c r="M35" s="10"/>
      <c r="N35" s="11"/>
    </row>
    <row r="36" s="1" customFormat="1" ht="18.75" customHeight="1" spans="1:14">
      <c r="A36" s="10"/>
      <c r="B36" s="11"/>
      <c r="C36" s="10"/>
      <c r="D36" s="11"/>
      <c r="E36" s="10"/>
      <c r="F36" s="11"/>
      <c r="G36" s="10"/>
      <c r="H36" s="11"/>
      <c r="I36" s="10"/>
      <c r="J36" s="11"/>
      <c r="K36" s="10"/>
      <c r="L36" s="11"/>
      <c r="M36" s="10"/>
      <c r="N36" s="11"/>
    </row>
    <row r="37" s="1" customFormat="1" ht="18.75" customHeight="1" spans="1:14">
      <c r="A37" s="10"/>
      <c r="B37" s="11"/>
      <c r="C37" s="10"/>
      <c r="D37" s="11"/>
      <c r="E37" s="10"/>
      <c r="F37" s="11"/>
      <c r="G37" s="10"/>
      <c r="H37" s="11"/>
      <c r="I37" s="10"/>
      <c r="J37" s="11"/>
      <c r="K37" s="10"/>
      <c r="L37" s="11"/>
      <c r="M37" s="10"/>
      <c r="N37" s="11"/>
    </row>
    <row r="38" s="1" customFormat="1" ht="18.75" customHeight="1" spans="1:14">
      <c r="A38" s="10"/>
      <c r="B38" s="11"/>
      <c r="C38" s="10"/>
      <c r="D38" s="11"/>
      <c r="E38" s="10"/>
      <c r="F38" s="11"/>
      <c r="G38" s="10"/>
      <c r="H38" s="11"/>
      <c r="I38" s="10"/>
      <c r="J38" s="11"/>
      <c r="K38" s="10"/>
      <c r="L38" s="11"/>
      <c r="M38" s="10"/>
      <c r="N38" s="11"/>
    </row>
    <row r="39" s="1" customFormat="1" ht="18.75" customHeight="1" spans="1:14">
      <c r="A39" s="10"/>
      <c r="B39" s="11"/>
      <c r="C39" s="10"/>
      <c r="D39" s="11"/>
      <c r="E39" s="10"/>
      <c r="F39" s="11"/>
      <c r="G39" s="10"/>
      <c r="H39" s="11"/>
      <c r="I39" s="10"/>
      <c r="J39" s="11"/>
      <c r="K39" s="10"/>
      <c r="L39" s="11"/>
      <c r="M39" s="10"/>
      <c r="N39" s="11"/>
    </row>
    <row r="40" s="1" customFormat="1" ht="18.75" customHeight="1" spans="1:14">
      <c r="A40" s="10"/>
      <c r="B40" s="11"/>
      <c r="C40" s="10"/>
      <c r="D40" s="11"/>
      <c r="E40" s="10"/>
      <c r="F40" s="11"/>
      <c r="G40" s="10"/>
      <c r="H40" s="11"/>
      <c r="I40" s="10"/>
      <c r="J40" s="11"/>
      <c r="K40" s="10"/>
      <c r="L40" s="11"/>
      <c r="M40" s="10"/>
      <c r="N40" s="11"/>
    </row>
    <row r="41" s="1" customFormat="1" ht="18.75" customHeight="1" spans="1:14">
      <c r="A41" s="10"/>
      <c r="B41" s="11"/>
      <c r="C41" s="10"/>
      <c r="D41" s="11"/>
      <c r="E41" s="10"/>
      <c r="F41" s="11"/>
      <c r="G41" s="10"/>
      <c r="H41" s="11"/>
      <c r="I41" s="10"/>
      <c r="J41" s="11"/>
      <c r="K41" s="10"/>
      <c r="L41" s="11"/>
      <c r="M41" s="10"/>
      <c r="N41" s="11"/>
    </row>
    <row r="42" s="1" customFormat="1" ht="18.75" customHeight="1" spans="1:14">
      <c r="A42" s="10"/>
      <c r="B42" s="11"/>
      <c r="C42" s="10"/>
      <c r="D42" s="11"/>
      <c r="E42" s="10"/>
      <c r="F42" s="11"/>
      <c r="G42" s="10"/>
      <c r="H42" s="11"/>
      <c r="I42" s="10"/>
      <c r="J42" s="11"/>
      <c r="K42" s="10"/>
      <c r="L42" s="11"/>
      <c r="M42" s="10"/>
      <c r="N42" s="11"/>
    </row>
    <row r="43" s="1" customFormat="1" ht="18.75" customHeight="1" spans="1:14">
      <c r="A43" s="10"/>
      <c r="B43" s="11"/>
      <c r="C43" s="10"/>
      <c r="D43" s="11"/>
      <c r="E43" s="10"/>
      <c r="F43" s="11"/>
      <c r="G43" s="10"/>
      <c r="H43" s="11"/>
      <c r="I43" s="10"/>
      <c r="J43" s="11"/>
      <c r="K43" s="10"/>
      <c r="L43" s="11"/>
      <c r="M43" s="10"/>
      <c r="N43" s="11"/>
    </row>
    <row r="44" s="1" customFormat="1" ht="18.75" customHeight="1" spans="1:14">
      <c r="A44" s="10"/>
      <c r="B44" s="11"/>
      <c r="C44" s="10"/>
      <c r="D44" s="11"/>
      <c r="E44" s="10"/>
      <c r="F44" s="11"/>
      <c r="G44" s="10"/>
      <c r="H44" s="11"/>
      <c r="I44" s="10"/>
      <c r="J44" s="11"/>
      <c r="K44" s="10"/>
      <c r="L44" s="11"/>
      <c r="M44" s="10"/>
      <c r="N44" s="11"/>
    </row>
    <row r="45" s="1" customFormat="1" ht="18.75" customHeight="1" spans="1:14">
      <c r="A45" s="10"/>
      <c r="B45" s="11"/>
      <c r="C45" s="10"/>
      <c r="D45" s="11"/>
      <c r="E45" s="10"/>
      <c r="F45" s="11"/>
      <c r="G45" s="10"/>
      <c r="H45" s="11"/>
      <c r="I45" s="10"/>
      <c r="J45" s="11"/>
      <c r="K45" s="10"/>
      <c r="L45" s="11"/>
      <c r="M45" s="10"/>
      <c r="N45" s="11"/>
    </row>
    <row r="46" s="1" customFormat="1" ht="18.75" customHeight="1" spans="1:14">
      <c r="A46" s="10"/>
      <c r="B46" s="11"/>
      <c r="C46" s="10"/>
      <c r="D46" s="11"/>
      <c r="E46" s="10"/>
      <c r="F46" s="11"/>
      <c r="G46" s="10"/>
      <c r="H46" s="11"/>
      <c r="I46" s="10"/>
      <c r="J46" s="11"/>
      <c r="K46" s="10"/>
      <c r="L46" s="11"/>
      <c r="M46" s="10"/>
      <c r="N46" s="11"/>
    </row>
    <row r="47" s="1" customFormat="1" ht="18.75" customHeight="1" spans="1:14">
      <c r="A47" s="10"/>
      <c r="B47" s="11"/>
      <c r="C47" s="10"/>
      <c r="D47" s="11"/>
      <c r="E47" s="10"/>
      <c r="F47" s="11"/>
      <c r="G47" s="10"/>
      <c r="H47" s="11"/>
      <c r="I47" s="10"/>
      <c r="J47" s="11"/>
      <c r="K47" s="10"/>
      <c r="L47" s="11"/>
      <c r="M47" s="10"/>
      <c r="N47" s="11"/>
    </row>
    <row r="48" s="1" customFormat="1" ht="18.75" customHeight="1" spans="1:14">
      <c r="A48" s="10"/>
      <c r="B48" s="11"/>
      <c r="C48" s="10"/>
      <c r="D48" s="11"/>
      <c r="E48" s="10"/>
      <c r="F48" s="11"/>
      <c r="G48" s="10"/>
      <c r="H48" s="11"/>
      <c r="I48" s="10"/>
      <c r="J48" s="11"/>
      <c r="K48" s="10"/>
      <c r="L48" s="11"/>
      <c r="M48" s="10"/>
      <c r="N48" s="11"/>
    </row>
    <row r="49" s="1" customFormat="1" ht="18.75" customHeight="1" spans="1:14">
      <c r="A49" s="10"/>
      <c r="B49" s="11"/>
      <c r="C49" s="10"/>
      <c r="D49" s="11"/>
      <c r="E49" s="10"/>
      <c r="F49" s="11"/>
      <c r="G49" s="10"/>
      <c r="H49" s="11"/>
      <c r="I49" s="10"/>
      <c r="J49" s="11"/>
      <c r="K49" s="10"/>
      <c r="L49" s="11"/>
      <c r="M49" s="10"/>
      <c r="N49" s="11"/>
    </row>
    <row r="50" s="1" customFormat="1" ht="18.75" customHeight="1" spans="1:14">
      <c r="A50" s="10"/>
      <c r="B50" s="11"/>
      <c r="C50" s="10"/>
      <c r="D50" s="11"/>
      <c r="E50" s="10"/>
      <c r="F50" s="11"/>
      <c r="G50" s="10"/>
      <c r="H50" s="11"/>
      <c r="I50" s="10"/>
      <c r="J50" s="11"/>
      <c r="K50" s="10"/>
      <c r="L50" s="11"/>
      <c r="M50" s="10"/>
      <c r="N50" s="11"/>
    </row>
    <row r="51" s="1" customFormat="1" ht="18.75" customHeight="1" spans="1:14">
      <c r="A51" s="10"/>
      <c r="B51" s="11"/>
      <c r="C51" s="10"/>
      <c r="D51" s="11"/>
      <c r="E51" s="10"/>
      <c r="F51" s="11"/>
      <c r="G51" s="10"/>
      <c r="H51" s="11"/>
      <c r="I51" s="10"/>
      <c r="J51" s="11"/>
      <c r="K51" s="10"/>
      <c r="L51" s="11"/>
      <c r="M51" s="10"/>
      <c r="N51" s="11"/>
    </row>
    <row r="52" s="1" customFormat="1" ht="18.75" customHeight="1" spans="1:14">
      <c r="A52" s="10"/>
      <c r="B52" s="11"/>
      <c r="C52" s="10"/>
      <c r="D52" s="11"/>
      <c r="E52" s="10"/>
      <c r="F52" s="11"/>
      <c r="G52" s="10"/>
      <c r="H52" s="11"/>
      <c r="I52" s="10"/>
      <c r="J52" s="11"/>
      <c r="K52" s="10"/>
      <c r="L52" s="11"/>
      <c r="M52" s="10"/>
      <c r="N52" s="11"/>
    </row>
    <row r="53" s="1" customFormat="1" ht="18.75" customHeight="1" spans="1:14">
      <c r="A53" s="10"/>
      <c r="B53" s="11"/>
      <c r="C53" s="10"/>
      <c r="D53" s="11"/>
      <c r="E53" s="10"/>
      <c r="F53" s="11"/>
      <c r="G53" s="10"/>
      <c r="H53" s="11"/>
      <c r="I53" s="10"/>
      <c r="J53" s="11"/>
      <c r="K53" s="10"/>
      <c r="L53" s="11"/>
      <c r="M53" s="10"/>
      <c r="N53" s="11"/>
    </row>
    <row r="54" s="1" customFormat="1" ht="18.75" customHeight="1" spans="1:14">
      <c r="A54" s="10"/>
      <c r="B54" s="11"/>
      <c r="C54" s="10"/>
      <c r="D54" s="11"/>
      <c r="E54" s="10"/>
      <c r="F54" s="11"/>
      <c r="G54" s="10"/>
      <c r="H54" s="11"/>
      <c r="I54" s="10"/>
      <c r="J54" s="11"/>
      <c r="K54" s="10"/>
      <c r="L54" s="11"/>
      <c r="M54" s="10"/>
      <c r="N54" s="11"/>
    </row>
    <row r="55" ht="18.75" customHeight="1"/>
    <row r="56" ht="18.75" customHeight="1"/>
    <row r="57" ht="18.75" customHeight="1" spans="1:11">
      <c r="A57" s="3" t="s">
        <v>340</v>
      </c>
      <c r="B57" s="4"/>
      <c r="C57" s="4"/>
      <c r="D57" s="4"/>
      <c r="E57" s="4"/>
      <c r="F57" s="4"/>
      <c r="G57" s="4"/>
      <c r="H57" s="4"/>
      <c r="I57" s="4"/>
      <c r="J57" s="4"/>
      <c r="K57" s="6"/>
    </row>
    <row r="58" s="1" customFormat="1" ht="18.75" customHeight="1" spans="1:11">
      <c r="A58" s="9" t="s">
        <v>124</v>
      </c>
      <c r="B58" s="9" t="s">
        <v>147</v>
      </c>
      <c r="C58" s="9" t="s">
        <v>341</v>
      </c>
      <c r="D58" s="9" t="s">
        <v>342</v>
      </c>
      <c r="E58" s="9" t="s">
        <v>343</v>
      </c>
      <c r="F58" s="9" t="s">
        <v>344</v>
      </c>
      <c r="G58" s="9" t="s">
        <v>171</v>
      </c>
      <c r="H58" s="9" t="s">
        <v>172</v>
      </c>
      <c r="I58" s="9" t="s">
        <v>345</v>
      </c>
      <c r="J58" s="9" t="s">
        <v>126</v>
      </c>
      <c r="K58" s="9" t="s">
        <v>198</v>
      </c>
    </row>
    <row r="59" s="1" customFormat="1" ht="18.75" customHeight="1" spans="1:11">
      <c r="A59" s="10"/>
      <c r="B59" s="11"/>
      <c r="C59" s="10"/>
      <c r="D59" s="11"/>
      <c r="E59" s="10"/>
      <c r="F59" s="11"/>
      <c r="G59" s="10"/>
      <c r="H59" s="11"/>
      <c r="I59" s="10"/>
      <c r="J59" s="11"/>
      <c r="K59" s="10"/>
    </row>
    <row r="60" s="1" customFormat="1" ht="18.75" customHeight="1" spans="1:11">
      <c r="A60" s="10"/>
      <c r="B60" s="11"/>
      <c r="C60" s="10"/>
      <c r="D60" s="11"/>
      <c r="E60" s="10"/>
      <c r="F60" s="11"/>
      <c r="G60" s="10"/>
      <c r="H60" s="11"/>
      <c r="I60" s="10"/>
      <c r="J60" s="11"/>
      <c r="K60" s="10"/>
    </row>
    <row r="61" s="1" customFormat="1" ht="18.75" customHeight="1" spans="1:11">
      <c r="A61" s="10"/>
      <c r="B61" s="11"/>
      <c r="C61" s="10"/>
      <c r="D61" s="11"/>
      <c r="E61" s="10"/>
      <c r="F61" s="11"/>
      <c r="G61" s="10"/>
      <c r="H61" s="11"/>
      <c r="I61" s="10"/>
      <c r="J61" s="11"/>
      <c r="K61" s="10"/>
    </row>
    <row r="62" s="1" customFormat="1" ht="18.75" customHeight="1" spans="1:11">
      <c r="A62" s="10"/>
      <c r="B62" s="11"/>
      <c r="C62" s="10"/>
      <c r="D62" s="11"/>
      <c r="E62" s="10"/>
      <c r="F62" s="11"/>
      <c r="G62" s="10"/>
      <c r="H62" s="11"/>
      <c r="I62" s="10"/>
      <c r="J62" s="11"/>
      <c r="K62" s="10"/>
    </row>
    <row r="63" s="1" customFormat="1" ht="18.75" customHeight="1" spans="1:11">
      <c r="A63" s="10"/>
      <c r="B63" s="11"/>
      <c r="C63" s="10"/>
      <c r="D63" s="11"/>
      <c r="E63" s="10"/>
      <c r="F63" s="11"/>
      <c r="G63" s="10"/>
      <c r="H63" s="11"/>
      <c r="I63" s="10"/>
      <c r="J63" s="11"/>
      <c r="K63" s="10"/>
    </row>
    <row r="64" s="1" customFormat="1" ht="18.75" customHeight="1" spans="1:11">
      <c r="A64" s="10"/>
      <c r="B64" s="11"/>
      <c r="C64" s="10"/>
      <c r="D64" s="11"/>
      <c r="E64" s="10"/>
      <c r="F64" s="11"/>
      <c r="G64" s="10"/>
      <c r="H64" s="11"/>
      <c r="I64" s="10"/>
      <c r="J64" s="11"/>
      <c r="K64" s="10"/>
    </row>
    <row r="65" s="1" customFormat="1" ht="18.75" customHeight="1" spans="1:11">
      <c r="A65" s="10"/>
      <c r="B65" s="11"/>
      <c r="C65" s="10"/>
      <c r="D65" s="11"/>
      <c r="E65" s="10"/>
      <c r="F65" s="11"/>
      <c r="G65" s="10"/>
      <c r="H65" s="11"/>
      <c r="I65" s="10"/>
      <c r="J65" s="11"/>
      <c r="K65" s="10"/>
    </row>
    <row r="66" s="1" customFormat="1" ht="18.75" customHeight="1" spans="1:11">
      <c r="A66" s="10"/>
      <c r="B66" s="11"/>
      <c r="C66" s="10"/>
      <c r="D66" s="11"/>
      <c r="E66" s="10"/>
      <c r="F66" s="11"/>
      <c r="G66" s="10"/>
      <c r="H66" s="11"/>
      <c r="I66" s="10"/>
      <c r="J66" s="11"/>
      <c r="K66" s="10"/>
    </row>
    <row r="67" s="1" customFormat="1" ht="18.75" customHeight="1" spans="1:11">
      <c r="A67" s="10"/>
      <c r="B67" s="11"/>
      <c r="C67" s="10"/>
      <c r="D67" s="11"/>
      <c r="E67" s="10"/>
      <c r="F67" s="11"/>
      <c r="G67" s="10"/>
      <c r="H67" s="11"/>
      <c r="I67" s="10"/>
      <c r="J67" s="11"/>
      <c r="K67" s="10"/>
    </row>
    <row r="68" s="1" customFormat="1" ht="18.75" customHeight="1" spans="1:11">
      <c r="A68" s="10"/>
      <c r="B68" s="11"/>
      <c r="C68" s="10"/>
      <c r="D68" s="11"/>
      <c r="E68" s="10"/>
      <c r="F68" s="11"/>
      <c r="G68" s="10"/>
      <c r="H68" s="11"/>
      <c r="I68" s="10"/>
      <c r="J68" s="11"/>
      <c r="K68" s="10"/>
    </row>
    <row r="69" s="1" customFormat="1" ht="18.75" customHeight="1" spans="1:11">
      <c r="A69" s="10"/>
      <c r="B69" s="11"/>
      <c r="C69" s="10"/>
      <c r="D69" s="11"/>
      <c r="E69" s="10"/>
      <c r="F69" s="11"/>
      <c r="G69" s="10"/>
      <c r="H69" s="11"/>
      <c r="I69" s="10"/>
      <c r="J69" s="11"/>
      <c r="K69" s="10"/>
    </row>
    <row r="70" s="1" customFormat="1" ht="18.75" customHeight="1" spans="1:11">
      <c r="A70" s="10"/>
      <c r="B70" s="11"/>
      <c r="C70" s="10"/>
      <c r="D70" s="11"/>
      <c r="E70" s="10"/>
      <c r="F70" s="11"/>
      <c r="G70" s="10"/>
      <c r="H70" s="11"/>
      <c r="I70" s="10"/>
      <c r="J70" s="11"/>
      <c r="K70" s="10"/>
    </row>
    <row r="71" s="1" customFormat="1" ht="18.75" customHeight="1" spans="1:11">
      <c r="A71" s="10"/>
      <c r="B71" s="11"/>
      <c r="C71" s="10"/>
      <c r="D71" s="11"/>
      <c r="E71" s="10"/>
      <c r="F71" s="11"/>
      <c r="G71" s="10"/>
      <c r="H71" s="11"/>
      <c r="I71" s="10"/>
      <c r="J71" s="11"/>
      <c r="K71" s="10"/>
    </row>
    <row r="72" s="1" customFormat="1" ht="18.75" customHeight="1" spans="1:11">
      <c r="A72" s="10"/>
      <c r="B72" s="11"/>
      <c r="C72" s="10"/>
      <c r="D72" s="11"/>
      <c r="E72" s="10"/>
      <c r="F72" s="11"/>
      <c r="G72" s="10"/>
      <c r="H72" s="11"/>
      <c r="I72" s="10"/>
      <c r="J72" s="11"/>
      <c r="K72" s="10"/>
    </row>
    <row r="73" s="1" customFormat="1" ht="18.75" customHeight="1" spans="1:11">
      <c r="A73" s="10"/>
      <c r="B73" s="11"/>
      <c r="C73" s="10"/>
      <c r="D73" s="11"/>
      <c r="E73" s="10"/>
      <c r="F73" s="11"/>
      <c r="G73" s="10"/>
      <c r="H73" s="11"/>
      <c r="I73" s="10"/>
      <c r="J73" s="11"/>
      <c r="K73" s="10"/>
    </row>
    <row r="74" s="1" customFormat="1" ht="18.75" customHeight="1" spans="1:11">
      <c r="A74" s="10"/>
      <c r="B74" s="11"/>
      <c r="C74" s="10"/>
      <c r="D74" s="11"/>
      <c r="E74" s="10"/>
      <c r="F74" s="11"/>
      <c r="G74" s="10"/>
      <c r="H74" s="11"/>
      <c r="I74" s="10"/>
      <c r="J74" s="11"/>
      <c r="K74" s="10"/>
    </row>
    <row r="75" s="1" customFormat="1" ht="18.75" customHeight="1" spans="1:11">
      <c r="A75" s="10"/>
      <c r="B75" s="11"/>
      <c r="C75" s="10"/>
      <c r="D75" s="11"/>
      <c r="E75" s="10"/>
      <c r="F75" s="11"/>
      <c r="G75" s="10"/>
      <c r="H75" s="11"/>
      <c r="I75" s="10"/>
      <c r="J75" s="11"/>
      <c r="K75" s="10"/>
    </row>
    <row r="76" s="1" customFormat="1" ht="18.75" customHeight="1" spans="1:11">
      <c r="A76" s="10"/>
      <c r="B76" s="11"/>
      <c r="C76" s="10"/>
      <c r="D76" s="11"/>
      <c r="E76" s="10"/>
      <c r="F76" s="11"/>
      <c r="G76" s="10"/>
      <c r="H76" s="11"/>
      <c r="I76" s="10"/>
      <c r="J76" s="11"/>
      <c r="K76" s="10"/>
    </row>
    <row r="77" s="1" customFormat="1" ht="18.75" customHeight="1" spans="1:11">
      <c r="A77" s="10"/>
      <c r="B77" s="11"/>
      <c r="C77" s="10"/>
      <c r="D77" s="11"/>
      <c r="E77" s="10"/>
      <c r="F77" s="11"/>
      <c r="G77" s="10"/>
      <c r="H77" s="11"/>
      <c r="I77" s="10"/>
      <c r="J77" s="11"/>
      <c r="K77" s="10"/>
    </row>
    <row r="78" s="1" customFormat="1" ht="18.75" customHeight="1" spans="1:11">
      <c r="A78" s="10"/>
      <c r="B78" s="11"/>
      <c r="C78" s="10"/>
      <c r="D78" s="11"/>
      <c r="E78" s="10"/>
      <c r="F78" s="11"/>
      <c r="G78" s="10"/>
      <c r="H78" s="11"/>
      <c r="I78" s="10"/>
      <c r="J78" s="11"/>
      <c r="K78" s="10"/>
    </row>
    <row r="79" s="1" customFormat="1" ht="18.75" customHeight="1" spans="1:11">
      <c r="A79" s="10"/>
      <c r="B79" s="11"/>
      <c r="C79" s="10"/>
      <c r="D79" s="11"/>
      <c r="E79" s="10"/>
      <c r="F79" s="11"/>
      <c r="G79" s="10"/>
      <c r="H79" s="11"/>
      <c r="I79" s="10"/>
      <c r="J79" s="11"/>
      <c r="K79" s="10"/>
    </row>
    <row r="80" s="1" customFormat="1" ht="18.75" customHeight="1" spans="1:11">
      <c r="A80" s="10"/>
      <c r="B80" s="11"/>
      <c r="C80" s="10"/>
      <c r="D80" s="11"/>
      <c r="E80" s="10"/>
      <c r="F80" s="11"/>
      <c r="G80" s="10"/>
      <c r="H80" s="11"/>
      <c r="I80" s="10"/>
      <c r="J80" s="11"/>
      <c r="K80" s="10"/>
    </row>
    <row r="81" s="1" customFormat="1" ht="18.75" customHeight="1" spans="1:11">
      <c r="A81" s="10"/>
      <c r="B81" s="11"/>
      <c r="C81" s="10"/>
      <c r="D81" s="11"/>
      <c r="E81" s="10"/>
      <c r="F81" s="11"/>
      <c r="G81" s="10"/>
      <c r="H81" s="11"/>
      <c r="I81" s="10"/>
      <c r="J81" s="11"/>
      <c r="K81" s="10"/>
    </row>
    <row r="82" s="1" customFormat="1" ht="18.75" customHeight="1" spans="1:11">
      <c r="A82" s="10"/>
      <c r="B82" s="11"/>
      <c r="C82" s="10"/>
      <c r="D82" s="11"/>
      <c r="E82" s="10"/>
      <c r="F82" s="11"/>
      <c r="G82" s="10"/>
      <c r="H82" s="11"/>
      <c r="I82" s="10"/>
      <c r="J82" s="11"/>
      <c r="K82" s="10"/>
    </row>
    <row r="83" s="1" customFormat="1" ht="18.75" customHeight="1" spans="1:11">
      <c r="A83" s="10"/>
      <c r="B83" s="11"/>
      <c r="C83" s="10"/>
      <c r="D83" s="11"/>
      <c r="E83" s="10"/>
      <c r="F83" s="11"/>
      <c r="G83" s="10"/>
      <c r="H83" s="11"/>
      <c r="I83" s="10"/>
      <c r="J83" s="11"/>
      <c r="K83" s="10"/>
    </row>
    <row r="84" s="1" customFormat="1" ht="18.75" customHeight="1" spans="1:11">
      <c r="A84" s="10"/>
      <c r="B84" s="11"/>
      <c r="C84" s="10"/>
      <c r="D84" s="11"/>
      <c r="E84" s="10"/>
      <c r="F84" s="11"/>
      <c r="G84" s="10"/>
      <c r="H84" s="11"/>
      <c r="I84" s="10"/>
      <c r="J84" s="11"/>
      <c r="K84" s="10"/>
    </row>
    <row r="85" s="1" customFormat="1" ht="18.75" customHeight="1" spans="1:11">
      <c r="A85" s="10"/>
      <c r="B85" s="11"/>
      <c r="C85" s="10"/>
      <c r="D85" s="11"/>
      <c r="E85" s="10"/>
      <c r="F85" s="11"/>
      <c r="G85" s="10"/>
      <c r="H85" s="11"/>
      <c r="I85" s="10"/>
      <c r="J85" s="11"/>
      <c r="K85" s="10"/>
    </row>
    <row r="86" s="1" customFormat="1" ht="18.75" customHeight="1" spans="1:11">
      <c r="A86" s="10"/>
      <c r="B86" s="11"/>
      <c r="C86" s="10"/>
      <c r="D86" s="11"/>
      <c r="E86" s="10"/>
      <c r="F86" s="11"/>
      <c r="G86" s="10"/>
      <c r="H86" s="11"/>
      <c r="I86" s="10"/>
      <c r="J86" s="11"/>
      <c r="K86" s="10"/>
    </row>
    <row r="87" s="1" customFormat="1" ht="18.75" customHeight="1" spans="1:11">
      <c r="A87" s="10"/>
      <c r="B87" s="11"/>
      <c r="C87" s="10"/>
      <c r="D87" s="11"/>
      <c r="E87" s="10"/>
      <c r="F87" s="11"/>
      <c r="G87" s="10"/>
      <c r="H87" s="11"/>
      <c r="I87" s="10"/>
      <c r="J87" s="11"/>
      <c r="K87" s="10"/>
    </row>
    <row r="88" s="1" customFormat="1" ht="18.75" customHeight="1" spans="1:11">
      <c r="A88" s="10"/>
      <c r="B88" s="11"/>
      <c r="C88" s="10"/>
      <c r="D88" s="11"/>
      <c r="E88" s="10"/>
      <c r="F88" s="11"/>
      <c r="G88" s="10"/>
      <c r="H88" s="11"/>
      <c r="I88" s="10"/>
      <c r="J88" s="11"/>
      <c r="K88" s="10"/>
    </row>
    <row r="89" ht="18.75" customHeight="1" spans="1:17">
      <c r="A89" s="3" t="s">
        <v>437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6"/>
    </row>
    <row r="90" s="1" customFormat="1" ht="18.75" customHeight="1" spans="1:17">
      <c r="A90" s="9" t="s">
        <v>147</v>
      </c>
      <c r="B90" s="9" t="s">
        <v>113</v>
      </c>
      <c r="C90" s="9" t="s">
        <v>124</v>
      </c>
      <c r="D90" s="9" t="s">
        <v>438</v>
      </c>
      <c r="E90" s="9" t="s">
        <v>439</v>
      </c>
      <c r="F90" s="9" t="s">
        <v>440</v>
      </c>
      <c r="G90" s="9" t="s">
        <v>129</v>
      </c>
      <c r="H90" s="9" t="s">
        <v>119</v>
      </c>
      <c r="I90" s="9" t="s">
        <v>441</v>
      </c>
      <c r="J90" s="9" t="s">
        <v>442</v>
      </c>
      <c r="K90" s="9" t="s">
        <v>443</v>
      </c>
      <c r="L90" s="9" t="s">
        <v>444</v>
      </c>
      <c r="M90" s="9" t="s">
        <v>445</v>
      </c>
      <c r="N90" s="9" t="s">
        <v>446</v>
      </c>
      <c r="O90" s="9" t="s">
        <v>447</v>
      </c>
      <c r="P90" s="9" t="s">
        <v>448</v>
      </c>
      <c r="Q90" s="9" t="s">
        <v>449</v>
      </c>
    </row>
    <row r="91" ht="18.75" customHeight="1" spans="1:17">
      <c r="A91" s="10"/>
      <c r="B91" s="10"/>
      <c r="C91" s="10"/>
      <c r="D91" s="10"/>
      <c r="E91" s="10"/>
      <c r="F91" s="10"/>
      <c r="G91" s="10"/>
      <c r="H91" s="15" t="str">
        <f t="shared" ref="H91:H154" si="0">IFERROR(VLOOKUP($B91,$A$25:$N$54,7,FALSE),"")</f>
        <v/>
      </c>
      <c r="I91" s="16" t="str">
        <f t="shared" ref="I91:I154" si="1">IF($H91="Minor",1,IF($H91="Moderate",2,IF($H91="Major",3,IF($H91="Critical",4,""))))</f>
        <v/>
      </c>
      <c r="J91" s="17"/>
      <c r="K91" s="17"/>
      <c r="L91" s="16">
        <f t="shared" ref="L91:L154" si="2">IF(OR($G91="Exact TP",$G91="Equivalent TP"),1,0)</f>
        <v>0</v>
      </c>
      <c r="M91" s="16">
        <f t="shared" ref="M91:M154" si="3">IF(OR($G91="FP Extra",$G91="Harmful FP"),1,0)</f>
        <v>0</v>
      </c>
      <c r="N91" s="16">
        <f t="shared" ref="N91:N154" si="4">IF(OR($G91="FN",$G91="Partial"),1,0)</f>
        <v>0</v>
      </c>
      <c r="O91" s="16">
        <f t="shared" ref="O91:O154" si="5">IF($L91=1,$I91,0)</f>
        <v>0</v>
      </c>
      <c r="P91" s="16">
        <f t="shared" ref="P91:P154" si="6">IF($M91=1,$I91,0)</f>
        <v>0</v>
      </c>
      <c r="Q91" s="16">
        <f t="shared" ref="Q91:Q154" si="7">IF($N91=1,$I91,0)</f>
        <v>0</v>
      </c>
    </row>
    <row r="92" ht="18.75" customHeight="1" spans="1:17">
      <c r="A92" s="10"/>
      <c r="B92" s="10"/>
      <c r="C92" s="10"/>
      <c r="D92" s="10"/>
      <c r="E92" s="10"/>
      <c r="F92" s="10"/>
      <c r="G92" s="10"/>
      <c r="H92" s="15" t="str">
        <f t="shared" si="0"/>
        <v/>
      </c>
      <c r="I92" s="16" t="str">
        <f t="shared" si="1"/>
        <v/>
      </c>
      <c r="J92" s="17"/>
      <c r="K92" s="17"/>
      <c r="L92" s="16">
        <f t="shared" si="2"/>
        <v>0</v>
      </c>
      <c r="M92" s="16">
        <f t="shared" si="3"/>
        <v>0</v>
      </c>
      <c r="N92" s="16">
        <f t="shared" si="4"/>
        <v>0</v>
      </c>
      <c r="O92" s="16">
        <f t="shared" si="5"/>
        <v>0</v>
      </c>
      <c r="P92" s="16">
        <f t="shared" si="6"/>
        <v>0</v>
      </c>
      <c r="Q92" s="16">
        <f t="shared" si="7"/>
        <v>0</v>
      </c>
    </row>
    <row r="93" ht="18.75" customHeight="1" spans="1:17">
      <c r="A93" s="10"/>
      <c r="B93" s="10"/>
      <c r="C93" s="10"/>
      <c r="D93" s="10"/>
      <c r="E93" s="10"/>
      <c r="F93" s="10"/>
      <c r="G93" s="10"/>
      <c r="H93" s="15" t="str">
        <f t="shared" si="0"/>
        <v/>
      </c>
      <c r="I93" s="16" t="str">
        <f t="shared" si="1"/>
        <v/>
      </c>
      <c r="J93" s="17"/>
      <c r="K93" s="17"/>
      <c r="L93" s="16">
        <f t="shared" si="2"/>
        <v>0</v>
      </c>
      <c r="M93" s="16">
        <f t="shared" si="3"/>
        <v>0</v>
      </c>
      <c r="N93" s="16">
        <f t="shared" si="4"/>
        <v>0</v>
      </c>
      <c r="O93" s="16">
        <f t="shared" si="5"/>
        <v>0</v>
      </c>
      <c r="P93" s="16">
        <f t="shared" si="6"/>
        <v>0</v>
      </c>
      <c r="Q93" s="16">
        <f t="shared" si="7"/>
        <v>0</v>
      </c>
    </row>
    <row r="94" ht="18.75" customHeight="1" spans="1:17">
      <c r="A94" s="10"/>
      <c r="B94" s="10"/>
      <c r="C94" s="10"/>
      <c r="D94" s="10"/>
      <c r="E94" s="10"/>
      <c r="F94" s="10"/>
      <c r="G94" s="10"/>
      <c r="H94" s="15" t="str">
        <f t="shared" si="0"/>
        <v/>
      </c>
      <c r="I94" s="16" t="str">
        <f t="shared" si="1"/>
        <v/>
      </c>
      <c r="J94" s="17"/>
      <c r="K94" s="17"/>
      <c r="L94" s="16">
        <f t="shared" si="2"/>
        <v>0</v>
      </c>
      <c r="M94" s="16">
        <f t="shared" si="3"/>
        <v>0</v>
      </c>
      <c r="N94" s="16">
        <f t="shared" si="4"/>
        <v>0</v>
      </c>
      <c r="O94" s="16">
        <f t="shared" si="5"/>
        <v>0</v>
      </c>
      <c r="P94" s="16">
        <f t="shared" si="6"/>
        <v>0</v>
      </c>
      <c r="Q94" s="16">
        <f t="shared" si="7"/>
        <v>0</v>
      </c>
    </row>
    <row r="95" ht="18.75" customHeight="1" spans="1:17">
      <c r="A95" s="10"/>
      <c r="B95" s="10"/>
      <c r="C95" s="10"/>
      <c r="D95" s="10"/>
      <c r="E95" s="10"/>
      <c r="F95" s="10"/>
      <c r="G95" s="10"/>
      <c r="H95" s="15" t="str">
        <f t="shared" si="0"/>
        <v/>
      </c>
      <c r="I95" s="16" t="str">
        <f t="shared" si="1"/>
        <v/>
      </c>
      <c r="J95" s="17"/>
      <c r="K95" s="17"/>
      <c r="L95" s="16">
        <f t="shared" si="2"/>
        <v>0</v>
      </c>
      <c r="M95" s="16">
        <f t="shared" si="3"/>
        <v>0</v>
      </c>
      <c r="N95" s="16">
        <f t="shared" si="4"/>
        <v>0</v>
      </c>
      <c r="O95" s="16">
        <f t="shared" si="5"/>
        <v>0</v>
      </c>
      <c r="P95" s="16">
        <f t="shared" si="6"/>
        <v>0</v>
      </c>
      <c r="Q95" s="16">
        <f t="shared" si="7"/>
        <v>0</v>
      </c>
    </row>
    <row r="96" ht="18.75" customHeight="1" spans="1:17">
      <c r="A96" s="10"/>
      <c r="B96" s="10"/>
      <c r="C96" s="10"/>
      <c r="D96" s="10"/>
      <c r="E96" s="10"/>
      <c r="F96" s="10"/>
      <c r="G96" s="10"/>
      <c r="H96" s="15" t="str">
        <f t="shared" si="0"/>
        <v/>
      </c>
      <c r="I96" s="16" t="str">
        <f t="shared" si="1"/>
        <v/>
      </c>
      <c r="J96" s="17"/>
      <c r="K96" s="17"/>
      <c r="L96" s="16">
        <f t="shared" si="2"/>
        <v>0</v>
      </c>
      <c r="M96" s="16">
        <f t="shared" si="3"/>
        <v>0</v>
      </c>
      <c r="N96" s="16">
        <f t="shared" si="4"/>
        <v>0</v>
      </c>
      <c r="O96" s="16">
        <f t="shared" si="5"/>
        <v>0</v>
      </c>
      <c r="P96" s="16">
        <f t="shared" si="6"/>
        <v>0</v>
      </c>
      <c r="Q96" s="16">
        <f t="shared" si="7"/>
        <v>0</v>
      </c>
    </row>
    <row r="97" ht="18.75" customHeight="1" spans="1:17">
      <c r="A97" s="10"/>
      <c r="B97" s="10"/>
      <c r="C97" s="10"/>
      <c r="D97" s="10"/>
      <c r="E97" s="10"/>
      <c r="F97" s="10"/>
      <c r="G97" s="10"/>
      <c r="H97" s="15" t="str">
        <f t="shared" si="0"/>
        <v/>
      </c>
      <c r="I97" s="16" t="str">
        <f t="shared" si="1"/>
        <v/>
      </c>
      <c r="J97" s="17"/>
      <c r="K97" s="17"/>
      <c r="L97" s="16">
        <f t="shared" si="2"/>
        <v>0</v>
      </c>
      <c r="M97" s="16">
        <f t="shared" si="3"/>
        <v>0</v>
      </c>
      <c r="N97" s="16">
        <f t="shared" si="4"/>
        <v>0</v>
      </c>
      <c r="O97" s="16">
        <f t="shared" si="5"/>
        <v>0</v>
      </c>
      <c r="P97" s="16">
        <f t="shared" si="6"/>
        <v>0</v>
      </c>
      <c r="Q97" s="16">
        <f t="shared" si="7"/>
        <v>0</v>
      </c>
    </row>
    <row r="98" ht="18.75" customHeight="1" spans="1:17">
      <c r="A98" s="10"/>
      <c r="B98" s="10"/>
      <c r="C98" s="10"/>
      <c r="D98" s="10"/>
      <c r="E98" s="10"/>
      <c r="F98" s="10"/>
      <c r="G98" s="10"/>
      <c r="H98" s="15" t="str">
        <f t="shared" si="0"/>
        <v/>
      </c>
      <c r="I98" s="16" t="str">
        <f t="shared" si="1"/>
        <v/>
      </c>
      <c r="J98" s="17"/>
      <c r="K98" s="17"/>
      <c r="L98" s="16">
        <f t="shared" si="2"/>
        <v>0</v>
      </c>
      <c r="M98" s="16">
        <f t="shared" si="3"/>
        <v>0</v>
      </c>
      <c r="N98" s="16">
        <f t="shared" si="4"/>
        <v>0</v>
      </c>
      <c r="O98" s="16">
        <f t="shared" si="5"/>
        <v>0</v>
      </c>
      <c r="P98" s="16">
        <f t="shared" si="6"/>
        <v>0</v>
      </c>
      <c r="Q98" s="16">
        <f t="shared" si="7"/>
        <v>0</v>
      </c>
    </row>
    <row r="99" ht="18.75" customHeight="1" spans="1:17">
      <c r="A99" s="10"/>
      <c r="B99" s="10"/>
      <c r="C99" s="10"/>
      <c r="D99" s="10"/>
      <c r="E99" s="10"/>
      <c r="F99" s="10"/>
      <c r="G99" s="10"/>
      <c r="H99" s="15" t="str">
        <f t="shared" si="0"/>
        <v/>
      </c>
      <c r="I99" s="16" t="str">
        <f t="shared" si="1"/>
        <v/>
      </c>
      <c r="J99" s="17"/>
      <c r="K99" s="17"/>
      <c r="L99" s="16">
        <f t="shared" si="2"/>
        <v>0</v>
      </c>
      <c r="M99" s="16">
        <f t="shared" si="3"/>
        <v>0</v>
      </c>
      <c r="N99" s="16">
        <f t="shared" si="4"/>
        <v>0</v>
      </c>
      <c r="O99" s="16">
        <f t="shared" si="5"/>
        <v>0</v>
      </c>
      <c r="P99" s="16">
        <f t="shared" si="6"/>
        <v>0</v>
      </c>
      <c r="Q99" s="16">
        <f t="shared" si="7"/>
        <v>0</v>
      </c>
    </row>
    <row r="100" ht="18.75" customHeight="1" spans="1:17">
      <c r="A100" s="10"/>
      <c r="B100" s="10"/>
      <c r="C100" s="10"/>
      <c r="D100" s="10"/>
      <c r="E100" s="10"/>
      <c r="F100" s="10"/>
      <c r="G100" s="10"/>
      <c r="H100" s="15" t="str">
        <f t="shared" si="0"/>
        <v/>
      </c>
      <c r="I100" s="16" t="str">
        <f t="shared" si="1"/>
        <v/>
      </c>
      <c r="J100" s="17"/>
      <c r="K100" s="17"/>
      <c r="L100" s="16">
        <f t="shared" si="2"/>
        <v>0</v>
      </c>
      <c r="M100" s="16">
        <f t="shared" si="3"/>
        <v>0</v>
      </c>
      <c r="N100" s="16">
        <f t="shared" si="4"/>
        <v>0</v>
      </c>
      <c r="O100" s="16">
        <f t="shared" si="5"/>
        <v>0</v>
      </c>
      <c r="P100" s="16">
        <f t="shared" si="6"/>
        <v>0</v>
      </c>
      <c r="Q100" s="16">
        <f t="shared" si="7"/>
        <v>0</v>
      </c>
    </row>
    <row r="101" ht="18.75" customHeight="1" spans="1:17">
      <c r="A101" s="10"/>
      <c r="B101" s="10"/>
      <c r="C101" s="10"/>
      <c r="D101" s="10"/>
      <c r="E101" s="10"/>
      <c r="F101" s="10"/>
      <c r="G101" s="10"/>
      <c r="H101" s="15" t="str">
        <f t="shared" si="0"/>
        <v/>
      </c>
      <c r="I101" s="16" t="str">
        <f t="shared" si="1"/>
        <v/>
      </c>
      <c r="J101" s="17"/>
      <c r="K101" s="17"/>
      <c r="L101" s="16">
        <f t="shared" si="2"/>
        <v>0</v>
      </c>
      <c r="M101" s="16">
        <f t="shared" si="3"/>
        <v>0</v>
      </c>
      <c r="N101" s="16">
        <f t="shared" si="4"/>
        <v>0</v>
      </c>
      <c r="O101" s="16">
        <f t="shared" si="5"/>
        <v>0</v>
      </c>
      <c r="P101" s="16">
        <f t="shared" si="6"/>
        <v>0</v>
      </c>
      <c r="Q101" s="16">
        <f t="shared" si="7"/>
        <v>0</v>
      </c>
    </row>
    <row r="102" ht="18.75" customHeight="1" spans="1:17">
      <c r="A102" s="10"/>
      <c r="B102" s="10"/>
      <c r="C102" s="10"/>
      <c r="D102" s="10"/>
      <c r="E102" s="10"/>
      <c r="F102" s="10"/>
      <c r="G102" s="10"/>
      <c r="H102" s="15" t="str">
        <f t="shared" si="0"/>
        <v/>
      </c>
      <c r="I102" s="16" t="str">
        <f t="shared" si="1"/>
        <v/>
      </c>
      <c r="J102" s="17"/>
      <c r="K102" s="17"/>
      <c r="L102" s="16">
        <f t="shared" si="2"/>
        <v>0</v>
      </c>
      <c r="M102" s="16">
        <f t="shared" si="3"/>
        <v>0</v>
      </c>
      <c r="N102" s="16">
        <f t="shared" si="4"/>
        <v>0</v>
      </c>
      <c r="O102" s="16">
        <f t="shared" si="5"/>
        <v>0</v>
      </c>
      <c r="P102" s="16">
        <f t="shared" si="6"/>
        <v>0</v>
      </c>
      <c r="Q102" s="16">
        <f t="shared" si="7"/>
        <v>0</v>
      </c>
    </row>
    <row r="103" ht="18.75" customHeight="1" spans="1:17">
      <c r="A103" s="10"/>
      <c r="B103" s="10"/>
      <c r="C103" s="10"/>
      <c r="D103" s="10"/>
      <c r="E103" s="10"/>
      <c r="F103" s="10"/>
      <c r="G103" s="10"/>
      <c r="H103" s="15" t="str">
        <f t="shared" si="0"/>
        <v/>
      </c>
      <c r="I103" s="16" t="str">
        <f t="shared" si="1"/>
        <v/>
      </c>
      <c r="J103" s="17"/>
      <c r="K103" s="17"/>
      <c r="L103" s="16">
        <f t="shared" si="2"/>
        <v>0</v>
      </c>
      <c r="M103" s="16">
        <f t="shared" si="3"/>
        <v>0</v>
      </c>
      <c r="N103" s="16">
        <f t="shared" si="4"/>
        <v>0</v>
      </c>
      <c r="O103" s="16">
        <f t="shared" si="5"/>
        <v>0</v>
      </c>
      <c r="P103" s="16">
        <f t="shared" si="6"/>
        <v>0</v>
      </c>
      <c r="Q103" s="16">
        <f t="shared" si="7"/>
        <v>0</v>
      </c>
    </row>
    <row r="104" ht="18.75" customHeight="1" spans="1:17">
      <c r="A104" s="10"/>
      <c r="B104" s="10"/>
      <c r="C104" s="10"/>
      <c r="D104" s="10"/>
      <c r="E104" s="10"/>
      <c r="F104" s="10"/>
      <c r="G104" s="10"/>
      <c r="H104" s="15" t="str">
        <f t="shared" si="0"/>
        <v/>
      </c>
      <c r="I104" s="16" t="str">
        <f t="shared" si="1"/>
        <v/>
      </c>
      <c r="J104" s="17"/>
      <c r="K104" s="17"/>
      <c r="L104" s="16">
        <f t="shared" si="2"/>
        <v>0</v>
      </c>
      <c r="M104" s="16">
        <f t="shared" si="3"/>
        <v>0</v>
      </c>
      <c r="N104" s="16">
        <f t="shared" si="4"/>
        <v>0</v>
      </c>
      <c r="O104" s="16">
        <f t="shared" si="5"/>
        <v>0</v>
      </c>
      <c r="P104" s="16">
        <f t="shared" si="6"/>
        <v>0</v>
      </c>
      <c r="Q104" s="16">
        <f t="shared" si="7"/>
        <v>0</v>
      </c>
    </row>
    <row r="105" ht="18.75" customHeight="1" spans="1:17">
      <c r="A105" s="10"/>
      <c r="B105" s="10"/>
      <c r="C105" s="10"/>
      <c r="D105" s="10"/>
      <c r="E105" s="10"/>
      <c r="F105" s="10"/>
      <c r="G105" s="10"/>
      <c r="H105" s="15" t="str">
        <f t="shared" si="0"/>
        <v/>
      </c>
      <c r="I105" s="16" t="str">
        <f t="shared" si="1"/>
        <v/>
      </c>
      <c r="J105" s="17"/>
      <c r="K105" s="17"/>
      <c r="L105" s="16">
        <f t="shared" si="2"/>
        <v>0</v>
      </c>
      <c r="M105" s="16">
        <f t="shared" si="3"/>
        <v>0</v>
      </c>
      <c r="N105" s="16">
        <f t="shared" si="4"/>
        <v>0</v>
      </c>
      <c r="O105" s="16">
        <f t="shared" si="5"/>
        <v>0</v>
      </c>
      <c r="P105" s="16">
        <f t="shared" si="6"/>
        <v>0</v>
      </c>
      <c r="Q105" s="16">
        <f t="shared" si="7"/>
        <v>0</v>
      </c>
    </row>
    <row r="106" ht="18.75" customHeight="1" spans="1:17">
      <c r="A106" s="10"/>
      <c r="B106" s="10"/>
      <c r="C106" s="10"/>
      <c r="D106" s="10"/>
      <c r="E106" s="10"/>
      <c r="F106" s="10"/>
      <c r="G106" s="10"/>
      <c r="H106" s="15" t="str">
        <f t="shared" si="0"/>
        <v/>
      </c>
      <c r="I106" s="16" t="str">
        <f t="shared" si="1"/>
        <v/>
      </c>
      <c r="J106" s="17"/>
      <c r="K106" s="17"/>
      <c r="L106" s="16">
        <f t="shared" si="2"/>
        <v>0</v>
      </c>
      <c r="M106" s="16">
        <f t="shared" si="3"/>
        <v>0</v>
      </c>
      <c r="N106" s="16">
        <f t="shared" si="4"/>
        <v>0</v>
      </c>
      <c r="O106" s="16">
        <f t="shared" si="5"/>
        <v>0</v>
      </c>
      <c r="P106" s="16">
        <f t="shared" si="6"/>
        <v>0</v>
      </c>
      <c r="Q106" s="16">
        <f t="shared" si="7"/>
        <v>0</v>
      </c>
    </row>
    <row r="107" ht="18.75" customHeight="1" spans="1:17">
      <c r="A107" s="10"/>
      <c r="B107" s="10"/>
      <c r="C107" s="10"/>
      <c r="D107" s="10"/>
      <c r="E107" s="10"/>
      <c r="F107" s="10"/>
      <c r="G107" s="10"/>
      <c r="H107" s="15" t="str">
        <f t="shared" si="0"/>
        <v/>
      </c>
      <c r="I107" s="16" t="str">
        <f t="shared" si="1"/>
        <v/>
      </c>
      <c r="J107" s="17"/>
      <c r="K107" s="17"/>
      <c r="L107" s="16">
        <f t="shared" si="2"/>
        <v>0</v>
      </c>
      <c r="M107" s="16">
        <f t="shared" si="3"/>
        <v>0</v>
      </c>
      <c r="N107" s="16">
        <f t="shared" si="4"/>
        <v>0</v>
      </c>
      <c r="O107" s="16">
        <f t="shared" si="5"/>
        <v>0</v>
      </c>
      <c r="P107" s="16">
        <f t="shared" si="6"/>
        <v>0</v>
      </c>
      <c r="Q107" s="16">
        <f t="shared" si="7"/>
        <v>0</v>
      </c>
    </row>
    <row r="108" ht="18.75" customHeight="1" spans="1:17">
      <c r="A108" s="10"/>
      <c r="B108" s="10"/>
      <c r="C108" s="10"/>
      <c r="D108" s="10"/>
      <c r="E108" s="10"/>
      <c r="F108" s="10"/>
      <c r="G108" s="10"/>
      <c r="H108" s="15" t="str">
        <f t="shared" si="0"/>
        <v/>
      </c>
      <c r="I108" s="16" t="str">
        <f t="shared" si="1"/>
        <v/>
      </c>
      <c r="J108" s="17"/>
      <c r="K108" s="17"/>
      <c r="L108" s="16">
        <f t="shared" si="2"/>
        <v>0</v>
      </c>
      <c r="M108" s="16">
        <f t="shared" si="3"/>
        <v>0</v>
      </c>
      <c r="N108" s="16">
        <f t="shared" si="4"/>
        <v>0</v>
      </c>
      <c r="O108" s="16">
        <f t="shared" si="5"/>
        <v>0</v>
      </c>
      <c r="P108" s="16">
        <f t="shared" si="6"/>
        <v>0</v>
      </c>
      <c r="Q108" s="16">
        <f t="shared" si="7"/>
        <v>0</v>
      </c>
    </row>
    <row r="109" ht="18.75" customHeight="1" spans="1:17">
      <c r="A109" s="10"/>
      <c r="B109" s="10"/>
      <c r="C109" s="10"/>
      <c r="D109" s="10"/>
      <c r="E109" s="10"/>
      <c r="F109" s="10"/>
      <c r="G109" s="10"/>
      <c r="H109" s="15" t="str">
        <f t="shared" si="0"/>
        <v/>
      </c>
      <c r="I109" s="16" t="str">
        <f t="shared" si="1"/>
        <v/>
      </c>
      <c r="J109" s="17"/>
      <c r="K109" s="17"/>
      <c r="L109" s="16">
        <f t="shared" si="2"/>
        <v>0</v>
      </c>
      <c r="M109" s="16">
        <f t="shared" si="3"/>
        <v>0</v>
      </c>
      <c r="N109" s="16">
        <f t="shared" si="4"/>
        <v>0</v>
      </c>
      <c r="O109" s="16">
        <f t="shared" si="5"/>
        <v>0</v>
      </c>
      <c r="P109" s="16">
        <f t="shared" si="6"/>
        <v>0</v>
      </c>
      <c r="Q109" s="16">
        <f t="shared" si="7"/>
        <v>0</v>
      </c>
    </row>
    <row r="110" ht="18.75" customHeight="1" spans="1:17">
      <c r="A110" s="10"/>
      <c r="B110" s="10"/>
      <c r="C110" s="10"/>
      <c r="D110" s="10"/>
      <c r="E110" s="10"/>
      <c r="F110" s="10"/>
      <c r="G110" s="10"/>
      <c r="H110" s="15" t="str">
        <f t="shared" si="0"/>
        <v/>
      </c>
      <c r="I110" s="16" t="str">
        <f t="shared" si="1"/>
        <v/>
      </c>
      <c r="J110" s="17"/>
      <c r="K110" s="17"/>
      <c r="L110" s="16">
        <f t="shared" si="2"/>
        <v>0</v>
      </c>
      <c r="M110" s="16">
        <f t="shared" si="3"/>
        <v>0</v>
      </c>
      <c r="N110" s="16">
        <f t="shared" si="4"/>
        <v>0</v>
      </c>
      <c r="O110" s="16">
        <f t="shared" si="5"/>
        <v>0</v>
      </c>
      <c r="P110" s="16">
        <f t="shared" si="6"/>
        <v>0</v>
      </c>
      <c r="Q110" s="16">
        <f t="shared" si="7"/>
        <v>0</v>
      </c>
    </row>
    <row r="111" ht="18.75" customHeight="1" spans="1:17">
      <c r="A111" s="10"/>
      <c r="B111" s="10"/>
      <c r="C111" s="10"/>
      <c r="D111" s="10"/>
      <c r="E111" s="10"/>
      <c r="F111" s="10"/>
      <c r="G111" s="10"/>
      <c r="H111" s="15" t="str">
        <f t="shared" si="0"/>
        <v/>
      </c>
      <c r="I111" s="16" t="str">
        <f t="shared" si="1"/>
        <v/>
      </c>
      <c r="J111" s="17"/>
      <c r="K111" s="17"/>
      <c r="L111" s="16">
        <f t="shared" si="2"/>
        <v>0</v>
      </c>
      <c r="M111" s="16">
        <f t="shared" si="3"/>
        <v>0</v>
      </c>
      <c r="N111" s="16">
        <f t="shared" si="4"/>
        <v>0</v>
      </c>
      <c r="O111" s="16">
        <f t="shared" si="5"/>
        <v>0</v>
      </c>
      <c r="P111" s="16">
        <f t="shared" si="6"/>
        <v>0</v>
      </c>
      <c r="Q111" s="16">
        <f t="shared" si="7"/>
        <v>0</v>
      </c>
    </row>
    <row r="112" ht="18.75" customHeight="1" spans="1:17">
      <c r="A112" s="10"/>
      <c r="B112" s="10"/>
      <c r="C112" s="10"/>
      <c r="D112" s="10"/>
      <c r="E112" s="10"/>
      <c r="F112" s="10"/>
      <c r="G112" s="10"/>
      <c r="H112" s="15" t="str">
        <f t="shared" si="0"/>
        <v/>
      </c>
      <c r="I112" s="16" t="str">
        <f t="shared" si="1"/>
        <v/>
      </c>
      <c r="J112" s="17"/>
      <c r="K112" s="17"/>
      <c r="L112" s="16">
        <f t="shared" si="2"/>
        <v>0</v>
      </c>
      <c r="M112" s="16">
        <f t="shared" si="3"/>
        <v>0</v>
      </c>
      <c r="N112" s="16">
        <f t="shared" si="4"/>
        <v>0</v>
      </c>
      <c r="O112" s="16">
        <f t="shared" si="5"/>
        <v>0</v>
      </c>
      <c r="P112" s="16">
        <f t="shared" si="6"/>
        <v>0</v>
      </c>
      <c r="Q112" s="16">
        <f t="shared" si="7"/>
        <v>0</v>
      </c>
    </row>
    <row r="113" ht="18.75" customHeight="1" spans="1:17">
      <c r="A113" s="10"/>
      <c r="B113" s="10"/>
      <c r="C113" s="10"/>
      <c r="D113" s="10"/>
      <c r="E113" s="10"/>
      <c r="F113" s="10"/>
      <c r="G113" s="10"/>
      <c r="H113" s="15" t="str">
        <f t="shared" si="0"/>
        <v/>
      </c>
      <c r="I113" s="16" t="str">
        <f t="shared" si="1"/>
        <v/>
      </c>
      <c r="J113" s="17"/>
      <c r="K113" s="17"/>
      <c r="L113" s="16">
        <f t="shared" si="2"/>
        <v>0</v>
      </c>
      <c r="M113" s="16">
        <f t="shared" si="3"/>
        <v>0</v>
      </c>
      <c r="N113" s="16">
        <f t="shared" si="4"/>
        <v>0</v>
      </c>
      <c r="O113" s="16">
        <f t="shared" si="5"/>
        <v>0</v>
      </c>
      <c r="P113" s="16">
        <f t="shared" si="6"/>
        <v>0</v>
      </c>
      <c r="Q113" s="16">
        <f t="shared" si="7"/>
        <v>0</v>
      </c>
    </row>
    <row r="114" ht="18.75" customHeight="1" spans="1:17">
      <c r="A114" s="10"/>
      <c r="B114" s="10"/>
      <c r="C114" s="10"/>
      <c r="D114" s="10"/>
      <c r="E114" s="10"/>
      <c r="F114" s="10"/>
      <c r="G114" s="10"/>
      <c r="H114" s="15" t="str">
        <f t="shared" si="0"/>
        <v/>
      </c>
      <c r="I114" s="16" t="str">
        <f t="shared" si="1"/>
        <v/>
      </c>
      <c r="J114" s="17"/>
      <c r="K114" s="17"/>
      <c r="L114" s="16">
        <f t="shared" si="2"/>
        <v>0</v>
      </c>
      <c r="M114" s="16">
        <f t="shared" si="3"/>
        <v>0</v>
      </c>
      <c r="N114" s="16">
        <f t="shared" si="4"/>
        <v>0</v>
      </c>
      <c r="O114" s="16">
        <f t="shared" si="5"/>
        <v>0</v>
      </c>
      <c r="P114" s="16">
        <f t="shared" si="6"/>
        <v>0</v>
      </c>
      <c r="Q114" s="16">
        <f t="shared" si="7"/>
        <v>0</v>
      </c>
    </row>
    <row r="115" ht="18.75" customHeight="1" spans="1:17">
      <c r="A115" s="10"/>
      <c r="B115" s="10"/>
      <c r="C115" s="10"/>
      <c r="D115" s="10"/>
      <c r="E115" s="10"/>
      <c r="F115" s="10"/>
      <c r="G115" s="10"/>
      <c r="H115" s="15" t="str">
        <f t="shared" si="0"/>
        <v/>
      </c>
      <c r="I115" s="16" t="str">
        <f t="shared" si="1"/>
        <v/>
      </c>
      <c r="J115" s="17"/>
      <c r="K115" s="17"/>
      <c r="L115" s="16">
        <f t="shared" si="2"/>
        <v>0</v>
      </c>
      <c r="M115" s="16">
        <f t="shared" si="3"/>
        <v>0</v>
      </c>
      <c r="N115" s="16">
        <f t="shared" si="4"/>
        <v>0</v>
      </c>
      <c r="O115" s="16">
        <f t="shared" si="5"/>
        <v>0</v>
      </c>
      <c r="P115" s="16">
        <f t="shared" si="6"/>
        <v>0</v>
      </c>
      <c r="Q115" s="16">
        <f t="shared" si="7"/>
        <v>0</v>
      </c>
    </row>
    <row r="116" ht="18.75" customHeight="1" spans="1:17">
      <c r="A116" s="10"/>
      <c r="B116" s="10"/>
      <c r="C116" s="10"/>
      <c r="D116" s="10"/>
      <c r="E116" s="10"/>
      <c r="F116" s="10"/>
      <c r="G116" s="10"/>
      <c r="H116" s="15" t="str">
        <f t="shared" si="0"/>
        <v/>
      </c>
      <c r="I116" s="16" t="str">
        <f t="shared" si="1"/>
        <v/>
      </c>
      <c r="J116" s="17"/>
      <c r="K116" s="17"/>
      <c r="L116" s="16">
        <f t="shared" si="2"/>
        <v>0</v>
      </c>
      <c r="M116" s="16">
        <f t="shared" si="3"/>
        <v>0</v>
      </c>
      <c r="N116" s="16">
        <f t="shared" si="4"/>
        <v>0</v>
      </c>
      <c r="O116" s="16">
        <f t="shared" si="5"/>
        <v>0</v>
      </c>
      <c r="P116" s="16">
        <f t="shared" si="6"/>
        <v>0</v>
      </c>
      <c r="Q116" s="16">
        <f t="shared" si="7"/>
        <v>0</v>
      </c>
    </row>
    <row r="117" ht="18.75" customHeight="1" spans="1:17">
      <c r="A117" s="10"/>
      <c r="B117" s="10"/>
      <c r="C117" s="10"/>
      <c r="D117" s="10"/>
      <c r="E117" s="10"/>
      <c r="F117" s="10"/>
      <c r="G117" s="10"/>
      <c r="H117" s="15" t="str">
        <f t="shared" si="0"/>
        <v/>
      </c>
      <c r="I117" s="16" t="str">
        <f t="shared" si="1"/>
        <v/>
      </c>
      <c r="J117" s="17"/>
      <c r="K117" s="17"/>
      <c r="L117" s="16">
        <f t="shared" si="2"/>
        <v>0</v>
      </c>
      <c r="M117" s="16">
        <f t="shared" si="3"/>
        <v>0</v>
      </c>
      <c r="N117" s="16">
        <f t="shared" si="4"/>
        <v>0</v>
      </c>
      <c r="O117" s="16">
        <f t="shared" si="5"/>
        <v>0</v>
      </c>
      <c r="P117" s="16">
        <f t="shared" si="6"/>
        <v>0</v>
      </c>
      <c r="Q117" s="16">
        <f t="shared" si="7"/>
        <v>0</v>
      </c>
    </row>
    <row r="118" ht="18.75" customHeight="1" spans="1:17">
      <c r="A118" s="10"/>
      <c r="B118" s="10"/>
      <c r="C118" s="10"/>
      <c r="D118" s="10"/>
      <c r="E118" s="10"/>
      <c r="F118" s="10"/>
      <c r="G118" s="10"/>
      <c r="H118" s="15" t="str">
        <f t="shared" si="0"/>
        <v/>
      </c>
      <c r="I118" s="16" t="str">
        <f t="shared" si="1"/>
        <v/>
      </c>
      <c r="J118" s="17"/>
      <c r="K118" s="17"/>
      <c r="L118" s="16">
        <f t="shared" si="2"/>
        <v>0</v>
      </c>
      <c r="M118" s="16">
        <f t="shared" si="3"/>
        <v>0</v>
      </c>
      <c r="N118" s="16">
        <f t="shared" si="4"/>
        <v>0</v>
      </c>
      <c r="O118" s="16">
        <f t="shared" si="5"/>
        <v>0</v>
      </c>
      <c r="P118" s="16">
        <f t="shared" si="6"/>
        <v>0</v>
      </c>
      <c r="Q118" s="16">
        <f t="shared" si="7"/>
        <v>0</v>
      </c>
    </row>
    <row r="119" ht="18.75" customHeight="1" spans="1:17">
      <c r="A119" s="10"/>
      <c r="B119" s="10"/>
      <c r="C119" s="10"/>
      <c r="D119" s="10"/>
      <c r="E119" s="10"/>
      <c r="F119" s="10"/>
      <c r="G119" s="10"/>
      <c r="H119" s="15" t="str">
        <f t="shared" si="0"/>
        <v/>
      </c>
      <c r="I119" s="16" t="str">
        <f t="shared" si="1"/>
        <v/>
      </c>
      <c r="J119" s="17"/>
      <c r="K119" s="17"/>
      <c r="L119" s="16">
        <f t="shared" si="2"/>
        <v>0</v>
      </c>
      <c r="M119" s="16">
        <f t="shared" si="3"/>
        <v>0</v>
      </c>
      <c r="N119" s="16">
        <f t="shared" si="4"/>
        <v>0</v>
      </c>
      <c r="O119" s="16">
        <f t="shared" si="5"/>
        <v>0</v>
      </c>
      <c r="P119" s="16">
        <f t="shared" si="6"/>
        <v>0</v>
      </c>
      <c r="Q119" s="16">
        <f t="shared" si="7"/>
        <v>0</v>
      </c>
    </row>
    <row r="120" ht="18.75" customHeight="1" spans="1:17">
      <c r="A120" s="10"/>
      <c r="B120" s="10"/>
      <c r="C120" s="10"/>
      <c r="D120" s="10"/>
      <c r="E120" s="10"/>
      <c r="F120" s="10"/>
      <c r="G120" s="10"/>
      <c r="H120" s="15" t="str">
        <f t="shared" si="0"/>
        <v/>
      </c>
      <c r="I120" s="16" t="str">
        <f t="shared" si="1"/>
        <v/>
      </c>
      <c r="J120" s="17"/>
      <c r="K120" s="17"/>
      <c r="L120" s="16">
        <f t="shared" si="2"/>
        <v>0</v>
      </c>
      <c r="M120" s="16">
        <f t="shared" si="3"/>
        <v>0</v>
      </c>
      <c r="N120" s="16">
        <f t="shared" si="4"/>
        <v>0</v>
      </c>
      <c r="O120" s="16">
        <f t="shared" si="5"/>
        <v>0</v>
      </c>
      <c r="P120" s="16">
        <f t="shared" si="6"/>
        <v>0</v>
      </c>
      <c r="Q120" s="16">
        <f t="shared" si="7"/>
        <v>0</v>
      </c>
    </row>
    <row r="121" ht="18.75" customHeight="1" spans="1:17">
      <c r="A121" s="10"/>
      <c r="B121" s="10"/>
      <c r="C121" s="10"/>
      <c r="D121" s="10"/>
      <c r="E121" s="10"/>
      <c r="F121" s="10"/>
      <c r="G121" s="10"/>
      <c r="H121" s="15" t="str">
        <f t="shared" si="0"/>
        <v/>
      </c>
      <c r="I121" s="16" t="str">
        <f t="shared" si="1"/>
        <v/>
      </c>
      <c r="J121" s="17"/>
      <c r="K121" s="17"/>
      <c r="L121" s="16">
        <f t="shared" si="2"/>
        <v>0</v>
      </c>
      <c r="M121" s="16">
        <f t="shared" si="3"/>
        <v>0</v>
      </c>
      <c r="N121" s="16">
        <f t="shared" si="4"/>
        <v>0</v>
      </c>
      <c r="O121" s="16">
        <f t="shared" si="5"/>
        <v>0</v>
      </c>
      <c r="P121" s="16">
        <f t="shared" si="6"/>
        <v>0</v>
      </c>
      <c r="Q121" s="16">
        <f t="shared" si="7"/>
        <v>0</v>
      </c>
    </row>
    <row r="122" ht="18.75" customHeight="1" spans="1:17">
      <c r="A122" s="10"/>
      <c r="B122" s="10"/>
      <c r="C122" s="10"/>
      <c r="D122" s="10"/>
      <c r="E122" s="10"/>
      <c r="F122" s="10"/>
      <c r="G122" s="10"/>
      <c r="H122" s="15" t="str">
        <f t="shared" si="0"/>
        <v/>
      </c>
      <c r="I122" s="16" t="str">
        <f t="shared" si="1"/>
        <v/>
      </c>
      <c r="J122" s="17"/>
      <c r="K122" s="17"/>
      <c r="L122" s="16">
        <f t="shared" si="2"/>
        <v>0</v>
      </c>
      <c r="M122" s="16">
        <f t="shared" si="3"/>
        <v>0</v>
      </c>
      <c r="N122" s="16">
        <f t="shared" si="4"/>
        <v>0</v>
      </c>
      <c r="O122" s="16">
        <f t="shared" si="5"/>
        <v>0</v>
      </c>
      <c r="P122" s="16">
        <f t="shared" si="6"/>
        <v>0</v>
      </c>
      <c r="Q122" s="16">
        <f t="shared" si="7"/>
        <v>0</v>
      </c>
    </row>
    <row r="123" ht="18.75" customHeight="1" spans="1:17">
      <c r="A123" s="10"/>
      <c r="B123" s="10"/>
      <c r="C123" s="10"/>
      <c r="D123" s="10"/>
      <c r="E123" s="10"/>
      <c r="F123" s="10"/>
      <c r="G123" s="10"/>
      <c r="H123" s="15" t="str">
        <f t="shared" si="0"/>
        <v/>
      </c>
      <c r="I123" s="16" t="str">
        <f t="shared" si="1"/>
        <v/>
      </c>
      <c r="J123" s="17"/>
      <c r="K123" s="17"/>
      <c r="L123" s="16">
        <f t="shared" si="2"/>
        <v>0</v>
      </c>
      <c r="M123" s="16">
        <f t="shared" si="3"/>
        <v>0</v>
      </c>
      <c r="N123" s="16">
        <f t="shared" si="4"/>
        <v>0</v>
      </c>
      <c r="O123" s="16">
        <f t="shared" si="5"/>
        <v>0</v>
      </c>
      <c r="P123" s="16">
        <f t="shared" si="6"/>
        <v>0</v>
      </c>
      <c r="Q123" s="16">
        <f t="shared" si="7"/>
        <v>0</v>
      </c>
    </row>
    <row r="124" ht="18.75" customHeight="1" spans="1:17">
      <c r="A124" s="10"/>
      <c r="B124" s="10"/>
      <c r="C124" s="10"/>
      <c r="D124" s="10"/>
      <c r="E124" s="10"/>
      <c r="F124" s="10"/>
      <c r="G124" s="10"/>
      <c r="H124" s="15" t="str">
        <f t="shared" si="0"/>
        <v/>
      </c>
      <c r="I124" s="16" t="str">
        <f t="shared" si="1"/>
        <v/>
      </c>
      <c r="J124" s="17"/>
      <c r="K124" s="17"/>
      <c r="L124" s="16">
        <f t="shared" si="2"/>
        <v>0</v>
      </c>
      <c r="M124" s="16">
        <f t="shared" si="3"/>
        <v>0</v>
      </c>
      <c r="N124" s="16">
        <f t="shared" si="4"/>
        <v>0</v>
      </c>
      <c r="O124" s="16">
        <f t="shared" si="5"/>
        <v>0</v>
      </c>
      <c r="P124" s="16">
        <f t="shared" si="6"/>
        <v>0</v>
      </c>
      <c r="Q124" s="16">
        <f t="shared" si="7"/>
        <v>0</v>
      </c>
    </row>
    <row r="125" ht="18.75" customHeight="1" spans="1:17">
      <c r="A125" s="10"/>
      <c r="B125" s="10"/>
      <c r="C125" s="10"/>
      <c r="D125" s="10"/>
      <c r="E125" s="10"/>
      <c r="F125" s="10"/>
      <c r="G125" s="10"/>
      <c r="H125" s="15" t="str">
        <f t="shared" si="0"/>
        <v/>
      </c>
      <c r="I125" s="16" t="str">
        <f t="shared" si="1"/>
        <v/>
      </c>
      <c r="J125" s="17"/>
      <c r="K125" s="17"/>
      <c r="L125" s="16">
        <f t="shared" si="2"/>
        <v>0</v>
      </c>
      <c r="M125" s="16">
        <f t="shared" si="3"/>
        <v>0</v>
      </c>
      <c r="N125" s="16">
        <f t="shared" si="4"/>
        <v>0</v>
      </c>
      <c r="O125" s="16">
        <f t="shared" si="5"/>
        <v>0</v>
      </c>
      <c r="P125" s="16">
        <f t="shared" si="6"/>
        <v>0</v>
      </c>
      <c r="Q125" s="16">
        <f t="shared" si="7"/>
        <v>0</v>
      </c>
    </row>
    <row r="126" ht="18.75" customHeight="1" spans="1:17">
      <c r="A126" s="10"/>
      <c r="B126" s="10"/>
      <c r="C126" s="10"/>
      <c r="D126" s="10"/>
      <c r="E126" s="10"/>
      <c r="F126" s="10"/>
      <c r="G126" s="10"/>
      <c r="H126" s="15" t="str">
        <f t="shared" si="0"/>
        <v/>
      </c>
      <c r="I126" s="16" t="str">
        <f t="shared" si="1"/>
        <v/>
      </c>
      <c r="J126" s="17"/>
      <c r="K126" s="17"/>
      <c r="L126" s="16">
        <f t="shared" si="2"/>
        <v>0</v>
      </c>
      <c r="M126" s="16">
        <f t="shared" si="3"/>
        <v>0</v>
      </c>
      <c r="N126" s="16">
        <f t="shared" si="4"/>
        <v>0</v>
      </c>
      <c r="O126" s="16">
        <f t="shared" si="5"/>
        <v>0</v>
      </c>
      <c r="P126" s="16">
        <f t="shared" si="6"/>
        <v>0</v>
      </c>
      <c r="Q126" s="16">
        <f t="shared" si="7"/>
        <v>0</v>
      </c>
    </row>
    <row r="127" ht="18.75" customHeight="1" spans="1:17">
      <c r="A127" s="10"/>
      <c r="B127" s="10"/>
      <c r="C127" s="10"/>
      <c r="D127" s="10"/>
      <c r="E127" s="10"/>
      <c r="F127" s="10"/>
      <c r="G127" s="10"/>
      <c r="H127" s="15" t="str">
        <f t="shared" si="0"/>
        <v/>
      </c>
      <c r="I127" s="16" t="str">
        <f t="shared" si="1"/>
        <v/>
      </c>
      <c r="J127" s="17"/>
      <c r="K127" s="17"/>
      <c r="L127" s="16">
        <f t="shared" si="2"/>
        <v>0</v>
      </c>
      <c r="M127" s="16">
        <f t="shared" si="3"/>
        <v>0</v>
      </c>
      <c r="N127" s="16">
        <f t="shared" si="4"/>
        <v>0</v>
      </c>
      <c r="O127" s="16">
        <f t="shared" si="5"/>
        <v>0</v>
      </c>
      <c r="P127" s="16">
        <f t="shared" si="6"/>
        <v>0</v>
      </c>
      <c r="Q127" s="16">
        <f t="shared" si="7"/>
        <v>0</v>
      </c>
    </row>
    <row r="128" ht="18.75" customHeight="1" spans="1:17">
      <c r="A128" s="10"/>
      <c r="B128" s="10"/>
      <c r="C128" s="10"/>
      <c r="D128" s="10"/>
      <c r="E128" s="10"/>
      <c r="F128" s="10"/>
      <c r="G128" s="10"/>
      <c r="H128" s="15" t="str">
        <f t="shared" si="0"/>
        <v/>
      </c>
      <c r="I128" s="16" t="str">
        <f t="shared" si="1"/>
        <v/>
      </c>
      <c r="J128" s="17"/>
      <c r="K128" s="17"/>
      <c r="L128" s="16">
        <f t="shared" si="2"/>
        <v>0</v>
      </c>
      <c r="M128" s="16">
        <f t="shared" si="3"/>
        <v>0</v>
      </c>
      <c r="N128" s="16">
        <f t="shared" si="4"/>
        <v>0</v>
      </c>
      <c r="O128" s="16">
        <f t="shared" si="5"/>
        <v>0</v>
      </c>
      <c r="P128" s="16">
        <f t="shared" si="6"/>
        <v>0</v>
      </c>
      <c r="Q128" s="16">
        <f t="shared" si="7"/>
        <v>0</v>
      </c>
    </row>
    <row r="129" ht="18.75" customHeight="1" spans="1:17">
      <c r="A129" s="10"/>
      <c r="B129" s="10"/>
      <c r="C129" s="10"/>
      <c r="D129" s="10"/>
      <c r="E129" s="10"/>
      <c r="F129" s="10"/>
      <c r="G129" s="10"/>
      <c r="H129" s="15" t="str">
        <f t="shared" si="0"/>
        <v/>
      </c>
      <c r="I129" s="16" t="str">
        <f t="shared" si="1"/>
        <v/>
      </c>
      <c r="J129" s="17"/>
      <c r="K129" s="17"/>
      <c r="L129" s="16">
        <f t="shared" si="2"/>
        <v>0</v>
      </c>
      <c r="M129" s="16">
        <f t="shared" si="3"/>
        <v>0</v>
      </c>
      <c r="N129" s="16">
        <f t="shared" si="4"/>
        <v>0</v>
      </c>
      <c r="O129" s="16">
        <f t="shared" si="5"/>
        <v>0</v>
      </c>
      <c r="P129" s="16">
        <f t="shared" si="6"/>
        <v>0</v>
      </c>
      <c r="Q129" s="16">
        <f t="shared" si="7"/>
        <v>0</v>
      </c>
    </row>
    <row r="130" ht="18.75" customHeight="1" spans="1:17">
      <c r="A130" s="10"/>
      <c r="B130" s="10"/>
      <c r="C130" s="10"/>
      <c r="D130" s="10"/>
      <c r="E130" s="10"/>
      <c r="F130" s="10"/>
      <c r="G130" s="10"/>
      <c r="H130" s="15" t="str">
        <f t="shared" si="0"/>
        <v/>
      </c>
      <c r="I130" s="16" t="str">
        <f t="shared" si="1"/>
        <v/>
      </c>
      <c r="J130" s="17"/>
      <c r="K130" s="17"/>
      <c r="L130" s="16">
        <f t="shared" si="2"/>
        <v>0</v>
      </c>
      <c r="M130" s="16">
        <f t="shared" si="3"/>
        <v>0</v>
      </c>
      <c r="N130" s="16">
        <f t="shared" si="4"/>
        <v>0</v>
      </c>
      <c r="O130" s="16">
        <f t="shared" si="5"/>
        <v>0</v>
      </c>
      <c r="P130" s="16">
        <f t="shared" si="6"/>
        <v>0</v>
      </c>
      <c r="Q130" s="16">
        <f t="shared" si="7"/>
        <v>0</v>
      </c>
    </row>
    <row r="131" ht="18.75" customHeight="1" spans="1:17">
      <c r="A131" s="10"/>
      <c r="B131" s="10"/>
      <c r="C131" s="10"/>
      <c r="D131" s="10"/>
      <c r="E131" s="10"/>
      <c r="F131" s="10"/>
      <c r="G131" s="10"/>
      <c r="H131" s="15" t="str">
        <f t="shared" si="0"/>
        <v/>
      </c>
      <c r="I131" s="16" t="str">
        <f t="shared" si="1"/>
        <v/>
      </c>
      <c r="J131" s="17"/>
      <c r="K131" s="17"/>
      <c r="L131" s="16">
        <f t="shared" si="2"/>
        <v>0</v>
      </c>
      <c r="M131" s="16">
        <f t="shared" si="3"/>
        <v>0</v>
      </c>
      <c r="N131" s="16">
        <f t="shared" si="4"/>
        <v>0</v>
      </c>
      <c r="O131" s="16">
        <f t="shared" si="5"/>
        <v>0</v>
      </c>
      <c r="P131" s="16">
        <f t="shared" si="6"/>
        <v>0</v>
      </c>
      <c r="Q131" s="16">
        <f t="shared" si="7"/>
        <v>0</v>
      </c>
    </row>
    <row r="132" ht="18.75" customHeight="1" spans="1:17">
      <c r="A132" s="10"/>
      <c r="B132" s="10"/>
      <c r="C132" s="10"/>
      <c r="D132" s="10"/>
      <c r="E132" s="10"/>
      <c r="F132" s="10"/>
      <c r="G132" s="10"/>
      <c r="H132" s="15" t="str">
        <f t="shared" si="0"/>
        <v/>
      </c>
      <c r="I132" s="16" t="str">
        <f t="shared" si="1"/>
        <v/>
      </c>
      <c r="J132" s="17"/>
      <c r="K132" s="17"/>
      <c r="L132" s="16">
        <f t="shared" si="2"/>
        <v>0</v>
      </c>
      <c r="M132" s="16">
        <f t="shared" si="3"/>
        <v>0</v>
      </c>
      <c r="N132" s="16">
        <f t="shared" si="4"/>
        <v>0</v>
      </c>
      <c r="O132" s="16">
        <f t="shared" si="5"/>
        <v>0</v>
      </c>
      <c r="P132" s="16">
        <f t="shared" si="6"/>
        <v>0</v>
      </c>
      <c r="Q132" s="16">
        <f t="shared" si="7"/>
        <v>0</v>
      </c>
    </row>
    <row r="133" ht="18.75" customHeight="1" spans="1:17">
      <c r="A133" s="10"/>
      <c r="B133" s="10"/>
      <c r="C133" s="10"/>
      <c r="D133" s="10"/>
      <c r="E133" s="10"/>
      <c r="F133" s="10"/>
      <c r="G133" s="10"/>
      <c r="H133" s="15" t="str">
        <f t="shared" si="0"/>
        <v/>
      </c>
      <c r="I133" s="16" t="str">
        <f t="shared" si="1"/>
        <v/>
      </c>
      <c r="J133" s="17"/>
      <c r="K133" s="17"/>
      <c r="L133" s="16">
        <f t="shared" si="2"/>
        <v>0</v>
      </c>
      <c r="M133" s="16">
        <f t="shared" si="3"/>
        <v>0</v>
      </c>
      <c r="N133" s="16">
        <f t="shared" si="4"/>
        <v>0</v>
      </c>
      <c r="O133" s="16">
        <f t="shared" si="5"/>
        <v>0</v>
      </c>
      <c r="P133" s="16">
        <f t="shared" si="6"/>
        <v>0</v>
      </c>
      <c r="Q133" s="16">
        <f t="shared" si="7"/>
        <v>0</v>
      </c>
    </row>
    <row r="134" ht="18.75" customHeight="1" spans="1:17">
      <c r="A134" s="10"/>
      <c r="B134" s="10"/>
      <c r="C134" s="10"/>
      <c r="D134" s="10"/>
      <c r="E134" s="10"/>
      <c r="F134" s="10"/>
      <c r="G134" s="10"/>
      <c r="H134" s="15" t="str">
        <f t="shared" si="0"/>
        <v/>
      </c>
      <c r="I134" s="16" t="str">
        <f t="shared" si="1"/>
        <v/>
      </c>
      <c r="J134" s="17"/>
      <c r="K134" s="17"/>
      <c r="L134" s="16">
        <f t="shared" si="2"/>
        <v>0</v>
      </c>
      <c r="M134" s="16">
        <f t="shared" si="3"/>
        <v>0</v>
      </c>
      <c r="N134" s="16">
        <f t="shared" si="4"/>
        <v>0</v>
      </c>
      <c r="O134" s="16">
        <f t="shared" si="5"/>
        <v>0</v>
      </c>
      <c r="P134" s="16">
        <f t="shared" si="6"/>
        <v>0</v>
      </c>
      <c r="Q134" s="16">
        <f t="shared" si="7"/>
        <v>0</v>
      </c>
    </row>
    <row r="135" ht="18.75" customHeight="1" spans="1:17">
      <c r="A135" s="10"/>
      <c r="B135" s="10"/>
      <c r="C135" s="10"/>
      <c r="D135" s="10"/>
      <c r="E135" s="10"/>
      <c r="F135" s="10"/>
      <c r="G135" s="10"/>
      <c r="H135" s="15" t="str">
        <f t="shared" si="0"/>
        <v/>
      </c>
      <c r="I135" s="16" t="str">
        <f t="shared" si="1"/>
        <v/>
      </c>
      <c r="J135" s="17"/>
      <c r="K135" s="17"/>
      <c r="L135" s="16">
        <f t="shared" si="2"/>
        <v>0</v>
      </c>
      <c r="M135" s="16">
        <f t="shared" si="3"/>
        <v>0</v>
      </c>
      <c r="N135" s="16">
        <f t="shared" si="4"/>
        <v>0</v>
      </c>
      <c r="O135" s="16">
        <f t="shared" si="5"/>
        <v>0</v>
      </c>
      <c r="P135" s="16">
        <f t="shared" si="6"/>
        <v>0</v>
      </c>
      <c r="Q135" s="16">
        <f t="shared" si="7"/>
        <v>0</v>
      </c>
    </row>
    <row r="136" ht="18.75" customHeight="1" spans="1:17">
      <c r="A136" s="10"/>
      <c r="B136" s="10"/>
      <c r="C136" s="10"/>
      <c r="D136" s="10"/>
      <c r="E136" s="10"/>
      <c r="F136" s="10"/>
      <c r="G136" s="10"/>
      <c r="H136" s="15" t="str">
        <f t="shared" si="0"/>
        <v/>
      </c>
      <c r="I136" s="16" t="str">
        <f t="shared" si="1"/>
        <v/>
      </c>
      <c r="J136" s="17"/>
      <c r="K136" s="17"/>
      <c r="L136" s="16">
        <f t="shared" si="2"/>
        <v>0</v>
      </c>
      <c r="M136" s="16">
        <f t="shared" si="3"/>
        <v>0</v>
      </c>
      <c r="N136" s="16">
        <f t="shared" si="4"/>
        <v>0</v>
      </c>
      <c r="O136" s="16">
        <f t="shared" si="5"/>
        <v>0</v>
      </c>
      <c r="P136" s="16">
        <f t="shared" si="6"/>
        <v>0</v>
      </c>
      <c r="Q136" s="16">
        <f t="shared" si="7"/>
        <v>0</v>
      </c>
    </row>
    <row r="137" ht="18.75" customHeight="1" spans="1:17">
      <c r="A137" s="10"/>
      <c r="B137" s="10"/>
      <c r="C137" s="10"/>
      <c r="D137" s="10"/>
      <c r="E137" s="10"/>
      <c r="F137" s="10"/>
      <c r="G137" s="10"/>
      <c r="H137" s="15" t="str">
        <f t="shared" si="0"/>
        <v/>
      </c>
      <c r="I137" s="16" t="str">
        <f t="shared" si="1"/>
        <v/>
      </c>
      <c r="J137" s="17"/>
      <c r="K137" s="17"/>
      <c r="L137" s="16">
        <f t="shared" si="2"/>
        <v>0</v>
      </c>
      <c r="M137" s="16">
        <f t="shared" si="3"/>
        <v>0</v>
      </c>
      <c r="N137" s="16">
        <f t="shared" si="4"/>
        <v>0</v>
      </c>
      <c r="O137" s="16">
        <f t="shared" si="5"/>
        <v>0</v>
      </c>
      <c r="P137" s="16">
        <f t="shared" si="6"/>
        <v>0</v>
      </c>
      <c r="Q137" s="16">
        <f t="shared" si="7"/>
        <v>0</v>
      </c>
    </row>
    <row r="138" ht="18.75" customHeight="1" spans="1:17">
      <c r="A138" s="10"/>
      <c r="B138" s="10"/>
      <c r="C138" s="10"/>
      <c r="D138" s="10"/>
      <c r="E138" s="10"/>
      <c r="F138" s="10"/>
      <c r="G138" s="10"/>
      <c r="H138" s="15" t="str">
        <f t="shared" si="0"/>
        <v/>
      </c>
      <c r="I138" s="16" t="str">
        <f t="shared" si="1"/>
        <v/>
      </c>
      <c r="J138" s="17"/>
      <c r="K138" s="17"/>
      <c r="L138" s="16">
        <f t="shared" si="2"/>
        <v>0</v>
      </c>
      <c r="M138" s="16">
        <f t="shared" si="3"/>
        <v>0</v>
      </c>
      <c r="N138" s="16">
        <f t="shared" si="4"/>
        <v>0</v>
      </c>
      <c r="O138" s="16">
        <f t="shared" si="5"/>
        <v>0</v>
      </c>
      <c r="P138" s="16">
        <f t="shared" si="6"/>
        <v>0</v>
      </c>
      <c r="Q138" s="16">
        <f t="shared" si="7"/>
        <v>0</v>
      </c>
    </row>
    <row r="139" ht="18.75" customHeight="1" spans="1:17">
      <c r="A139" s="10"/>
      <c r="B139" s="10"/>
      <c r="C139" s="10"/>
      <c r="D139" s="10"/>
      <c r="E139" s="10"/>
      <c r="F139" s="10"/>
      <c r="G139" s="10"/>
      <c r="H139" s="15" t="str">
        <f t="shared" si="0"/>
        <v/>
      </c>
      <c r="I139" s="16" t="str">
        <f t="shared" si="1"/>
        <v/>
      </c>
      <c r="J139" s="17"/>
      <c r="K139" s="17"/>
      <c r="L139" s="16">
        <f t="shared" si="2"/>
        <v>0</v>
      </c>
      <c r="M139" s="16">
        <f t="shared" si="3"/>
        <v>0</v>
      </c>
      <c r="N139" s="16">
        <f t="shared" si="4"/>
        <v>0</v>
      </c>
      <c r="O139" s="16">
        <f t="shared" si="5"/>
        <v>0</v>
      </c>
      <c r="P139" s="16">
        <f t="shared" si="6"/>
        <v>0</v>
      </c>
      <c r="Q139" s="16">
        <f t="shared" si="7"/>
        <v>0</v>
      </c>
    </row>
    <row r="140" ht="18.75" customHeight="1" spans="1:17">
      <c r="A140" s="10"/>
      <c r="B140" s="10"/>
      <c r="C140" s="10"/>
      <c r="D140" s="10"/>
      <c r="E140" s="10"/>
      <c r="F140" s="10"/>
      <c r="G140" s="10"/>
      <c r="H140" s="15" t="str">
        <f t="shared" si="0"/>
        <v/>
      </c>
      <c r="I140" s="16" t="str">
        <f t="shared" si="1"/>
        <v/>
      </c>
      <c r="J140" s="17"/>
      <c r="K140" s="17"/>
      <c r="L140" s="16">
        <f t="shared" si="2"/>
        <v>0</v>
      </c>
      <c r="M140" s="16">
        <f t="shared" si="3"/>
        <v>0</v>
      </c>
      <c r="N140" s="16">
        <f t="shared" si="4"/>
        <v>0</v>
      </c>
      <c r="O140" s="16">
        <f t="shared" si="5"/>
        <v>0</v>
      </c>
      <c r="P140" s="16">
        <f t="shared" si="6"/>
        <v>0</v>
      </c>
      <c r="Q140" s="16">
        <f t="shared" si="7"/>
        <v>0</v>
      </c>
    </row>
    <row r="141" ht="18.75" customHeight="1" spans="1:17">
      <c r="A141" s="10"/>
      <c r="B141" s="10"/>
      <c r="C141" s="10"/>
      <c r="D141" s="10"/>
      <c r="E141" s="10"/>
      <c r="F141" s="10"/>
      <c r="G141" s="10"/>
      <c r="H141" s="15" t="str">
        <f t="shared" si="0"/>
        <v/>
      </c>
      <c r="I141" s="16" t="str">
        <f t="shared" si="1"/>
        <v/>
      </c>
      <c r="J141" s="17"/>
      <c r="K141" s="17"/>
      <c r="L141" s="16">
        <f t="shared" si="2"/>
        <v>0</v>
      </c>
      <c r="M141" s="16">
        <f t="shared" si="3"/>
        <v>0</v>
      </c>
      <c r="N141" s="16">
        <f t="shared" si="4"/>
        <v>0</v>
      </c>
      <c r="O141" s="16">
        <f t="shared" si="5"/>
        <v>0</v>
      </c>
      <c r="P141" s="16">
        <f t="shared" si="6"/>
        <v>0</v>
      </c>
      <c r="Q141" s="16">
        <f t="shared" si="7"/>
        <v>0</v>
      </c>
    </row>
    <row r="142" ht="18.75" customHeight="1" spans="1:17">
      <c r="A142" s="10"/>
      <c r="B142" s="10"/>
      <c r="C142" s="10"/>
      <c r="D142" s="10"/>
      <c r="E142" s="10"/>
      <c r="F142" s="10"/>
      <c r="G142" s="10"/>
      <c r="H142" s="15" t="str">
        <f t="shared" si="0"/>
        <v/>
      </c>
      <c r="I142" s="16" t="str">
        <f t="shared" si="1"/>
        <v/>
      </c>
      <c r="J142" s="17"/>
      <c r="K142" s="17"/>
      <c r="L142" s="16">
        <f t="shared" si="2"/>
        <v>0</v>
      </c>
      <c r="M142" s="16">
        <f t="shared" si="3"/>
        <v>0</v>
      </c>
      <c r="N142" s="16">
        <f t="shared" si="4"/>
        <v>0</v>
      </c>
      <c r="O142" s="16">
        <f t="shared" si="5"/>
        <v>0</v>
      </c>
      <c r="P142" s="16">
        <f t="shared" si="6"/>
        <v>0</v>
      </c>
      <c r="Q142" s="16">
        <f t="shared" si="7"/>
        <v>0</v>
      </c>
    </row>
    <row r="143" ht="18.75" customHeight="1" spans="1:17">
      <c r="A143" s="10"/>
      <c r="B143" s="10"/>
      <c r="C143" s="10"/>
      <c r="D143" s="10"/>
      <c r="E143" s="10"/>
      <c r="F143" s="10"/>
      <c r="G143" s="10"/>
      <c r="H143" s="15" t="str">
        <f t="shared" si="0"/>
        <v/>
      </c>
      <c r="I143" s="16" t="str">
        <f t="shared" si="1"/>
        <v/>
      </c>
      <c r="J143" s="17"/>
      <c r="K143" s="17"/>
      <c r="L143" s="16">
        <f t="shared" si="2"/>
        <v>0</v>
      </c>
      <c r="M143" s="16">
        <f t="shared" si="3"/>
        <v>0</v>
      </c>
      <c r="N143" s="16">
        <f t="shared" si="4"/>
        <v>0</v>
      </c>
      <c r="O143" s="16">
        <f t="shared" si="5"/>
        <v>0</v>
      </c>
      <c r="P143" s="16">
        <f t="shared" si="6"/>
        <v>0</v>
      </c>
      <c r="Q143" s="16">
        <f t="shared" si="7"/>
        <v>0</v>
      </c>
    </row>
    <row r="144" ht="18.75" customHeight="1" spans="1:17">
      <c r="A144" s="10"/>
      <c r="B144" s="10"/>
      <c r="C144" s="10"/>
      <c r="D144" s="10"/>
      <c r="E144" s="10"/>
      <c r="F144" s="10"/>
      <c r="G144" s="10"/>
      <c r="H144" s="15" t="str">
        <f t="shared" si="0"/>
        <v/>
      </c>
      <c r="I144" s="16" t="str">
        <f t="shared" si="1"/>
        <v/>
      </c>
      <c r="J144" s="17"/>
      <c r="K144" s="17"/>
      <c r="L144" s="16">
        <f t="shared" si="2"/>
        <v>0</v>
      </c>
      <c r="M144" s="16">
        <f t="shared" si="3"/>
        <v>0</v>
      </c>
      <c r="N144" s="16">
        <f t="shared" si="4"/>
        <v>0</v>
      </c>
      <c r="O144" s="16">
        <f t="shared" si="5"/>
        <v>0</v>
      </c>
      <c r="P144" s="16">
        <f t="shared" si="6"/>
        <v>0</v>
      </c>
      <c r="Q144" s="16">
        <f t="shared" si="7"/>
        <v>0</v>
      </c>
    </row>
    <row r="145" ht="18.75" customHeight="1" spans="1:17">
      <c r="A145" s="10"/>
      <c r="B145" s="10"/>
      <c r="C145" s="10"/>
      <c r="D145" s="10"/>
      <c r="E145" s="10"/>
      <c r="F145" s="10"/>
      <c r="G145" s="10"/>
      <c r="H145" s="15" t="str">
        <f t="shared" si="0"/>
        <v/>
      </c>
      <c r="I145" s="16" t="str">
        <f t="shared" si="1"/>
        <v/>
      </c>
      <c r="J145" s="17"/>
      <c r="K145" s="17"/>
      <c r="L145" s="16">
        <f t="shared" si="2"/>
        <v>0</v>
      </c>
      <c r="M145" s="16">
        <f t="shared" si="3"/>
        <v>0</v>
      </c>
      <c r="N145" s="16">
        <f t="shared" si="4"/>
        <v>0</v>
      </c>
      <c r="O145" s="16">
        <f t="shared" si="5"/>
        <v>0</v>
      </c>
      <c r="P145" s="16">
        <f t="shared" si="6"/>
        <v>0</v>
      </c>
      <c r="Q145" s="16">
        <f t="shared" si="7"/>
        <v>0</v>
      </c>
    </row>
    <row r="146" ht="18.75" customHeight="1" spans="1:17">
      <c r="A146" s="10"/>
      <c r="B146" s="10"/>
      <c r="C146" s="10"/>
      <c r="D146" s="10"/>
      <c r="E146" s="10"/>
      <c r="F146" s="10"/>
      <c r="G146" s="10"/>
      <c r="H146" s="15" t="str">
        <f t="shared" si="0"/>
        <v/>
      </c>
      <c r="I146" s="16" t="str">
        <f t="shared" si="1"/>
        <v/>
      </c>
      <c r="J146" s="17"/>
      <c r="K146" s="17"/>
      <c r="L146" s="16">
        <f t="shared" si="2"/>
        <v>0</v>
      </c>
      <c r="M146" s="16">
        <f t="shared" si="3"/>
        <v>0</v>
      </c>
      <c r="N146" s="16">
        <f t="shared" si="4"/>
        <v>0</v>
      </c>
      <c r="O146" s="16">
        <f t="shared" si="5"/>
        <v>0</v>
      </c>
      <c r="P146" s="16">
        <f t="shared" si="6"/>
        <v>0</v>
      </c>
      <c r="Q146" s="16">
        <f t="shared" si="7"/>
        <v>0</v>
      </c>
    </row>
    <row r="147" ht="18.75" customHeight="1" spans="1:17">
      <c r="A147" s="10"/>
      <c r="B147" s="10"/>
      <c r="C147" s="10"/>
      <c r="D147" s="10"/>
      <c r="E147" s="10"/>
      <c r="F147" s="10"/>
      <c r="G147" s="10"/>
      <c r="H147" s="15" t="str">
        <f t="shared" si="0"/>
        <v/>
      </c>
      <c r="I147" s="16" t="str">
        <f t="shared" si="1"/>
        <v/>
      </c>
      <c r="J147" s="17"/>
      <c r="K147" s="17"/>
      <c r="L147" s="16">
        <f t="shared" si="2"/>
        <v>0</v>
      </c>
      <c r="M147" s="16">
        <f t="shared" si="3"/>
        <v>0</v>
      </c>
      <c r="N147" s="16">
        <f t="shared" si="4"/>
        <v>0</v>
      </c>
      <c r="O147" s="16">
        <f t="shared" si="5"/>
        <v>0</v>
      </c>
      <c r="P147" s="16">
        <f t="shared" si="6"/>
        <v>0</v>
      </c>
      <c r="Q147" s="16">
        <f t="shared" si="7"/>
        <v>0</v>
      </c>
    </row>
    <row r="148" ht="18.75" customHeight="1" spans="1:17">
      <c r="A148" s="10"/>
      <c r="B148" s="10"/>
      <c r="C148" s="10"/>
      <c r="D148" s="10"/>
      <c r="E148" s="10"/>
      <c r="F148" s="10"/>
      <c r="G148" s="10"/>
      <c r="H148" s="15" t="str">
        <f t="shared" si="0"/>
        <v/>
      </c>
      <c r="I148" s="16" t="str">
        <f t="shared" si="1"/>
        <v/>
      </c>
      <c r="J148" s="17"/>
      <c r="K148" s="17"/>
      <c r="L148" s="16">
        <f t="shared" si="2"/>
        <v>0</v>
      </c>
      <c r="M148" s="16">
        <f t="shared" si="3"/>
        <v>0</v>
      </c>
      <c r="N148" s="16">
        <f t="shared" si="4"/>
        <v>0</v>
      </c>
      <c r="O148" s="16">
        <f t="shared" si="5"/>
        <v>0</v>
      </c>
      <c r="P148" s="16">
        <f t="shared" si="6"/>
        <v>0</v>
      </c>
      <c r="Q148" s="16">
        <f t="shared" si="7"/>
        <v>0</v>
      </c>
    </row>
    <row r="149" ht="18.75" customHeight="1" spans="1:17">
      <c r="A149" s="10"/>
      <c r="B149" s="10"/>
      <c r="C149" s="10"/>
      <c r="D149" s="10"/>
      <c r="E149" s="10"/>
      <c r="F149" s="10"/>
      <c r="G149" s="10"/>
      <c r="H149" s="15" t="str">
        <f t="shared" si="0"/>
        <v/>
      </c>
      <c r="I149" s="16" t="str">
        <f t="shared" si="1"/>
        <v/>
      </c>
      <c r="J149" s="17"/>
      <c r="K149" s="17"/>
      <c r="L149" s="16">
        <f t="shared" si="2"/>
        <v>0</v>
      </c>
      <c r="M149" s="16">
        <f t="shared" si="3"/>
        <v>0</v>
      </c>
      <c r="N149" s="16">
        <f t="shared" si="4"/>
        <v>0</v>
      </c>
      <c r="O149" s="16">
        <f t="shared" si="5"/>
        <v>0</v>
      </c>
      <c r="P149" s="16">
        <f t="shared" si="6"/>
        <v>0</v>
      </c>
      <c r="Q149" s="16">
        <f t="shared" si="7"/>
        <v>0</v>
      </c>
    </row>
    <row r="150" ht="18.75" customHeight="1" spans="1:17">
      <c r="A150" s="10"/>
      <c r="B150" s="10"/>
      <c r="C150" s="10"/>
      <c r="D150" s="10"/>
      <c r="E150" s="10"/>
      <c r="F150" s="10"/>
      <c r="G150" s="10"/>
      <c r="H150" s="15" t="str">
        <f t="shared" si="0"/>
        <v/>
      </c>
      <c r="I150" s="16" t="str">
        <f t="shared" si="1"/>
        <v/>
      </c>
      <c r="J150" s="17"/>
      <c r="K150" s="17"/>
      <c r="L150" s="16">
        <f t="shared" si="2"/>
        <v>0</v>
      </c>
      <c r="M150" s="16">
        <f t="shared" si="3"/>
        <v>0</v>
      </c>
      <c r="N150" s="16">
        <f t="shared" si="4"/>
        <v>0</v>
      </c>
      <c r="O150" s="16">
        <f t="shared" si="5"/>
        <v>0</v>
      </c>
      <c r="P150" s="16">
        <f t="shared" si="6"/>
        <v>0</v>
      </c>
      <c r="Q150" s="16">
        <f t="shared" si="7"/>
        <v>0</v>
      </c>
    </row>
    <row r="151" ht="18.75" customHeight="1" spans="1:17">
      <c r="A151" s="10"/>
      <c r="B151" s="10"/>
      <c r="C151" s="10"/>
      <c r="D151" s="10"/>
      <c r="E151" s="10"/>
      <c r="F151" s="10"/>
      <c r="G151" s="10"/>
      <c r="H151" s="15" t="str">
        <f t="shared" si="0"/>
        <v/>
      </c>
      <c r="I151" s="16" t="str">
        <f t="shared" si="1"/>
        <v/>
      </c>
      <c r="J151" s="17"/>
      <c r="K151" s="17"/>
      <c r="L151" s="16">
        <f t="shared" si="2"/>
        <v>0</v>
      </c>
      <c r="M151" s="16">
        <f t="shared" si="3"/>
        <v>0</v>
      </c>
      <c r="N151" s="16">
        <f t="shared" si="4"/>
        <v>0</v>
      </c>
      <c r="O151" s="16">
        <f t="shared" si="5"/>
        <v>0</v>
      </c>
      <c r="P151" s="16">
        <f t="shared" si="6"/>
        <v>0</v>
      </c>
      <c r="Q151" s="16">
        <f t="shared" si="7"/>
        <v>0</v>
      </c>
    </row>
    <row r="152" ht="18.75" customHeight="1" spans="1:17">
      <c r="A152" s="10"/>
      <c r="B152" s="10"/>
      <c r="C152" s="10"/>
      <c r="D152" s="10"/>
      <c r="E152" s="10"/>
      <c r="F152" s="10"/>
      <c r="G152" s="10"/>
      <c r="H152" s="15" t="str">
        <f t="shared" si="0"/>
        <v/>
      </c>
      <c r="I152" s="16" t="str">
        <f t="shared" si="1"/>
        <v/>
      </c>
      <c r="J152" s="17"/>
      <c r="K152" s="17"/>
      <c r="L152" s="16">
        <f t="shared" si="2"/>
        <v>0</v>
      </c>
      <c r="M152" s="16">
        <f t="shared" si="3"/>
        <v>0</v>
      </c>
      <c r="N152" s="16">
        <f t="shared" si="4"/>
        <v>0</v>
      </c>
      <c r="O152" s="16">
        <f t="shared" si="5"/>
        <v>0</v>
      </c>
      <c r="P152" s="16">
        <f t="shared" si="6"/>
        <v>0</v>
      </c>
      <c r="Q152" s="16">
        <f t="shared" si="7"/>
        <v>0</v>
      </c>
    </row>
    <row r="153" ht="18.75" customHeight="1" spans="1:17">
      <c r="A153" s="10"/>
      <c r="B153" s="10"/>
      <c r="C153" s="10"/>
      <c r="D153" s="10"/>
      <c r="E153" s="10"/>
      <c r="F153" s="10"/>
      <c r="G153" s="10"/>
      <c r="H153" s="15" t="str">
        <f t="shared" si="0"/>
        <v/>
      </c>
      <c r="I153" s="16" t="str">
        <f t="shared" si="1"/>
        <v/>
      </c>
      <c r="J153" s="17"/>
      <c r="K153" s="17"/>
      <c r="L153" s="16">
        <f t="shared" si="2"/>
        <v>0</v>
      </c>
      <c r="M153" s="16">
        <f t="shared" si="3"/>
        <v>0</v>
      </c>
      <c r="N153" s="16">
        <f t="shared" si="4"/>
        <v>0</v>
      </c>
      <c r="O153" s="16">
        <f t="shared" si="5"/>
        <v>0</v>
      </c>
      <c r="P153" s="16">
        <f t="shared" si="6"/>
        <v>0</v>
      </c>
      <c r="Q153" s="16">
        <f t="shared" si="7"/>
        <v>0</v>
      </c>
    </row>
    <row r="154" ht="18.75" customHeight="1" spans="1:17">
      <c r="A154" s="10"/>
      <c r="B154" s="10"/>
      <c r="C154" s="10"/>
      <c r="D154" s="10"/>
      <c r="E154" s="10"/>
      <c r="F154" s="10"/>
      <c r="G154" s="10"/>
      <c r="H154" s="15" t="str">
        <f t="shared" si="0"/>
        <v/>
      </c>
      <c r="I154" s="16" t="str">
        <f t="shared" si="1"/>
        <v/>
      </c>
      <c r="J154" s="17"/>
      <c r="K154" s="17"/>
      <c r="L154" s="16">
        <f t="shared" si="2"/>
        <v>0</v>
      </c>
      <c r="M154" s="16">
        <f t="shared" si="3"/>
        <v>0</v>
      </c>
      <c r="N154" s="16">
        <f t="shared" si="4"/>
        <v>0</v>
      </c>
      <c r="O154" s="16">
        <f t="shared" si="5"/>
        <v>0</v>
      </c>
      <c r="P154" s="16">
        <f t="shared" si="6"/>
        <v>0</v>
      </c>
      <c r="Q154" s="16">
        <f t="shared" si="7"/>
        <v>0</v>
      </c>
    </row>
    <row r="155" ht="18.75" customHeight="1" spans="1:17">
      <c r="A155" s="10"/>
      <c r="B155" s="10"/>
      <c r="C155" s="10"/>
      <c r="D155" s="10"/>
      <c r="E155" s="10"/>
      <c r="F155" s="10"/>
      <c r="G155" s="10"/>
      <c r="H155" s="15" t="str">
        <f t="shared" ref="H155:H210" si="8">IFERROR(VLOOKUP($B155,$A$25:$N$54,7,FALSE),"")</f>
        <v/>
      </c>
      <c r="I155" s="16" t="str">
        <f t="shared" ref="I155:I210" si="9">IF($H155="Minor",1,IF($H155="Moderate",2,IF($H155="Major",3,IF($H155="Critical",4,""))))</f>
        <v/>
      </c>
      <c r="J155" s="17"/>
      <c r="K155" s="17"/>
      <c r="L155" s="16">
        <f t="shared" ref="L155:L210" si="10">IF(OR($G155="Exact TP",$G155="Equivalent TP"),1,0)</f>
        <v>0</v>
      </c>
      <c r="M155" s="16">
        <f t="shared" ref="M155:M210" si="11">IF(OR($G155="FP Extra",$G155="Harmful FP"),1,0)</f>
        <v>0</v>
      </c>
      <c r="N155" s="16">
        <f t="shared" ref="N155:N210" si="12">IF(OR($G155="FN",$G155="Partial"),1,0)</f>
        <v>0</v>
      </c>
      <c r="O155" s="16">
        <f t="shared" ref="O155:O210" si="13">IF($L155=1,$I155,0)</f>
        <v>0</v>
      </c>
      <c r="P155" s="16">
        <f t="shared" ref="P155:P210" si="14">IF($M155=1,$I155,0)</f>
        <v>0</v>
      </c>
      <c r="Q155" s="16">
        <f t="shared" ref="Q155:Q210" si="15">IF($N155=1,$I155,0)</f>
        <v>0</v>
      </c>
    </row>
    <row r="156" ht="18.75" customHeight="1" spans="1:17">
      <c r="A156" s="10"/>
      <c r="B156" s="10"/>
      <c r="C156" s="10"/>
      <c r="D156" s="10"/>
      <c r="E156" s="10"/>
      <c r="F156" s="10"/>
      <c r="G156" s="10"/>
      <c r="H156" s="15" t="str">
        <f t="shared" si="8"/>
        <v/>
      </c>
      <c r="I156" s="16" t="str">
        <f t="shared" si="9"/>
        <v/>
      </c>
      <c r="J156" s="17"/>
      <c r="K156" s="17"/>
      <c r="L156" s="16">
        <f t="shared" si="10"/>
        <v>0</v>
      </c>
      <c r="M156" s="16">
        <f t="shared" si="11"/>
        <v>0</v>
      </c>
      <c r="N156" s="16">
        <f t="shared" si="12"/>
        <v>0</v>
      </c>
      <c r="O156" s="16">
        <f t="shared" si="13"/>
        <v>0</v>
      </c>
      <c r="P156" s="16">
        <f t="shared" si="14"/>
        <v>0</v>
      </c>
      <c r="Q156" s="16">
        <f t="shared" si="15"/>
        <v>0</v>
      </c>
    </row>
    <row r="157" ht="18.75" customHeight="1" spans="1:17">
      <c r="A157" s="10"/>
      <c r="B157" s="10"/>
      <c r="C157" s="10"/>
      <c r="D157" s="10"/>
      <c r="E157" s="10"/>
      <c r="F157" s="10"/>
      <c r="G157" s="10"/>
      <c r="H157" s="15" t="str">
        <f t="shared" si="8"/>
        <v/>
      </c>
      <c r="I157" s="16" t="str">
        <f t="shared" si="9"/>
        <v/>
      </c>
      <c r="J157" s="17"/>
      <c r="K157" s="17"/>
      <c r="L157" s="16">
        <f t="shared" si="10"/>
        <v>0</v>
      </c>
      <c r="M157" s="16">
        <f t="shared" si="11"/>
        <v>0</v>
      </c>
      <c r="N157" s="16">
        <f t="shared" si="12"/>
        <v>0</v>
      </c>
      <c r="O157" s="16">
        <f t="shared" si="13"/>
        <v>0</v>
      </c>
      <c r="P157" s="16">
        <f t="shared" si="14"/>
        <v>0</v>
      </c>
      <c r="Q157" s="16">
        <f t="shared" si="15"/>
        <v>0</v>
      </c>
    </row>
    <row r="158" ht="18.75" customHeight="1" spans="1:17">
      <c r="A158" s="10"/>
      <c r="B158" s="10"/>
      <c r="C158" s="10"/>
      <c r="D158" s="10"/>
      <c r="E158" s="10"/>
      <c r="F158" s="10"/>
      <c r="G158" s="10"/>
      <c r="H158" s="15" t="str">
        <f t="shared" si="8"/>
        <v/>
      </c>
      <c r="I158" s="16" t="str">
        <f t="shared" si="9"/>
        <v/>
      </c>
      <c r="J158" s="17"/>
      <c r="K158" s="17"/>
      <c r="L158" s="16">
        <f t="shared" si="10"/>
        <v>0</v>
      </c>
      <c r="M158" s="16">
        <f t="shared" si="11"/>
        <v>0</v>
      </c>
      <c r="N158" s="16">
        <f t="shared" si="12"/>
        <v>0</v>
      </c>
      <c r="O158" s="16">
        <f t="shared" si="13"/>
        <v>0</v>
      </c>
      <c r="P158" s="16">
        <f t="shared" si="14"/>
        <v>0</v>
      </c>
      <c r="Q158" s="16">
        <f t="shared" si="15"/>
        <v>0</v>
      </c>
    </row>
    <row r="159" ht="18.75" customHeight="1" spans="1:17">
      <c r="A159" s="10"/>
      <c r="B159" s="10"/>
      <c r="C159" s="10"/>
      <c r="D159" s="10"/>
      <c r="E159" s="10"/>
      <c r="F159" s="10"/>
      <c r="G159" s="10"/>
      <c r="H159" s="15" t="str">
        <f t="shared" si="8"/>
        <v/>
      </c>
      <c r="I159" s="16" t="str">
        <f t="shared" si="9"/>
        <v/>
      </c>
      <c r="J159" s="17"/>
      <c r="K159" s="17"/>
      <c r="L159" s="16">
        <f t="shared" si="10"/>
        <v>0</v>
      </c>
      <c r="M159" s="16">
        <f t="shared" si="11"/>
        <v>0</v>
      </c>
      <c r="N159" s="16">
        <f t="shared" si="12"/>
        <v>0</v>
      </c>
      <c r="O159" s="16">
        <f t="shared" si="13"/>
        <v>0</v>
      </c>
      <c r="P159" s="16">
        <f t="shared" si="14"/>
        <v>0</v>
      </c>
      <c r="Q159" s="16">
        <f t="shared" si="15"/>
        <v>0</v>
      </c>
    </row>
    <row r="160" ht="18.75" customHeight="1" spans="1:17">
      <c r="A160" s="10"/>
      <c r="B160" s="10"/>
      <c r="C160" s="10"/>
      <c r="D160" s="10"/>
      <c r="E160" s="10"/>
      <c r="F160" s="10"/>
      <c r="G160" s="10"/>
      <c r="H160" s="15" t="str">
        <f t="shared" si="8"/>
        <v/>
      </c>
      <c r="I160" s="16" t="str">
        <f t="shared" si="9"/>
        <v/>
      </c>
      <c r="J160" s="17"/>
      <c r="K160" s="17"/>
      <c r="L160" s="16">
        <f t="shared" si="10"/>
        <v>0</v>
      </c>
      <c r="M160" s="16">
        <f t="shared" si="11"/>
        <v>0</v>
      </c>
      <c r="N160" s="16">
        <f t="shared" si="12"/>
        <v>0</v>
      </c>
      <c r="O160" s="16">
        <f t="shared" si="13"/>
        <v>0</v>
      </c>
      <c r="P160" s="16">
        <f t="shared" si="14"/>
        <v>0</v>
      </c>
      <c r="Q160" s="16">
        <f t="shared" si="15"/>
        <v>0</v>
      </c>
    </row>
    <row r="161" ht="18.75" customHeight="1" spans="1:17">
      <c r="A161" s="10"/>
      <c r="B161" s="10"/>
      <c r="C161" s="10"/>
      <c r="D161" s="10"/>
      <c r="E161" s="10"/>
      <c r="F161" s="10"/>
      <c r="G161" s="10"/>
      <c r="H161" s="15" t="str">
        <f t="shared" si="8"/>
        <v/>
      </c>
      <c r="I161" s="16" t="str">
        <f t="shared" si="9"/>
        <v/>
      </c>
      <c r="J161" s="17"/>
      <c r="K161" s="17"/>
      <c r="L161" s="16">
        <f t="shared" si="10"/>
        <v>0</v>
      </c>
      <c r="M161" s="16">
        <f t="shared" si="11"/>
        <v>0</v>
      </c>
      <c r="N161" s="16">
        <f t="shared" si="12"/>
        <v>0</v>
      </c>
      <c r="O161" s="16">
        <f t="shared" si="13"/>
        <v>0</v>
      </c>
      <c r="P161" s="16">
        <f t="shared" si="14"/>
        <v>0</v>
      </c>
      <c r="Q161" s="16">
        <f t="shared" si="15"/>
        <v>0</v>
      </c>
    </row>
    <row r="162" ht="18.75" customHeight="1" spans="1:17">
      <c r="A162" s="10"/>
      <c r="B162" s="10"/>
      <c r="C162" s="10"/>
      <c r="D162" s="10"/>
      <c r="E162" s="10"/>
      <c r="F162" s="10"/>
      <c r="G162" s="10"/>
      <c r="H162" s="15" t="str">
        <f t="shared" si="8"/>
        <v/>
      </c>
      <c r="I162" s="16" t="str">
        <f t="shared" si="9"/>
        <v/>
      </c>
      <c r="J162" s="17"/>
      <c r="K162" s="17"/>
      <c r="L162" s="16">
        <f t="shared" si="10"/>
        <v>0</v>
      </c>
      <c r="M162" s="16">
        <f t="shared" si="11"/>
        <v>0</v>
      </c>
      <c r="N162" s="16">
        <f t="shared" si="12"/>
        <v>0</v>
      </c>
      <c r="O162" s="16">
        <f t="shared" si="13"/>
        <v>0</v>
      </c>
      <c r="P162" s="16">
        <f t="shared" si="14"/>
        <v>0</v>
      </c>
      <c r="Q162" s="16">
        <f t="shared" si="15"/>
        <v>0</v>
      </c>
    </row>
    <row r="163" ht="18.75" customHeight="1" spans="1:17">
      <c r="A163" s="10"/>
      <c r="B163" s="10"/>
      <c r="C163" s="10"/>
      <c r="D163" s="10"/>
      <c r="E163" s="10"/>
      <c r="F163" s="10"/>
      <c r="G163" s="10"/>
      <c r="H163" s="15" t="str">
        <f t="shared" si="8"/>
        <v/>
      </c>
      <c r="I163" s="16" t="str">
        <f t="shared" si="9"/>
        <v/>
      </c>
      <c r="J163" s="17"/>
      <c r="K163" s="17"/>
      <c r="L163" s="16">
        <f t="shared" si="10"/>
        <v>0</v>
      </c>
      <c r="M163" s="16">
        <f t="shared" si="11"/>
        <v>0</v>
      </c>
      <c r="N163" s="16">
        <f t="shared" si="12"/>
        <v>0</v>
      </c>
      <c r="O163" s="16">
        <f t="shared" si="13"/>
        <v>0</v>
      </c>
      <c r="P163" s="16">
        <f t="shared" si="14"/>
        <v>0</v>
      </c>
      <c r="Q163" s="16">
        <f t="shared" si="15"/>
        <v>0</v>
      </c>
    </row>
    <row r="164" ht="18.75" customHeight="1" spans="1:17">
      <c r="A164" s="10"/>
      <c r="B164" s="10"/>
      <c r="C164" s="10"/>
      <c r="D164" s="10"/>
      <c r="E164" s="10"/>
      <c r="F164" s="10"/>
      <c r="G164" s="10"/>
      <c r="H164" s="15" t="str">
        <f t="shared" si="8"/>
        <v/>
      </c>
      <c r="I164" s="16" t="str">
        <f t="shared" si="9"/>
        <v/>
      </c>
      <c r="J164" s="17"/>
      <c r="K164" s="17"/>
      <c r="L164" s="16">
        <f t="shared" si="10"/>
        <v>0</v>
      </c>
      <c r="M164" s="16">
        <f t="shared" si="11"/>
        <v>0</v>
      </c>
      <c r="N164" s="16">
        <f t="shared" si="12"/>
        <v>0</v>
      </c>
      <c r="O164" s="16">
        <f t="shared" si="13"/>
        <v>0</v>
      </c>
      <c r="P164" s="16">
        <f t="shared" si="14"/>
        <v>0</v>
      </c>
      <c r="Q164" s="16">
        <f t="shared" si="15"/>
        <v>0</v>
      </c>
    </row>
    <row r="165" ht="18.75" customHeight="1" spans="1:17">
      <c r="A165" s="10"/>
      <c r="B165" s="10"/>
      <c r="C165" s="10"/>
      <c r="D165" s="10"/>
      <c r="E165" s="10"/>
      <c r="F165" s="10"/>
      <c r="G165" s="10"/>
      <c r="H165" s="15" t="str">
        <f t="shared" si="8"/>
        <v/>
      </c>
      <c r="I165" s="16" t="str">
        <f t="shared" si="9"/>
        <v/>
      </c>
      <c r="J165" s="17"/>
      <c r="K165" s="17"/>
      <c r="L165" s="16">
        <f t="shared" si="10"/>
        <v>0</v>
      </c>
      <c r="M165" s="16">
        <f t="shared" si="11"/>
        <v>0</v>
      </c>
      <c r="N165" s="16">
        <f t="shared" si="12"/>
        <v>0</v>
      </c>
      <c r="O165" s="16">
        <f t="shared" si="13"/>
        <v>0</v>
      </c>
      <c r="P165" s="16">
        <f t="shared" si="14"/>
        <v>0</v>
      </c>
      <c r="Q165" s="16">
        <f t="shared" si="15"/>
        <v>0</v>
      </c>
    </row>
    <row r="166" ht="18.75" customHeight="1" spans="1:17">
      <c r="A166" s="10"/>
      <c r="B166" s="10"/>
      <c r="C166" s="10"/>
      <c r="D166" s="10"/>
      <c r="E166" s="10"/>
      <c r="F166" s="10"/>
      <c r="G166" s="10"/>
      <c r="H166" s="15" t="str">
        <f t="shared" si="8"/>
        <v/>
      </c>
      <c r="I166" s="16" t="str">
        <f t="shared" si="9"/>
        <v/>
      </c>
      <c r="J166" s="17"/>
      <c r="K166" s="17"/>
      <c r="L166" s="16">
        <f t="shared" si="10"/>
        <v>0</v>
      </c>
      <c r="M166" s="16">
        <f t="shared" si="11"/>
        <v>0</v>
      </c>
      <c r="N166" s="16">
        <f t="shared" si="12"/>
        <v>0</v>
      </c>
      <c r="O166" s="16">
        <f t="shared" si="13"/>
        <v>0</v>
      </c>
      <c r="P166" s="16">
        <f t="shared" si="14"/>
        <v>0</v>
      </c>
      <c r="Q166" s="16">
        <f t="shared" si="15"/>
        <v>0</v>
      </c>
    </row>
    <row r="167" ht="18.75" customHeight="1" spans="1:17">
      <c r="A167" s="10"/>
      <c r="B167" s="10"/>
      <c r="C167" s="10"/>
      <c r="D167" s="10"/>
      <c r="E167" s="10"/>
      <c r="F167" s="10"/>
      <c r="G167" s="10"/>
      <c r="H167" s="15" t="str">
        <f t="shared" si="8"/>
        <v/>
      </c>
      <c r="I167" s="16" t="str">
        <f t="shared" si="9"/>
        <v/>
      </c>
      <c r="J167" s="17"/>
      <c r="K167" s="17"/>
      <c r="L167" s="16">
        <f t="shared" si="10"/>
        <v>0</v>
      </c>
      <c r="M167" s="16">
        <f t="shared" si="11"/>
        <v>0</v>
      </c>
      <c r="N167" s="16">
        <f t="shared" si="12"/>
        <v>0</v>
      </c>
      <c r="O167" s="16">
        <f t="shared" si="13"/>
        <v>0</v>
      </c>
      <c r="P167" s="16">
        <f t="shared" si="14"/>
        <v>0</v>
      </c>
      <c r="Q167" s="16">
        <f t="shared" si="15"/>
        <v>0</v>
      </c>
    </row>
    <row r="168" ht="18.75" customHeight="1" spans="1:17">
      <c r="A168" s="10"/>
      <c r="B168" s="10"/>
      <c r="C168" s="10"/>
      <c r="D168" s="10"/>
      <c r="E168" s="10"/>
      <c r="F168" s="10"/>
      <c r="G168" s="10"/>
      <c r="H168" s="15" t="str">
        <f t="shared" si="8"/>
        <v/>
      </c>
      <c r="I168" s="16" t="str">
        <f t="shared" si="9"/>
        <v/>
      </c>
      <c r="J168" s="17"/>
      <c r="K168" s="17"/>
      <c r="L168" s="16">
        <f t="shared" si="10"/>
        <v>0</v>
      </c>
      <c r="M168" s="16">
        <f t="shared" si="11"/>
        <v>0</v>
      </c>
      <c r="N168" s="16">
        <f t="shared" si="12"/>
        <v>0</v>
      </c>
      <c r="O168" s="16">
        <f t="shared" si="13"/>
        <v>0</v>
      </c>
      <c r="P168" s="16">
        <f t="shared" si="14"/>
        <v>0</v>
      </c>
      <c r="Q168" s="16">
        <f t="shared" si="15"/>
        <v>0</v>
      </c>
    </row>
    <row r="169" ht="18.75" customHeight="1" spans="1:17">
      <c r="A169" s="10"/>
      <c r="B169" s="10"/>
      <c r="C169" s="10"/>
      <c r="D169" s="10"/>
      <c r="E169" s="10"/>
      <c r="F169" s="10"/>
      <c r="G169" s="10"/>
      <c r="H169" s="15" t="str">
        <f t="shared" si="8"/>
        <v/>
      </c>
      <c r="I169" s="16" t="str">
        <f t="shared" si="9"/>
        <v/>
      </c>
      <c r="J169" s="17"/>
      <c r="K169" s="17"/>
      <c r="L169" s="16">
        <f t="shared" si="10"/>
        <v>0</v>
      </c>
      <c r="M169" s="16">
        <f t="shared" si="11"/>
        <v>0</v>
      </c>
      <c r="N169" s="16">
        <f t="shared" si="12"/>
        <v>0</v>
      </c>
      <c r="O169" s="16">
        <f t="shared" si="13"/>
        <v>0</v>
      </c>
      <c r="P169" s="16">
        <f t="shared" si="14"/>
        <v>0</v>
      </c>
      <c r="Q169" s="16">
        <f t="shared" si="15"/>
        <v>0</v>
      </c>
    </row>
    <row r="170" ht="18.75" customHeight="1" spans="1:17">
      <c r="A170" s="10"/>
      <c r="B170" s="10"/>
      <c r="C170" s="10"/>
      <c r="D170" s="10"/>
      <c r="E170" s="10"/>
      <c r="F170" s="10"/>
      <c r="G170" s="10"/>
      <c r="H170" s="15" t="str">
        <f t="shared" si="8"/>
        <v/>
      </c>
      <c r="I170" s="16" t="str">
        <f t="shared" si="9"/>
        <v/>
      </c>
      <c r="J170" s="17"/>
      <c r="K170" s="17"/>
      <c r="L170" s="16">
        <f t="shared" si="10"/>
        <v>0</v>
      </c>
      <c r="M170" s="16">
        <f t="shared" si="11"/>
        <v>0</v>
      </c>
      <c r="N170" s="16">
        <f t="shared" si="12"/>
        <v>0</v>
      </c>
      <c r="O170" s="16">
        <f t="shared" si="13"/>
        <v>0</v>
      </c>
      <c r="P170" s="16">
        <f t="shared" si="14"/>
        <v>0</v>
      </c>
      <c r="Q170" s="16">
        <f t="shared" si="15"/>
        <v>0</v>
      </c>
    </row>
    <row r="171" ht="18.75" customHeight="1" spans="1:17">
      <c r="A171" s="10"/>
      <c r="B171" s="10"/>
      <c r="C171" s="10"/>
      <c r="D171" s="10"/>
      <c r="E171" s="10"/>
      <c r="F171" s="10"/>
      <c r="G171" s="10"/>
      <c r="H171" s="15" t="str">
        <f t="shared" si="8"/>
        <v/>
      </c>
      <c r="I171" s="16" t="str">
        <f t="shared" si="9"/>
        <v/>
      </c>
      <c r="J171" s="17"/>
      <c r="K171" s="17"/>
      <c r="L171" s="16">
        <f t="shared" si="10"/>
        <v>0</v>
      </c>
      <c r="M171" s="16">
        <f t="shared" si="11"/>
        <v>0</v>
      </c>
      <c r="N171" s="16">
        <f t="shared" si="12"/>
        <v>0</v>
      </c>
      <c r="O171" s="16">
        <f t="shared" si="13"/>
        <v>0</v>
      </c>
      <c r="P171" s="16">
        <f t="shared" si="14"/>
        <v>0</v>
      </c>
      <c r="Q171" s="16">
        <f t="shared" si="15"/>
        <v>0</v>
      </c>
    </row>
    <row r="172" ht="18.75" customHeight="1" spans="1:17">
      <c r="A172" s="10"/>
      <c r="B172" s="10"/>
      <c r="C172" s="10"/>
      <c r="D172" s="10"/>
      <c r="E172" s="10"/>
      <c r="F172" s="10"/>
      <c r="G172" s="10"/>
      <c r="H172" s="15" t="str">
        <f t="shared" si="8"/>
        <v/>
      </c>
      <c r="I172" s="16" t="str">
        <f t="shared" si="9"/>
        <v/>
      </c>
      <c r="J172" s="17"/>
      <c r="K172" s="17"/>
      <c r="L172" s="16">
        <f t="shared" si="10"/>
        <v>0</v>
      </c>
      <c r="M172" s="16">
        <f t="shared" si="11"/>
        <v>0</v>
      </c>
      <c r="N172" s="16">
        <f t="shared" si="12"/>
        <v>0</v>
      </c>
      <c r="O172" s="16">
        <f t="shared" si="13"/>
        <v>0</v>
      </c>
      <c r="P172" s="16">
        <f t="shared" si="14"/>
        <v>0</v>
      </c>
      <c r="Q172" s="16">
        <f t="shared" si="15"/>
        <v>0</v>
      </c>
    </row>
    <row r="173" ht="18.75" customHeight="1" spans="1:17">
      <c r="A173" s="10"/>
      <c r="B173" s="10"/>
      <c r="C173" s="10"/>
      <c r="D173" s="10"/>
      <c r="E173" s="10"/>
      <c r="F173" s="10"/>
      <c r="G173" s="10"/>
      <c r="H173" s="15" t="str">
        <f t="shared" si="8"/>
        <v/>
      </c>
      <c r="I173" s="16" t="str">
        <f t="shared" si="9"/>
        <v/>
      </c>
      <c r="J173" s="17"/>
      <c r="K173" s="17"/>
      <c r="L173" s="16">
        <f t="shared" si="10"/>
        <v>0</v>
      </c>
      <c r="M173" s="16">
        <f t="shared" si="11"/>
        <v>0</v>
      </c>
      <c r="N173" s="16">
        <f t="shared" si="12"/>
        <v>0</v>
      </c>
      <c r="O173" s="16">
        <f t="shared" si="13"/>
        <v>0</v>
      </c>
      <c r="P173" s="16">
        <f t="shared" si="14"/>
        <v>0</v>
      </c>
      <c r="Q173" s="16">
        <f t="shared" si="15"/>
        <v>0</v>
      </c>
    </row>
    <row r="174" ht="18.75" customHeight="1" spans="1:17">
      <c r="A174" s="10"/>
      <c r="B174" s="10"/>
      <c r="C174" s="10"/>
      <c r="D174" s="10"/>
      <c r="E174" s="10"/>
      <c r="F174" s="10"/>
      <c r="G174" s="10"/>
      <c r="H174" s="15" t="str">
        <f t="shared" si="8"/>
        <v/>
      </c>
      <c r="I174" s="16" t="str">
        <f t="shared" si="9"/>
        <v/>
      </c>
      <c r="J174" s="17"/>
      <c r="K174" s="17"/>
      <c r="L174" s="16">
        <f t="shared" si="10"/>
        <v>0</v>
      </c>
      <c r="M174" s="16">
        <f t="shared" si="11"/>
        <v>0</v>
      </c>
      <c r="N174" s="16">
        <f t="shared" si="12"/>
        <v>0</v>
      </c>
      <c r="O174" s="16">
        <f t="shared" si="13"/>
        <v>0</v>
      </c>
      <c r="P174" s="16">
        <f t="shared" si="14"/>
        <v>0</v>
      </c>
      <c r="Q174" s="16">
        <f t="shared" si="15"/>
        <v>0</v>
      </c>
    </row>
    <row r="175" ht="18.75" customHeight="1" spans="1:17">
      <c r="A175" s="10"/>
      <c r="B175" s="10"/>
      <c r="C175" s="10"/>
      <c r="D175" s="10"/>
      <c r="E175" s="10"/>
      <c r="F175" s="10"/>
      <c r="G175" s="10"/>
      <c r="H175" s="15" t="str">
        <f t="shared" si="8"/>
        <v/>
      </c>
      <c r="I175" s="16" t="str">
        <f t="shared" si="9"/>
        <v/>
      </c>
      <c r="J175" s="17"/>
      <c r="K175" s="17"/>
      <c r="L175" s="16">
        <f t="shared" si="10"/>
        <v>0</v>
      </c>
      <c r="M175" s="16">
        <f t="shared" si="11"/>
        <v>0</v>
      </c>
      <c r="N175" s="16">
        <f t="shared" si="12"/>
        <v>0</v>
      </c>
      <c r="O175" s="16">
        <f t="shared" si="13"/>
        <v>0</v>
      </c>
      <c r="P175" s="16">
        <f t="shared" si="14"/>
        <v>0</v>
      </c>
      <c r="Q175" s="16">
        <f t="shared" si="15"/>
        <v>0</v>
      </c>
    </row>
    <row r="176" ht="18.75" customHeight="1" spans="1:17">
      <c r="A176" s="10"/>
      <c r="B176" s="10"/>
      <c r="C176" s="10"/>
      <c r="D176" s="10"/>
      <c r="E176" s="10"/>
      <c r="F176" s="10"/>
      <c r="G176" s="10"/>
      <c r="H176" s="15" t="str">
        <f t="shared" si="8"/>
        <v/>
      </c>
      <c r="I176" s="16" t="str">
        <f t="shared" si="9"/>
        <v/>
      </c>
      <c r="J176" s="17"/>
      <c r="K176" s="17"/>
      <c r="L176" s="16">
        <f t="shared" si="10"/>
        <v>0</v>
      </c>
      <c r="M176" s="16">
        <f t="shared" si="11"/>
        <v>0</v>
      </c>
      <c r="N176" s="16">
        <f t="shared" si="12"/>
        <v>0</v>
      </c>
      <c r="O176" s="16">
        <f t="shared" si="13"/>
        <v>0</v>
      </c>
      <c r="P176" s="16">
        <f t="shared" si="14"/>
        <v>0</v>
      </c>
      <c r="Q176" s="16">
        <f t="shared" si="15"/>
        <v>0</v>
      </c>
    </row>
    <row r="177" ht="18.75" customHeight="1" spans="1:17">
      <c r="A177" s="10"/>
      <c r="B177" s="10"/>
      <c r="C177" s="10"/>
      <c r="D177" s="10"/>
      <c r="E177" s="10"/>
      <c r="F177" s="10"/>
      <c r="G177" s="10"/>
      <c r="H177" s="15" t="str">
        <f t="shared" si="8"/>
        <v/>
      </c>
      <c r="I177" s="16" t="str">
        <f t="shared" si="9"/>
        <v/>
      </c>
      <c r="J177" s="17"/>
      <c r="K177" s="17"/>
      <c r="L177" s="16">
        <f t="shared" si="10"/>
        <v>0</v>
      </c>
      <c r="M177" s="16">
        <f t="shared" si="11"/>
        <v>0</v>
      </c>
      <c r="N177" s="16">
        <f t="shared" si="12"/>
        <v>0</v>
      </c>
      <c r="O177" s="16">
        <f t="shared" si="13"/>
        <v>0</v>
      </c>
      <c r="P177" s="16">
        <f t="shared" si="14"/>
        <v>0</v>
      </c>
      <c r="Q177" s="16">
        <f t="shared" si="15"/>
        <v>0</v>
      </c>
    </row>
    <row r="178" ht="18.75" customHeight="1" spans="1:17">
      <c r="A178" s="10"/>
      <c r="B178" s="10"/>
      <c r="C178" s="10"/>
      <c r="D178" s="10"/>
      <c r="E178" s="10"/>
      <c r="F178" s="10"/>
      <c r="G178" s="10"/>
      <c r="H178" s="15" t="str">
        <f t="shared" si="8"/>
        <v/>
      </c>
      <c r="I178" s="16" t="str">
        <f t="shared" si="9"/>
        <v/>
      </c>
      <c r="J178" s="17"/>
      <c r="K178" s="17"/>
      <c r="L178" s="16">
        <f t="shared" si="10"/>
        <v>0</v>
      </c>
      <c r="M178" s="16">
        <f t="shared" si="11"/>
        <v>0</v>
      </c>
      <c r="N178" s="16">
        <f t="shared" si="12"/>
        <v>0</v>
      </c>
      <c r="O178" s="16">
        <f t="shared" si="13"/>
        <v>0</v>
      </c>
      <c r="P178" s="16">
        <f t="shared" si="14"/>
        <v>0</v>
      </c>
      <c r="Q178" s="16">
        <f t="shared" si="15"/>
        <v>0</v>
      </c>
    </row>
    <row r="179" ht="18.75" customHeight="1" spans="1:17">
      <c r="A179" s="10"/>
      <c r="B179" s="10"/>
      <c r="C179" s="10"/>
      <c r="D179" s="10"/>
      <c r="E179" s="10"/>
      <c r="F179" s="10"/>
      <c r="G179" s="10"/>
      <c r="H179" s="15" t="str">
        <f t="shared" si="8"/>
        <v/>
      </c>
      <c r="I179" s="16" t="str">
        <f t="shared" si="9"/>
        <v/>
      </c>
      <c r="J179" s="17"/>
      <c r="K179" s="17"/>
      <c r="L179" s="16">
        <f t="shared" si="10"/>
        <v>0</v>
      </c>
      <c r="M179" s="16">
        <f t="shared" si="11"/>
        <v>0</v>
      </c>
      <c r="N179" s="16">
        <f t="shared" si="12"/>
        <v>0</v>
      </c>
      <c r="O179" s="16">
        <f t="shared" si="13"/>
        <v>0</v>
      </c>
      <c r="P179" s="16">
        <f t="shared" si="14"/>
        <v>0</v>
      </c>
      <c r="Q179" s="16">
        <f t="shared" si="15"/>
        <v>0</v>
      </c>
    </row>
    <row r="180" ht="18.75" customHeight="1" spans="1:17">
      <c r="A180" s="10"/>
      <c r="B180" s="10"/>
      <c r="C180" s="10"/>
      <c r="D180" s="10"/>
      <c r="E180" s="10"/>
      <c r="F180" s="10"/>
      <c r="G180" s="10"/>
      <c r="H180" s="15" t="str">
        <f t="shared" si="8"/>
        <v/>
      </c>
      <c r="I180" s="16" t="str">
        <f t="shared" si="9"/>
        <v/>
      </c>
      <c r="J180" s="17"/>
      <c r="K180" s="17"/>
      <c r="L180" s="16">
        <f t="shared" si="10"/>
        <v>0</v>
      </c>
      <c r="M180" s="16">
        <f t="shared" si="11"/>
        <v>0</v>
      </c>
      <c r="N180" s="16">
        <f t="shared" si="12"/>
        <v>0</v>
      </c>
      <c r="O180" s="16">
        <f t="shared" si="13"/>
        <v>0</v>
      </c>
      <c r="P180" s="16">
        <f t="shared" si="14"/>
        <v>0</v>
      </c>
      <c r="Q180" s="16">
        <f t="shared" si="15"/>
        <v>0</v>
      </c>
    </row>
    <row r="181" ht="18.75" customHeight="1" spans="1:17">
      <c r="A181" s="10"/>
      <c r="B181" s="10"/>
      <c r="C181" s="10"/>
      <c r="D181" s="10"/>
      <c r="E181" s="10"/>
      <c r="F181" s="10"/>
      <c r="G181" s="10"/>
      <c r="H181" s="15" t="str">
        <f t="shared" si="8"/>
        <v/>
      </c>
      <c r="I181" s="16" t="str">
        <f t="shared" si="9"/>
        <v/>
      </c>
      <c r="J181" s="17"/>
      <c r="K181" s="17"/>
      <c r="L181" s="16">
        <f t="shared" si="10"/>
        <v>0</v>
      </c>
      <c r="M181" s="16">
        <f t="shared" si="11"/>
        <v>0</v>
      </c>
      <c r="N181" s="16">
        <f t="shared" si="12"/>
        <v>0</v>
      </c>
      <c r="O181" s="16">
        <f t="shared" si="13"/>
        <v>0</v>
      </c>
      <c r="P181" s="16">
        <f t="shared" si="14"/>
        <v>0</v>
      </c>
      <c r="Q181" s="16">
        <f t="shared" si="15"/>
        <v>0</v>
      </c>
    </row>
    <row r="182" ht="18.75" customHeight="1" spans="1:17">
      <c r="A182" s="10"/>
      <c r="B182" s="10"/>
      <c r="C182" s="10"/>
      <c r="D182" s="10"/>
      <c r="E182" s="10"/>
      <c r="F182" s="10"/>
      <c r="G182" s="10"/>
      <c r="H182" s="15" t="str">
        <f t="shared" si="8"/>
        <v/>
      </c>
      <c r="I182" s="16" t="str">
        <f t="shared" si="9"/>
        <v/>
      </c>
      <c r="J182" s="17"/>
      <c r="K182" s="17"/>
      <c r="L182" s="16">
        <f t="shared" si="10"/>
        <v>0</v>
      </c>
      <c r="M182" s="16">
        <f t="shared" si="11"/>
        <v>0</v>
      </c>
      <c r="N182" s="16">
        <f t="shared" si="12"/>
        <v>0</v>
      </c>
      <c r="O182" s="16">
        <f t="shared" si="13"/>
        <v>0</v>
      </c>
      <c r="P182" s="16">
        <f t="shared" si="14"/>
        <v>0</v>
      </c>
      <c r="Q182" s="16">
        <f t="shared" si="15"/>
        <v>0</v>
      </c>
    </row>
    <row r="183" ht="18.75" customHeight="1" spans="1:17">
      <c r="A183" s="10"/>
      <c r="B183" s="10"/>
      <c r="C183" s="10"/>
      <c r="D183" s="10"/>
      <c r="E183" s="10"/>
      <c r="F183" s="10"/>
      <c r="G183" s="10"/>
      <c r="H183" s="15" t="str">
        <f t="shared" si="8"/>
        <v/>
      </c>
      <c r="I183" s="16" t="str">
        <f t="shared" si="9"/>
        <v/>
      </c>
      <c r="J183" s="17"/>
      <c r="K183" s="17"/>
      <c r="L183" s="16">
        <f t="shared" si="10"/>
        <v>0</v>
      </c>
      <c r="M183" s="16">
        <f t="shared" si="11"/>
        <v>0</v>
      </c>
      <c r="N183" s="16">
        <f t="shared" si="12"/>
        <v>0</v>
      </c>
      <c r="O183" s="16">
        <f t="shared" si="13"/>
        <v>0</v>
      </c>
      <c r="P183" s="16">
        <f t="shared" si="14"/>
        <v>0</v>
      </c>
      <c r="Q183" s="16">
        <f t="shared" si="15"/>
        <v>0</v>
      </c>
    </row>
    <row r="184" ht="18.75" customHeight="1" spans="1:17">
      <c r="A184" s="10"/>
      <c r="B184" s="10"/>
      <c r="C184" s="10"/>
      <c r="D184" s="10"/>
      <c r="E184" s="10"/>
      <c r="F184" s="10"/>
      <c r="G184" s="10"/>
      <c r="H184" s="15" t="str">
        <f t="shared" si="8"/>
        <v/>
      </c>
      <c r="I184" s="16" t="str">
        <f t="shared" si="9"/>
        <v/>
      </c>
      <c r="J184" s="17"/>
      <c r="K184" s="17"/>
      <c r="L184" s="16">
        <f t="shared" si="10"/>
        <v>0</v>
      </c>
      <c r="M184" s="16">
        <f t="shared" si="11"/>
        <v>0</v>
      </c>
      <c r="N184" s="16">
        <f t="shared" si="12"/>
        <v>0</v>
      </c>
      <c r="O184" s="16">
        <f t="shared" si="13"/>
        <v>0</v>
      </c>
      <c r="P184" s="16">
        <f t="shared" si="14"/>
        <v>0</v>
      </c>
      <c r="Q184" s="16">
        <f t="shared" si="15"/>
        <v>0</v>
      </c>
    </row>
    <row r="185" ht="18.75" customHeight="1" spans="1:17">
      <c r="A185" s="10"/>
      <c r="B185" s="10"/>
      <c r="C185" s="10"/>
      <c r="D185" s="10"/>
      <c r="E185" s="10"/>
      <c r="F185" s="10"/>
      <c r="G185" s="10"/>
      <c r="H185" s="15" t="str">
        <f t="shared" si="8"/>
        <v/>
      </c>
      <c r="I185" s="16" t="str">
        <f t="shared" si="9"/>
        <v/>
      </c>
      <c r="J185" s="17"/>
      <c r="K185" s="17"/>
      <c r="L185" s="16">
        <f t="shared" si="10"/>
        <v>0</v>
      </c>
      <c r="M185" s="16">
        <f t="shared" si="11"/>
        <v>0</v>
      </c>
      <c r="N185" s="16">
        <f t="shared" si="12"/>
        <v>0</v>
      </c>
      <c r="O185" s="16">
        <f t="shared" si="13"/>
        <v>0</v>
      </c>
      <c r="P185" s="16">
        <f t="shared" si="14"/>
        <v>0</v>
      </c>
      <c r="Q185" s="16">
        <f t="shared" si="15"/>
        <v>0</v>
      </c>
    </row>
    <row r="186" ht="18.75" customHeight="1" spans="1:17">
      <c r="A186" s="10"/>
      <c r="B186" s="10"/>
      <c r="C186" s="10"/>
      <c r="D186" s="10"/>
      <c r="E186" s="10"/>
      <c r="F186" s="10"/>
      <c r="G186" s="10"/>
      <c r="H186" s="15" t="str">
        <f t="shared" si="8"/>
        <v/>
      </c>
      <c r="I186" s="16" t="str">
        <f t="shared" si="9"/>
        <v/>
      </c>
      <c r="J186" s="17"/>
      <c r="K186" s="17"/>
      <c r="L186" s="16">
        <f t="shared" si="10"/>
        <v>0</v>
      </c>
      <c r="M186" s="16">
        <f t="shared" si="11"/>
        <v>0</v>
      </c>
      <c r="N186" s="16">
        <f t="shared" si="12"/>
        <v>0</v>
      </c>
      <c r="O186" s="16">
        <f t="shared" si="13"/>
        <v>0</v>
      </c>
      <c r="P186" s="16">
        <f t="shared" si="14"/>
        <v>0</v>
      </c>
      <c r="Q186" s="16">
        <f t="shared" si="15"/>
        <v>0</v>
      </c>
    </row>
    <row r="187" ht="18.75" customHeight="1" spans="1:17">
      <c r="A187" s="10"/>
      <c r="B187" s="10"/>
      <c r="C187" s="10"/>
      <c r="D187" s="10"/>
      <c r="E187" s="10"/>
      <c r="F187" s="10"/>
      <c r="G187" s="10"/>
      <c r="H187" s="15" t="str">
        <f t="shared" si="8"/>
        <v/>
      </c>
      <c r="I187" s="16" t="str">
        <f t="shared" si="9"/>
        <v/>
      </c>
      <c r="J187" s="17"/>
      <c r="K187" s="17"/>
      <c r="L187" s="16">
        <f t="shared" si="10"/>
        <v>0</v>
      </c>
      <c r="M187" s="16">
        <f t="shared" si="11"/>
        <v>0</v>
      </c>
      <c r="N187" s="16">
        <f t="shared" si="12"/>
        <v>0</v>
      </c>
      <c r="O187" s="16">
        <f t="shared" si="13"/>
        <v>0</v>
      </c>
      <c r="P187" s="16">
        <f t="shared" si="14"/>
        <v>0</v>
      </c>
      <c r="Q187" s="16">
        <f t="shared" si="15"/>
        <v>0</v>
      </c>
    </row>
    <row r="188" ht="18.75" customHeight="1" spans="1:17">
      <c r="A188" s="10"/>
      <c r="B188" s="10"/>
      <c r="C188" s="10"/>
      <c r="D188" s="10"/>
      <c r="E188" s="10"/>
      <c r="F188" s="10"/>
      <c r="G188" s="10"/>
      <c r="H188" s="15" t="str">
        <f t="shared" si="8"/>
        <v/>
      </c>
      <c r="I188" s="16" t="str">
        <f t="shared" si="9"/>
        <v/>
      </c>
      <c r="J188" s="17"/>
      <c r="K188" s="17"/>
      <c r="L188" s="16">
        <f t="shared" si="10"/>
        <v>0</v>
      </c>
      <c r="M188" s="16">
        <f t="shared" si="11"/>
        <v>0</v>
      </c>
      <c r="N188" s="16">
        <f t="shared" si="12"/>
        <v>0</v>
      </c>
      <c r="O188" s="16">
        <f t="shared" si="13"/>
        <v>0</v>
      </c>
      <c r="P188" s="16">
        <f t="shared" si="14"/>
        <v>0</v>
      </c>
      <c r="Q188" s="16">
        <f t="shared" si="15"/>
        <v>0</v>
      </c>
    </row>
    <row r="189" ht="18.75" customHeight="1" spans="1:17">
      <c r="A189" s="10"/>
      <c r="B189" s="10"/>
      <c r="C189" s="10"/>
      <c r="D189" s="10"/>
      <c r="E189" s="10"/>
      <c r="F189" s="10"/>
      <c r="G189" s="10"/>
      <c r="H189" s="15" t="str">
        <f t="shared" si="8"/>
        <v/>
      </c>
      <c r="I189" s="16" t="str">
        <f t="shared" si="9"/>
        <v/>
      </c>
      <c r="J189" s="17"/>
      <c r="K189" s="17"/>
      <c r="L189" s="16">
        <f t="shared" si="10"/>
        <v>0</v>
      </c>
      <c r="M189" s="16">
        <f t="shared" si="11"/>
        <v>0</v>
      </c>
      <c r="N189" s="16">
        <f t="shared" si="12"/>
        <v>0</v>
      </c>
      <c r="O189" s="16">
        <f t="shared" si="13"/>
        <v>0</v>
      </c>
      <c r="P189" s="16">
        <f t="shared" si="14"/>
        <v>0</v>
      </c>
      <c r="Q189" s="16">
        <f t="shared" si="15"/>
        <v>0</v>
      </c>
    </row>
    <row r="190" ht="18.75" customHeight="1" spans="1:17">
      <c r="A190" s="10"/>
      <c r="B190" s="10"/>
      <c r="C190" s="10"/>
      <c r="D190" s="10"/>
      <c r="E190" s="10"/>
      <c r="F190" s="10"/>
      <c r="G190" s="10"/>
      <c r="H190" s="15" t="str">
        <f t="shared" si="8"/>
        <v/>
      </c>
      <c r="I190" s="16" t="str">
        <f t="shared" si="9"/>
        <v/>
      </c>
      <c r="J190" s="17"/>
      <c r="K190" s="17"/>
      <c r="L190" s="16">
        <f t="shared" si="10"/>
        <v>0</v>
      </c>
      <c r="M190" s="16">
        <f t="shared" si="11"/>
        <v>0</v>
      </c>
      <c r="N190" s="16">
        <f t="shared" si="12"/>
        <v>0</v>
      </c>
      <c r="O190" s="16">
        <f t="shared" si="13"/>
        <v>0</v>
      </c>
      <c r="P190" s="16">
        <f t="shared" si="14"/>
        <v>0</v>
      </c>
      <c r="Q190" s="16">
        <f t="shared" si="15"/>
        <v>0</v>
      </c>
    </row>
    <row r="191" ht="18.75" customHeight="1" spans="1:17">
      <c r="A191" s="10"/>
      <c r="B191" s="10"/>
      <c r="C191" s="10"/>
      <c r="D191" s="10"/>
      <c r="E191" s="10"/>
      <c r="F191" s="10"/>
      <c r="G191" s="10"/>
      <c r="H191" s="15" t="str">
        <f t="shared" si="8"/>
        <v/>
      </c>
      <c r="I191" s="16" t="str">
        <f t="shared" si="9"/>
        <v/>
      </c>
      <c r="J191" s="17"/>
      <c r="K191" s="17"/>
      <c r="L191" s="16">
        <f t="shared" si="10"/>
        <v>0</v>
      </c>
      <c r="M191" s="16">
        <f t="shared" si="11"/>
        <v>0</v>
      </c>
      <c r="N191" s="16">
        <f t="shared" si="12"/>
        <v>0</v>
      </c>
      <c r="O191" s="16">
        <f t="shared" si="13"/>
        <v>0</v>
      </c>
      <c r="P191" s="16">
        <f t="shared" si="14"/>
        <v>0</v>
      </c>
      <c r="Q191" s="16">
        <f t="shared" si="15"/>
        <v>0</v>
      </c>
    </row>
    <row r="192" ht="18.75" customHeight="1" spans="1:17">
      <c r="A192" s="10"/>
      <c r="B192" s="10"/>
      <c r="C192" s="10"/>
      <c r="D192" s="10"/>
      <c r="E192" s="10"/>
      <c r="F192" s="10"/>
      <c r="G192" s="10"/>
      <c r="H192" s="15" t="str">
        <f t="shared" si="8"/>
        <v/>
      </c>
      <c r="I192" s="16" t="str">
        <f t="shared" si="9"/>
        <v/>
      </c>
      <c r="J192" s="17"/>
      <c r="K192" s="17"/>
      <c r="L192" s="16">
        <f t="shared" si="10"/>
        <v>0</v>
      </c>
      <c r="M192" s="16">
        <f t="shared" si="11"/>
        <v>0</v>
      </c>
      <c r="N192" s="16">
        <f t="shared" si="12"/>
        <v>0</v>
      </c>
      <c r="O192" s="16">
        <f t="shared" si="13"/>
        <v>0</v>
      </c>
      <c r="P192" s="16">
        <f t="shared" si="14"/>
        <v>0</v>
      </c>
      <c r="Q192" s="16">
        <f t="shared" si="15"/>
        <v>0</v>
      </c>
    </row>
    <row r="193" ht="18.75" customHeight="1" spans="1:17">
      <c r="A193" s="10"/>
      <c r="B193" s="10"/>
      <c r="C193" s="10"/>
      <c r="D193" s="10"/>
      <c r="E193" s="10"/>
      <c r="F193" s="10"/>
      <c r="G193" s="10"/>
      <c r="H193" s="15" t="str">
        <f t="shared" si="8"/>
        <v/>
      </c>
      <c r="I193" s="16" t="str">
        <f t="shared" si="9"/>
        <v/>
      </c>
      <c r="J193" s="17"/>
      <c r="K193" s="17"/>
      <c r="L193" s="16">
        <f t="shared" si="10"/>
        <v>0</v>
      </c>
      <c r="M193" s="16">
        <f t="shared" si="11"/>
        <v>0</v>
      </c>
      <c r="N193" s="16">
        <f t="shared" si="12"/>
        <v>0</v>
      </c>
      <c r="O193" s="16">
        <f t="shared" si="13"/>
        <v>0</v>
      </c>
      <c r="P193" s="16">
        <f t="shared" si="14"/>
        <v>0</v>
      </c>
      <c r="Q193" s="16">
        <f t="shared" si="15"/>
        <v>0</v>
      </c>
    </row>
    <row r="194" ht="18.75" customHeight="1" spans="1:17">
      <c r="A194" s="10"/>
      <c r="B194" s="10"/>
      <c r="C194" s="10"/>
      <c r="D194" s="10"/>
      <c r="E194" s="10"/>
      <c r="F194" s="10"/>
      <c r="G194" s="10"/>
      <c r="H194" s="15" t="str">
        <f t="shared" si="8"/>
        <v/>
      </c>
      <c r="I194" s="16" t="str">
        <f t="shared" si="9"/>
        <v/>
      </c>
      <c r="J194" s="17"/>
      <c r="K194" s="17"/>
      <c r="L194" s="16">
        <f t="shared" si="10"/>
        <v>0</v>
      </c>
      <c r="M194" s="16">
        <f t="shared" si="11"/>
        <v>0</v>
      </c>
      <c r="N194" s="16">
        <f t="shared" si="12"/>
        <v>0</v>
      </c>
      <c r="O194" s="16">
        <f t="shared" si="13"/>
        <v>0</v>
      </c>
      <c r="P194" s="16">
        <f t="shared" si="14"/>
        <v>0</v>
      </c>
      <c r="Q194" s="16">
        <f t="shared" si="15"/>
        <v>0</v>
      </c>
    </row>
    <row r="195" ht="18.75" customHeight="1" spans="1:17">
      <c r="A195" s="10"/>
      <c r="B195" s="10"/>
      <c r="C195" s="10"/>
      <c r="D195" s="10"/>
      <c r="E195" s="10"/>
      <c r="F195" s="10"/>
      <c r="G195" s="10"/>
      <c r="H195" s="15" t="str">
        <f t="shared" si="8"/>
        <v/>
      </c>
      <c r="I195" s="16" t="str">
        <f t="shared" si="9"/>
        <v/>
      </c>
      <c r="J195" s="17"/>
      <c r="K195" s="17"/>
      <c r="L195" s="16">
        <f t="shared" si="10"/>
        <v>0</v>
      </c>
      <c r="M195" s="16">
        <f t="shared" si="11"/>
        <v>0</v>
      </c>
      <c r="N195" s="16">
        <f t="shared" si="12"/>
        <v>0</v>
      </c>
      <c r="O195" s="16">
        <f t="shared" si="13"/>
        <v>0</v>
      </c>
      <c r="P195" s="16">
        <f t="shared" si="14"/>
        <v>0</v>
      </c>
      <c r="Q195" s="16">
        <f t="shared" si="15"/>
        <v>0</v>
      </c>
    </row>
    <row r="196" ht="18.75" customHeight="1" spans="1:17">
      <c r="A196" s="10"/>
      <c r="B196" s="10"/>
      <c r="C196" s="10"/>
      <c r="D196" s="10"/>
      <c r="E196" s="10"/>
      <c r="F196" s="10"/>
      <c r="G196" s="10"/>
      <c r="H196" s="15" t="str">
        <f t="shared" si="8"/>
        <v/>
      </c>
      <c r="I196" s="16" t="str">
        <f t="shared" si="9"/>
        <v/>
      </c>
      <c r="J196" s="17"/>
      <c r="K196" s="17"/>
      <c r="L196" s="16">
        <f t="shared" si="10"/>
        <v>0</v>
      </c>
      <c r="M196" s="16">
        <f t="shared" si="11"/>
        <v>0</v>
      </c>
      <c r="N196" s="16">
        <f t="shared" si="12"/>
        <v>0</v>
      </c>
      <c r="O196" s="16">
        <f t="shared" si="13"/>
        <v>0</v>
      </c>
      <c r="P196" s="16">
        <f t="shared" si="14"/>
        <v>0</v>
      </c>
      <c r="Q196" s="16">
        <f t="shared" si="15"/>
        <v>0</v>
      </c>
    </row>
    <row r="197" ht="18.75" customHeight="1" spans="1:17">
      <c r="A197" s="10"/>
      <c r="B197" s="10"/>
      <c r="C197" s="10"/>
      <c r="D197" s="10"/>
      <c r="E197" s="10"/>
      <c r="F197" s="10"/>
      <c r="G197" s="10"/>
      <c r="H197" s="15" t="str">
        <f t="shared" si="8"/>
        <v/>
      </c>
      <c r="I197" s="16" t="str">
        <f t="shared" si="9"/>
        <v/>
      </c>
      <c r="J197" s="17"/>
      <c r="K197" s="17"/>
      <c r="L197" s="16">
        <f t="shared" si="10"/>
        <v>0</v>
      </c>
      <c r="M197" s="16">
        <f t="shared" si="11"/>
        <v>0</v>
      </c>
      <c r="N197" s="16">
        <f t="shared" si="12"/>
        <v>0</v>
      </c>
      <c r="O197" s="16">
        <f t="shared" si="13"/>
        <v>0</v>
      </c>
      <c r="P197" s="16">
        <f t="shared" si="14"/>
        <v>0</v>
      </c>
      <c r="Q197" s="16">
        <f t="shared" si="15"/>
        <v>0</v>
      </c>
    </row>
    <row r="198" ht="18.75" customHeight="1" spans="1:17">
      <c r="A198" s="10"/>
      <c r="B198" s="10"/>
      <c r="C198" s="10"/>
      <c r="D198" s="10"/>
      <c r="E198" s="10"/>
      <c r="F198" s="10"/>
      <c r="G198" s="10"/>
      <c r="H198" s="15" t="str">
        <f t="shared" si="8"/>
        <v/>
      </c>
      <c r="I198" s="16" t="str">
        <f t="shared" si="9"/>
        <v/>
      </c>
      <c r="J198" s="17"/>
      <c r="K198" s="17"/>
      <c r="L198" s="16">
        <f t="shared" si="10"/>
        <v>0</v>
      </c>
      <c r="M198" s="16">
        <f t="shared" si="11"/>
        <v>0</v>
      </c>
      <c r="N198" s="16">
        <f t="shared" si="12"/>
        <v>0</v>
      </c>
      <c r="O198" s="16">
        <f t="shared" si="13"/>
        <v>0</v>
      </c>
      <c r="P198" s="16">
        <f t="shared" si="14"/>
        <v>0</v>
      </c>
      <c r="Q198" s="16">
        <f t="shared" si="15"/>
        <v>0</v>
      </c>
    </row>
    <row r="199" ht="18.75" customHeight="1" spans="1:17">
      <c r="A199" s="10"/>
      <c r="B199" s="10"/>
      <c r="C199" s="10"/>
      <c r="D199" s="10"/>
      <c r="E199" s="10"/>
      <c r="F199" s="10"/>
      <c r="G199" s="10"/>
      <c r="H199" s="15" t="str">
        <f t="shared" si="8"/>
        <v/>
      </c>
      <c r="I199" s="16" t="str">
        <f t="shared" si="9"/>
        <v/>
      </c>
      <c r="J199" s="17"/>
      <c r="K199" s="17"/>
      <c r="L199" s="16">
        <f t="shared" si="10"/>
        <v>0</v>
      </c>
      <c r="M199" s="16">
        <f t="shared" si="11"/>
        <v>0</v>
      </c>
      <c r="N199" s="16">
        <f t="shared" si="12"/>
        <v>0</v>
      </c>
      <c r="O199" s="16">
        <f t="shared" si="13"/>
        <v>0</v>
      </c>
      <c r="P199" s="16">
        <f t="shared" si="14"/>
        <v>0</v>
      </c>
      <c r="Q199" s="16">
        <f t="shared" si="15"/>
        <v>0</v>
      </c>
    </row>
    <row r="200" ht="18.75" customHeight="1" spans="1:17">
      <c r="A200" s="10"/>
      <c r="B200" s="10"/>
      <c r="C200" s="10"/>
      <c r="D200" s="10"/>
      <c r="E200" s="10"/>
      <c r="F200" s="10"/>
      <c r="G200" s="10"/>
      <c r="H200" s="15" t="str">
        <f t="shared" si="8"/>
        <v/>
      </c>
      <c r="I200" s="16" t="str">
        <f t="shared" si="9"/>
        <v/>
      </c>
      <c r="J200" s="17"/>
      <c r="K200" s="17"/>
      <c r="L200" s="16">
        <f t="shared" si="10"/>
        <v>0</v>
      </c>
      <c r="M200" s="16">
        <f t="shared" si="11"/>
        <v>0</v>
      </c>
      <c r="N200" s="16">
        <f t="shared" si="12"/>
        <v>0</v>
      </c>
      <c r="O200" s="16">
        <f t="shared" si="13"/>
        <v>0</v>
      </c>
      <c r="P200" s="16">
        <f t="shared" si="14"/>
        <v>0</v>
      </c>
      <c r="Q200" s="16">
        <f t="shared" si="15"/>
        <v>0</v>
      </c>
    </row>
    <row r="201" ht="18.75" customHeight="1" spans="1:17">
      <c r="A201" s="10"/>
      <c r="B201" s="10"/>
      <c r="C201" s="10"/>
      <c r="D201" s="10"/>
      <c r="E201" s="10"/>
      <c r="F201" s="10"/>
      <c r="G201" s="10"/>
      <c r="H201" s="15" t="str">
        <f t="shared" si="8"/>
        <v/>
      </c>
      <c r="I201" s="16" t="str">
        <f t="shared" si="9"/>
        <v/>
      </c>
      <c r="J201" s="17"/>
      <c r="K201" s="17"/>
      <c r="L201" s="16">
        <f t="shared" si="10"/>
        <v>0</v>
      </c>
      <c r="M201" s="16">
        <f t="shared" si="11"/>
        <v>0</v>
      </c>
      <c r="N201" s="16">
        <f t="shared" si="12"/>
        <v>0</v>
      </c>
      <c r="O201" s="16">
        <f t="shared" si="13"/>
        <v>0</v>
      </c>
      <c r="P201" s="16">
        <f t="shared" si="14"/>
        <v>0</v>
      </c>
      <c r="Q201" s="16">
        <f t="shared" si="15"/>
        <v>0</v>
      </c>
    </row>
    <row r="202" ht="18.75" customHeight="1" spans="1:17">
      <c r="A202" s="10"/>
      <c r="B202" s="10"/>
      <c r="C202" s="10"/>
      <c r="D202" s="10"/>
      <c r="E202" s="10"/>
      <c r="F202" s="10"/>
      <c r="G202" s="10"/>
      <c r="H202" s="15" t="str">
        <f t="shared" si="8"/>
        <v/>
      </c>
      <c r="I202" s="16" t="str">
        <f t="shared" si="9"/>
        <v/>
      </c>
      <c r="J202" s="17"/>
      <c r="K202" s="17"/>
      <c r="L202" s="16">
        <f t="shared" si="10"/>
        <v>0</v>
      </c>
      <c r="M202" s="16">
        <f t="shared" si="11"/>
        <v>0</v>
      </c>
      <c r="N202" s="16">
        <f t="shared" si="12"/>
        <v>0</v>
      </c>
      <c r="O202" s="16">
        <f t="shared" si="13"/>
        <v>0</v>
      </c>
      <c r="P202" s="16">
        <f t="shared" si="14"/>
        <v>0</v>
      </c>
      <c r="Q202" s="16">
        <f t="shared" si="15"/>
        <v>0</v>
      </c>
    </row>
    <row r="203" ht="18.75" customHeight="1" spans="1:17">
      <c r="A203" s="10"/>
      <c r="B203" s="10"/>
      <c r="C203" s="10"/>
      <c r="D203" s="10"/>
      <c r="E203" s="10"/>
      <c r="F203" s="10"/>
      <c r="G203" s="10"/>
      <c r="H203" s="15" t="str">
        <f t="shared" si="8"/>
        <v/>
      </c>
      <c r="I203" s="16" t="str">
        <f t="shared" si="9"/>
        <v/>
      </c>
      <c r="J203" s="17"/>
      <c r="K203" s="17"/>
      <c r="L203" s="16">
        <f t="shared" si="10"/>
        <v>0</v>
      </c>
      <c r="M203" s="16">
        <f t="shared" si="11"/>
        <v>0</v>
      </c>
      <c r="N203" s="16">
        <f t="shared" si="12"/>
        <v>0</v>
      </c>
      <c r="O203" s="16">
        <f t="shared" si="13"/>
        <v>0</v>
      </c>
      <c r="P203" s="16">
        <f t="shared" si="14"/>
        <v>0</v>
      </c>
      <c r="Q203" s="16">
        <f t="shared" si="15"/>
        <v>0</v>
      </c>
    </row>
    <row r="204" ht="18.75" customHeight="1" spans="1:17">
      <c r="A204" s="10"/>
      <c r="B204" s="10"/>
      <c r="C204" s="10"/>
      <c r="D204" s="10"/>
      <c r="E204" s="10"/>
      <c r="F204" s="10"/>
      <c r="G204" s="10"/>
      <c r="H204" s="15" t="str">
        <f t="shared" si="8"/>
        <v/>
      </c>
      <c r="I204" s="16" t="str">
        <f t="shared" si="9"/>
        <v/>
      </c>
      <c r="J204" s="17"/>
      <c r="K204" s="17"/>
      <c r="L204" s="16">
        <f t="shared" si="10"/>
        <v>0</v>
      </c>
      <c r="M204" s="16">
        <f t="shared" si="11"/>
        <v>0</v>
      </c>
      <c r="N204" s="16">
        <f t="shared" si="12"/>
        <v>0</v>
      </c>
      <c r="O204" s="16">
        <f t="shared" si="13"/>
        <v>0</v>
      </c>
      <c r="P204" s="16">
        <f t="shared" si="14"/>
        <v>0</v>
      </c>
      <c r="Q204" s="16">
        <f t="shared" si="15"/>
        <v>0</v>
      </c>
    </row>
    <row r="205" ht="18.75" customHeight="1" spans="1:17">
      <c r="A205" s="10"/>
      <c r="B205" s="10"/>
      <c r="C205" s="10"/>
      <c r="D205" s="10"/>
      <c r="E205" s="10"/>
      <c r="F205" s="10"/>
      <c r="G205" s="10"/>
      <c r="H205" s="15" t="str">
        <f t="shared" si="8"/>
        <v/>
      </c>
      <c r="I205" s="16" t="str">
        <f t="shared" si="9"/>
        <v/>
      </c>
      <c r="J205" s="17"/>
      <c r="K205" s="17"/>
      <c r="L205" s="16">
        <f t="shared" si="10"/>
        <v>0</v>
      </c>
      <c r="M205" s="16">
        <f t="shared" si="11"/>
        <v>0</v>
      </c>
      <c r="N205" s="16">
        <f t="shared" si="12"/>
        <v>0</v>
      </c>
      <c r="O205" s="16">
        <f t="shared" si="13"/>
        <v>0</v>
      </c>
      <c r="P205" s="16">
        <f t="shared" si="14"/>
        <v>0</v>
      </c>
      <c r="Q205" s="16">
        <f t="shared" si="15"/>
        <v>0</v>
      </c>
    </row>
    <row r="206" ht="18.75" customHeight="1" spans="1:17">
      <c r="A206" s="10"/>
      <c r="B206" s="10"/>
      <c r="C206" s="10"/>
      <c r="D206" s="10"/>
      <c r="E206" s="10"/>
      <c r="F206" s="10"/>
      <c r="G206" s="10"/>
      <c r="H206" s="15" t="str">
        <f t="shared" si="8"/>
        <v/>
      </c>
      <c r="I206" s="16" t="str">
        <f t="shared" si="9"/>
        <v/>
      </c>
      <c r="J206" s="17"/>
      <c r="K206" s="17"/>
      <c r="L206" s="16">
        <f t="shared" si="10"/>
        <v>0</v>
      </c>
      <c r="M206" s="16">
        <f t="shared" si="11"/>
        <v>0</v>
      </c>
      <c r="N206" s="16">
        <f t="shared" si="12"/>
        <v>0</v>
      </c>
      <c r="O206" s="16">
        <f t="shared" si="13"/>
        <v>0</v>
      </c>
      <c r="P206" s="16">
        <f t="shared" si="14"/>
        <v>0</v>
      </c>
      <c r="Q206" s="16">
        <f t="shared" si="15"/>
        <v>0</v>
      </c>
    </row>
    <row r="207" ht="18.75" customHeight="1" spans="1:17">
      <c r="A207" s="10"/>
      <c r="B207" s="10"/>
      <c r="C207" s="10"/>
      <c r="D207" s="10"/>
      <c r="E207" s="10"/>
      <c r="F207" s="10"/>
      <c r="G207" s="10"/>
      <c r="H207" s="15" t="str">
        <f t="shared" si="8"/>
        <v/>
      </c>
      <c r="I207" s="16" t="str">
        <f t="shared" si="9"/>
        <v/>
      </c>
      <c r="J207" s="17"/>
      <c r="K207" s="17"/>
      <c r="L207" s="16">
        <f t="shared" si="10"/>
        <v>0</v>
      </c>
      <c r="M207" s="16">
        <f t="shared" si="11"/>
        <v>0</v>
      </c>
      <c r="N207" s="16">
        <f t="shared" si="12"/>
        <v>0</v>
      </c>
      <c r="O207" s="16">
        <f t="shared" si="13"/>
        <v>0</v>
      </c>
      <c r="P207" s="16">
        <f t="shared" si="14"/>
        <v>0</v>
      </c>
      <c r="Q207" s="16">
        <f t="shared" si="15"/>
        <v>0</v>
      </c>
    </row>
    <row r="208" ht="18.75" customHeight="1" spans="1:17">
      <c r="A208" s="10"/>
      <c r="B208" s="10"/>
      <c r="C208" s="10"/>
      <c r="D208" s="10"/>
      <c r="E208" s="10"/>
      <c r="F208" s="10"/>
      <c r="G208" s="10"/>
      <c r="H208" s="15" t="str">
        <f t="shared" si="8"/>
        <v/>
      </c>
      <c r="I208" s="16" t="str">
        <f t="shared" si="9"/>
        <v/>
      </c>
      <c r="J208" s="17"/>
      <c r="K208" s="17"/>
      <c r="L208" s="16">
        <f t="shared" si="10"/>
        <v>0</v>
      </c>
      <c r="M208" s="16">
        <f t="shared" si="11"/>
        <v>0</v>
      </c>
      <c r="N208" s="16">
        <f t="shared" si="12"/>
        <v>0</v>
      </c>
      <c r="O208" s="16">
        <f t="shared" si="13"/>
        <v>0</v>
      </c>
      <c r="P208" s="16">
        <f t="shared" si="14"/>
        <v>0</v>
      </c>
      <c r="Q208" s="16">
        <f t="shared" si="15"/>
        <v>0</v>
      </c>
    </row>
    <row r="209" ht="18.75" customHeight="1" spans="1:17">
      <c r="A209" s="10"/>
      <c r="B209" s="10"/>
      <c r="C209" s="10"/>
      <c r="D209" s="10"/>
      <c r="E209" s="10"/>
      <c r="F209" s="10"/>
      <c r="G209" s="10"/>
      <c r="H209" s="15" t="str">
        <f t="shared" si="8"/>
        <v/>
      </c>
      <c r="I209" s="16" t="str">
        <f t="shared" si="9"/>
        <v/>
      </c>
      <c r="J209" s="17"/>
      <c r="K209" s="17"/>
      <c r="L209" s="16">
        <f t="shared" si="10"/>
        <v>0</v>
      </c>
      <c r="M209" s="16">
        <f t="shared" si="11"/>
        <v>0</v>
      </c>
      <c r="N209" s="16">
        <f t="shared" si="12"/>
        <v>0</v>
      </c>
      <c r="O209" s="16">
        <f t="shared" si="13"/>
        <v>0</v>
      </c>
      <c r="P209" s="16">
        <f t="shared" si="14"/>
        <v>0</v>
      </c>
      <c r="Q209" s="16">
        <f t="shared" si="15"/>
        <v>0</v>
      </c>
    </row>
    <row r="210" ht="18.75" customHeight="1" spans="1:17">
      <c r="A210" s="10"/>
      <c r="B210" s="10"/>
      <c r="C210" s="10"/>
      <c r="D210" s="10"/>
      <c r="E210" s="10"/>
      <c r="F210" s="10"/>
      <c r="G210" s="10"/>
      <c r="H210" s="15" t="str">
        <f t="shared" si="8"/>
        <v/>
      </c>
      <c r="I210" s="16" t="str">
        <f t="shared" si="9"/>
        <v/>
      </c>
      <c r="J210" s="17"/>
      <c r="K210" s="17"/>
      <c r="L210" s="16">
        <f t="shared" si="10"/>
        <v>0</v>
      </c>
      <c r="M210" s="16">
        <f t="shared" si="11"/>
        <v>0</v>
      </c>
      <c r="N210" s="16">
        <f t="shared" si="12"/>
        <v>0</v>
      </c>
      <c r="O210" s="16">
        <f t="shared" si="13"/>
        <v>0</v>
      </c>
      <c r="P210" s="16">
        <f t="shared" si="14"/>
        <v>0</v>
      </c>
      <c r="Q210" s="16">
        <f t="shared" si="15"/>
        <v>0</v>
      </c>
    </row>
    <row r="211" ht="18.75" customHeight="1"/>
    <row r="212" ht="18.75" customHeight="1"/>
    <row r="213" ht="18.75" customHeight="1" spans="1:16">
      <c r="A213" s="3" t="s">
        <v>452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6"/>
    </row>
    <row r="214" s="1" customFormat="1" ht="18.75" customHeight="1" spans="1:19">
      <c r="A214" s="9" t="s">
        <v>147</v>
      </c>
      <c r="B214" s="9" t="s">
        <v>173</v>
      </c>
      <c r="C214" s="9" t="s">
        <v>453</v>
      </c>
      <c r="D214" s="9" t="s">
        <v>454</v>
      </c>
      <c r="E214" s="9" t="s">
        <v>455</v>
      </c>
      <c r="F214" s="9" t="s">
        <v>135</v>
      </c>
      <c r="G214" s="9" t="s">
        <v>456</v>
      </c>
      <c r="H214" s="9" t="s">
        <v>457</v>
      </c>
      <c r="I214" s="9" t="s">
        <v>458</v>
      </c>
      <c r="J214" s="9" t="s">
        <v>154</v>
      </c>
      <c r="K214" s="9" t="s">
        <v>459</v>
      </c>
      <c r="L214" s="9" t="s">
        <v>460</v>
      </c>
      <c r="M214" s="9" t="s">
        <v>461</v>
      </c>
      <c r="N214" s="9" t="s">
        <v>462</v>
      </c>
      <c r="O214" s="9" t="s">
        <v>463</v>
      </c>
      <c r="P214" s="9" t="s">
        <v>464</v>
      </c>
      <c r="Q214" s="9" t="s">
        <v>465</v>
      </c>
      <c r="R214" s="9" t="s">
        <v>139</v>
      </c>
      <c r="S214" s="9" t="s">
        <v>198</v>
      </c>
    </row>
    <row r="215" ht="18.75" customHeight="1" spans="1:19">
      <c r="A215" s="7" t="s">
        <v>0</v>
      </c>
      <c r="B215" s="10"/>
      <c r="C215" s="10"/>
      <c r="D215" s="10"/>
      <c r="E215" s="18" t="str">
        <f>IFERROR(D215/C215,"")</f>
        <v/>
      </c>
      <c r="F215" s="19"/>
      <c r="G215" s="10"/>
      <c r="H215" s="10"/>
      <c r="I215" s="10"/>
      <c r="J215" s="18" t="str">
        <f>IFERROR((H215-I215)/H215,"")</f>
        <v/>
      </c>
      <c r="K215" s="10"/>
      <c r="L215" s="10"/>
      <c r="M215" s="18" t="str">
        <f>IFERROR((K215-L215)/K215,"")</f>
        <v/>
      </c>
      <c r="N215" s="10"/>
      <c r="O215" s="10"/>
      <c r="P215" s="20">
        <f>IFERROR(O215-N215,"")</f>
        <v>0</v>
      </c>
      <c r="Q215" s="19"/>
      <c r="R215" s="10"/>
      <c r="S215" s="10"/>
    </row>
    <row r="216" ht="18.75" customHeight="1" spans="1:19">
      <c r="A216" s="7" t="s">
        <v>15</v>
      </c>
      <c r="B216" s="10"/>
      <c r="C216" s="10"/>
      <c r="D216" s="10"/>
      <c r="E216" s="18" t="str">
        <f>IFERROR(D216/C216,"")</f>
        <v/>
      </c>
      <c r="F216" s="19"/>
      <c r="G216" s="10"/>
      <c r="H216" s="10"/>
      <c r="I216" s="10"/>
      <c r="J216" s="18" t="str">
        <f>IFERROR((H216-I216)/H216,"")</f>
        <v/>
      </c>
      <c r="K216" s="10"/>
      <c r="L216" s="10"/>
      <c r="M216" s="18" t="str">
        <f>IFERROR((K216-L216)/K216,"")</f>
        <v/>
      </c>
      <c r="N216" s="10"/>
      <c r="O216" s="10"/>
      <c r="P216" s="20">
        <f>IFERROR(O216-N216,"")</f>
        <v>0</v>
      </c>
      <c r="Q216" s="19"/>
      <c r="R216" s="10"/>
      <c r="S216" s="10"/>
    </row>
    <row r="217" ht="18.75" customHeight="1" spans="1:19">
      <c r="A217" s="7" t="s">
        <v>30</v>
      </c>
      <c r="B217" s="10"/>
      <c r="C217" s="10"/>
      <c r="D217" s="10"/>
      <c r="E217" s="18" t="str">
        <f>IFERROR(D217/C217,"")</f>
        <v/>
      </c>
      <c r="F217" s="19"/>
      <c r="G217" s="10"/>
      <c r="H217" s="10"/>
      <c r="I217" s="10"/>
      <c r="J217" s="18" t="str">
        <f>IFERROR((H217-I217)/H217,"")</f>
        <v/>
      </c>
      <c r="K217" s="10"/>
      <c r="L217" s="10"/>
      <c r="M217" s="18" t="str">
        <f>IFERROR((K217-L217)/K217,"")</f>
        <v/>
      </c>
      <c r="N217" s="10"/>
      <c r="O217" s="10"/>
      <c r="P217" s="20">
        <f>IFERROR(O217-N217,"")</f>
        <v>0</v>
      </c>
      <c r="Q217" s="19"/>
      <c r="R217" s="10"/>
      <c r="S217" s="10"/>
    </row>
    <row r="218" ht="18.75" customHeight="1" spans="1:19">
      <c r="A218" s="7" t="s">
        <v>43</v>
      </c>
      <c r="B218" s="10"/>
      <c r="C218" s="10"/>
      <c r="D218" s="10"/>
      <c r="E218" s="18" t="str">
        <f>IFERROR(D218/C218,"")</f>
        <v/>
      </c>
      <c r="F218" s="19"/>
      <c r="G218" s="10"/>
      <c r="H218" s="10"/>
      <c r="I218" s="10"/>
      <c r="J218" s="18" t="str">
        <f>IFERROR((H218-I218)/H218,"")</f>
        <v/>
      </c>
      <c r="K218" s="10"/>
      <c r="L218" s="10"/>
      <c r="M218" s="18" t="str">
        <f>IFERROR((K218-L218)/K218,"")</f>
        <v/>
      </c>
      <c r="N218" s="10"/>
      <c r="O218" s="10"/>
      <c r="P218" s="20">
        <f>IFERROR(O218-N218,"")</f>
        <v>0</v>
      </c>
      <c r="Q218" s="19"/>
      <c r="R218" s="10"/>
      <c r="S218" s="10"/>
    </row>
    <row r="219" ht="18.75" customHeight="1"/>
    <row r="220" ht="18.75" customHeight="1"/>
    <row r="221" ht="18.75" customHeight="1"/>
    <row r="222" ht="18.75" customHeight="1" spans="1:8">
      <c r="A222" s="3" t="s">
        <v>474</v>
      </c>
      <c r="B222" s="4"/>
      <c r="C222" s="4"/>
      <c r="D222" s="4"/>
      <c r="E222" s="4"/>
      <c r="F222" s="4"/>
      <c r="G222" s="4"/>
      <c r="H222" s="6"/>
    </row>
    <row r="223" s="1" customFormat="1" ht="18.75" customHeight="1" spans="1:8">
      <c r="A223" s="9" t="s">
        <v>147</v>
      </c>
      <c r="B223" s="9" t="s">
        <v>113</v>
      </c>
      <c r="C223" s="9" t="s">
        <v>124</v>
      </c>
      <c r="D223" s="9" t="s">
        <v>475</v>
      </c>
      <c r="E223" s="9" t="s">
        <v>476</v>
      </c>
      <c r="F223" s="9" t="s">
        <v>477</v>
      </c>
      <c r="G223" s="9" t="s">
        <v>478</v>
      </c>
      <c r="H223" s="9" t="s">
        <v>198</v>
      </c>
    </row>
    <row r="224" s="1" customFormat="1" ht="18.75" customHeight="1" spans="1:8">
      <c r="A224" s="10"/>
      <c r="B224" s="11"/>
      <c r="C224" s="10"/>
      <c r="D224" s="11"/>
      <c r="E224" s="10"/>
      <c r="F224" s="11"/>
      <c r="G224" s="10"/>
      <c r="H224" s="11"/>
    </row>
    <row r="225" s="1" customFormat="1" ht="18.75" customHeight="1" spans="1:8">
      <c r="A225" s="10"/>
      <c r="B225" s="11"/>
      <c r="C225" s="10"/>
      <c r="D225" s="11"/>
      <c r="E225" s="10"/>
      <c r="F225" s="11"/>
      <c r="G225" s="10"/>
      <c r="H225" s="11"/>
    </row>
    <row r="226" s="1" customFormat="1" ht="18.75" customHeight="1" spans="1:8">
      <c r="A226" s="10"/>
      <c r="B226" s="11"/>
      <c r="C226" s="10"/>
      <c r="D226" s="11"/>
      <c r="E226" s="10"/>
      <c r="F226" s="11"/>
      <c r="G226" s="10"/>
      <c r="H226" s="11"/>
    </row>
    <row r="227" s="1" customFormat="1" ht="18.75" customHeight="1" spans="1:8">
      <c r="A227" s="10"/>
      <c r="B227" s="11"/>
      <c r="C227" s="10"/>
      <c r="D227" s="11"/>
      <c r="E227" s="10"/>
      <c r="F227" s="11"/>
      <c r="G227" s="10"/>
      <c r="H227" s="11"/>
    </row>
    <row r="228" s="1" customFormat="1" ht="18.75" customHeight="1" spans="1:8">
      <c r="A228" s="10"/>
      <c r="B228" s="11"/>
      <c r="C228" s="10"/>
      <c r="D228" s="11"/>
      <c r="E228" s="10"/>
      <c r="F228" s="11"/>
      <c r="G228" s="10"/>
      <c r="H228" s="11"/>
    </row>
    <row r="229" s="1" customFormat="1" ht="18.75" customHeight="1" spans="1:8">
      <c r="A229" s="10"/>
      <c r="B229" s="11"/>
      <c r="C229" s="10"/>
      <c r="D229" s="11"/>
      <c r="E229" s="10"/>
      <c r="F229" s="11"/>
      <c r="G229" s="10"/>
      <c r="H229" s="11"/>
    </row>
    <row r="230" s="1" customFormat="1" ht="18.75" customHeight="1" spans="1:8">
      <c r="A230" s="10"/>
      <c r="B230" s="11"/>
      <c r="C230" s="10"/>
      <c r="D230" s="11"/>
      <c r="E230" s="10"/>
      <c r="F230" s="11"/>
      <c r="G230" s="10"/>
      <c r="H230" s="11"/>
    </row>
  </sheetData>
  <mergeCells count="9">
    <mergeCell ref="A1:T1"/>
    <mergeCell ref="A4:F4"/>
    <mergeCell ref="H4:T4"/>
    <mergeCell ref="A14:J14"/>
    <mergeCell ref="A23:N23"/>
    <mergeCell ref="A57:K57"/>
    <mergeCell ref="A89:Q89"/>
    <mergeCell ref="A213:P213"/>
    <mergeCell ref="A222:H222"/>
  </mergeCells>
  <pageMargins left="0.7" right="0.7" top="0.75" bottom="0.75" header="0.3" footer="0.3"/>
  <headerFooter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Lists</vt:lpstr>
      <vt:lpstr>Overview</vt:lpstr>
      <vt:lpstr>Data_Dictionary</vt:lpstr>
      <vt:lpstr>Module_M1</vt:lpstr>
      <vt:lpstr>Module_M2</vt:lpstr>
      <vt:lpstr>Module_M3</vt:lpstr>
      <vt:lpstr>Module_M4</vt:lpstr>
      <vt:lpstr>Module_M5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sujit</cp:lastModifiedBy>
  <dcterms:created xsi:type="dcterms:W3CDTF">2026-03-26T10:04:00Z</dcterms:created>
  <dcterms:modified xsi:type="dcterms:W3CDTF">2026-03-26T19:20:35Z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7B55750FFE1C44CE895415C42EB9CD37_12</vt:lpwstr>
  </property>
  <property fmtid="{D5CDD505-2E9C-101B-9397-08002B2CF9AE}" pid="3" name="KSOProductBuildVer">
    <vt:lpwstr>2057-12.2.0.23197</vt:lpwstr>
  </property>
</Properties>
</file>